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ros/Dropbox/Documenti/Lavoro/Articoli in scrittura/75. 2025 Zeinab drosophila lab validation/Data analysis/Estimation of the delays/Fit delays/"/>
    </mc:Choice>
  </mc:AlternateContent>
  <xr:revisionPtr revIDLastSave="0" documentId="13_ncr:1_{796B273E-3169-9045-A643-923707CF3B01}" xr6:coauthVersionLast="47" xr6:coauthVersionMax="47" xr10:uidLastSave="{00000000-0000-0000-0000-000000000000}"/>
  <bookViews>
    <workbookView xWindow="-35800" yWindow="1460" windowWidth="30300" windowHeight="18180" activeTab="1" xr2:uid="{67C30123-AB5A-CA4B-B079-0C56EA7AE527}"/>
  </bookViews>
  <sheets>
    <sheet name="BootstrapFertility" sheetId="1" r:id="rId1"/>
    <sheet name="Fit results" sheetId="2" r:id="rId2"/>
  </sheets>
  <calcPr calcId="0"/>
</workbook>
</file>

<file path=xl/sharedStrings.xml><?xml version="1.0" encoding="utf-8"?>
<sst xmlns="http://schemas.openxmlformats.org/spreadsheetml/2006/main" count="3" uniqueCount="3">
  <si>
    <t>Temperature</t>
  </si>
  <si>
    <t>Pre-oviposition time</t>
  </si>
  <si>
    <t>Dev.st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</si>
</sst>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BootstrapFertility!$B$1</c:f>
              <c:strCache>
                <c:ptCount val="1"/>
                <c:pt idx="0">
                  <c:v>Pre-oviposition 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BootstrapFertility!$A$2:$A$10</c:f>
              <c:numCache>
                <c:formatCode>General</c:formatCode>
                <c:ptCount val="9"/>
                <c:pt idx="0">
                  <c:v>13</c:v>
                </c:pt>
                <c:pt idx="1">
                  <c:v>18</c:v>
                </c:pt>
                <c:pt idx="2">
                  <c:v>20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</c:numCache>
            </c:numRef>
          </c:xVal>
          <c:yVal>
            <c:numRef>
              <c:f>BootstrapFertility!$B$2:$B$10</c:f>
              <c:numCache>
                <c:formatCode>General</c:formatCode>
                <c:ptCount val="9"/>
                <c:pt idx="0">
                  <c:v>1.1669015</c:v>
                </c:pt>
                <c:pt idx="1">
                  <c:v>1.5000446000000001</c:v>
                </c:pt>
                <c:pt idx="2">
                  <c:v>1.0083301</c:v>
                </c:pt>
                <c:pt idx="3">
                  <c:v>1</c:v>
                </c:pt>
                <c:pt idx="4">
                  <c:v>1.0832922</c:v>
                </c:pt>
                <c:pt idx="5">
                  <c:v>1</c:v>
                </c:pt>
                <c:pt idx="6">
                  <c:v>1.7838513</c:v>
                </c:pt>
                <c:pt idx="7">
                  <c:v>1.0751478999999999</c:v>
                </c:pt>
                <c:pt idx="8">
                  <c:v>2.0499630999999998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D3-F84B-A4A6-762308529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41824"/>
        <c:axId val="303643536"/>
      </c:scatterChart>
      <c:valAx>
        <c:axId val="30364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3643536"/>
        <c:crosses val="autoZero"/>
        <c:crossBetween val="midCat"/>
      </c:valAx>
      <c:valAx>
        <c:axId val="30364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364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565150</xdr:colOff>
      <xdr:row>13</xdr:row>
      <xdr:rowOff>63500</xdr:rowOff>
    </xdr:from>
    <xdr:to>
      <xdr:col>6</xdr:col>
      <xdr:colOff>184150</xdr:colOff>
      <xdr:row>26</xdr:row>
      <xdr:rowOff>165100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707A457-8E88-4BE5-1E15-7DAE59E16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317500</xdr:colOff>
      <xdr:row>1</xdr:row>
      <xdr:rowOff>38100</xdr:rowOff>
    </xdr:from>
    <xdr:to>
      <xdr:col>9</xdr:col>
      <xdr:colOff>165100</xdr:colOff>
      <xdr:row>29</xdr:row>
      <xdr:rowOff>165100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7C3CC95-B63C-1CF5-B1BB-0B5A77675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241300"/>
          <a:ext cx="7277100" cy="5816600"/>
        </a:xfrm>
        <a:prstGeom prst="rect">
          <a:avLst/>
        </a:prstGeom>
      </xdr:spPr>
    </xdr:pic>
    <xdr:clientData/>
  </xdr:twoCellAnchor>
  <xdr:twoCellAnchor>
    <xdr:from>
      <xdr:col>10</xdr:col>
      <xdr:colOff>241300</xdr:colOff>
      <xdr:row>1</xdr:row>
      <xdr:rowOff>38100</xdr:rowOff>
    </xdr:from>
    <xdr:to>
      <xdr:col>18</xdr:col>
      <xdr:colOff>254000</xdr:colOff>
      <xdr:row>171</xdr:row>
      <xdr:rowOff>152400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964B5FC6-EF37-B2E7-1135-FCBC55F5854E}"/>
            </a:ext>
          </a:extLst>
        </xdr:cNvPr>
        <xdr:cNvSpPr txBox="1"/>
      </xdr:nvSpPr>
      <xdr:spPr>
        <a:xfrm>
          <a:off x="8496300" y="241300"/>
          <a:ext cx="6616700" cy="3465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t-IT" sz="1300"/>
        </a:p>
        <a:p>
          <a:endParaRPr lang="it-IT" sz="1300"/>
        </a:p>
        <a:p>
          <a:r>
            <a:rPr lang="it-IT" sz="1300"/>
            <a:t> </a:t>
          </a:r>
          <a:r>
            <a:rPr lang="it-IT" sz="1300" b="1"/>
            <a:t>Rational second order fit (a * x**2 + b * x + c) / (x + d) results: </a:t>
          </a:r>
        </a:p>
        <a:p>
          <a:br>
            <a:rPr lang="it-IT" sz="1300"/>
          </a:br>
          <a:endParaRPr lang="it-IT" sz="1300"/>
        </a:p>
        <a:p>
          <a:r>
            <a:rPr lang="it-IT" sz="1300"/>
            <a:t>a = 0.0331768 +/- 0.0321597</a:t>
          </a:r>
        </a:p>
        <a:p>
          <a:r>
            <a:rPr lang="it-IT" sz="1300"/>
            <a:t>b = -0.0939726 +/- 1.3841792</a:t>
          </a:r>
        </a:p>
        <a:p>
          <a:r>
            <a:rPr lang="it-IT" sz="1300"/>
            <a:t>c = -10.25963 +/- 15.4185304</a:t>
          </a:r>
        </a:p>
        <a:p>
          <a:r>
            <a:rPr lang="it-IT" sz="1300"/>
            <a:t>d = -18.7879901 +/- 1.1957693</a:t>
          </a:r>
        </a:p>
        <a:p>
          <a:endParaRPr lang="it-IT" sz="1300"/>
        </a:p>
        <a:p>
          <a:r>
            <a:rPr lang="it-IT" sz="1300"/>
            <a:t> R-squared =  0.26173</a:t>
          </a:r>
        </a:p>
        <a:p>
          <a:r>
            <a:rPr lang="it-IT" sz="1300"/>
            <a:t> Chi-squared =  0.16273</a:t>
          </a:r>
        </a:p>
        <a:p>
          <a:r>
            <a:rPr lang="it-IT" sz="1300"/>
            <a:t> P-value =  0.0005362</a:t>
          </a:r>
        </a:p>
        <a:p>
          <a:r>
            <a:rPr lang="it-IT" sz="1300"/>
            <a:t> </a:t>
          </a:r>
        </a:p>
        <a:p>
          <a:r>
            <a:rPr lang="it-IT" sz="1300"/>
            <a:t>Number of degrees of freedom (NDF) = 5</a:t>
          </a:r>
        </a:p>
        <a:p>
          <a:r>
            <a:rPr lang="it-IT" sz="1300"/>
            <a:t> Akaike Information Criterion (AIC): 12.60896</a:t>
          </a:r>
        </a:p>
        <a:p>
          <a:r>
            <a:rPr lang="it-IT" sz="1300"/>
            <a:t> Bayesian Information Criterion (BIC) 13.39786</a:t>
          </a:r>
        </a:p>
        <a:p>
          <a:br>
            <a:rPr lang="it-IT" sz="1300"/>
          </a:br>
          <a:endParaRPr lang="it-IT" sz="1300"/>
        </a:p>
        <a:p>
          <a:r>
            <a:rPr lang="it-IT" sz="1300"/>
            <a:t> Covariance matrix: </a:t>
          </a:r>
        </a:p>
        <a:p>
          <a:endParaRPr lang="it-IT" sz="1300"/>
        </a:p>
        <a:p>
          <a:r>
            <a:rPr lang="it-IT" sz="1300"/>
            <a:t>      a     b     cd      </a:t>
          </a:r>
        </a:p>
        <a:p>
          <a:r>
            <a:rPr lang="it-IT" sz="1300"/>
            <a:t>a [ 0.00103424 -0.04423498  0.48048864  0.01327275]</a:t>
          </a:r>
        </a:p>
        <a:p>
          <a:r>
            <a:rPr lang="it-IT" sz="1300"/>
            <a:t>b [ -0.04423498   1.91595194 -21.09922785  -0.63872242]</a:t>
          </a:r>
        </a:p>
        <a:p>
          <a:r>
            <a:rPr lang="it-IT" sz="1300"/>
            <a:t>c [  0.48048864 -21.09922785 237.73107977   9.20056874]</a:t>
          </a:r>
        </a:p>
        <a:p>
          <a:r>
            <a:rPr lang="it-IT" sz="1300"/>
            <a:t>d [ 0.01327275 -0.63872242  9.20056874  1.42986423]</a:t>
          </a:r>
        </a:p>
        <a:p>
          <a:r>
            <a:rPr lang="it-IT" sz="1300"/>
            <a:t> </a:t>
          </a:r>
        </a:p>
        <a:p>
          <a:br>
            <a:rPr lang="it-IT" sz="1300"/>
          </a:br>
          <a:endParaRPr lang="it-IT" sz="1300"/>
        </a:p>
        <a:p>
          <a:r>
            <a:rPr lang="it-IT" sz="1300" b="1"/>
            <a:t> Exponential-1 fit a * exp(b * x) results: </a:t>
          </a:r>
        </a:p>
        <a:p>
          <a:br>
            <a:rPr lang="it-IT" sz="1300"/>
          </a:br>
          <a:endParaRPr lang="it-IT" sz="1300"/>
        </a:p>
        <a:p>
          <a:r>
            <a:rPr lang="it-IT" sz="1300"/>
            <a:t>a = 0.8083034 +/- 0.44481</a:t>
          </a:r>
        </a:p>
        <a:p>
          <a:r>
            <a:rPr lang="it-IT" sz="1300"/>
            <a:t>b = 0.0200138 +/- 0.0223099</a:t>
          </a:r>
        </a:p>
        <a:p>
          <a:endParaRPr lang="it-IT" sz="1300"/>
        </a:p>
        <a:p>
          <a:r>
            <a:rPr lang="it-IT" sz="1300"/>
            <a:t> R-squared =  0.09959</a:t>
          </a:r>
        </a:p>
        <a:p>
          <a:r>
            <a:rPr lang="it-IT" sz="1300"/>
            <a:t> Chi-squared =  0.1759</a:t>
          </a:r>
        </a:p>
        <a:p>
          <a:r>
            <a:rPr lang="it-IT" sz="1300"/>
            <a:t> P-value =  1.62e-05</a:t>
          </a:r>
        </a:p>
        <a:p>
          <a:endParaRPr lang="it-IT" sz="1300"/>
        </a:p>
        <a:p>
          <a:r>
            <a:rPr lang="it-IT" sz="1300"/>
            <a:t> Number of degrees of freedom (NDF) = 7</a:t>
          </a:r>
        </a:p>
        <a:p>
          <a:r>
            <a:rPr lang="it-IT" sz="1300"/>
            <a:t> Akaike Information Criterion (AIC): 12.21188</a:t>
          </a:r>
        </a:p>
        <a:p>
          <a:r>
            <a:rPr lang="it-IT" sz="1300"/>
            <a:t> Bayesian Information Criterion (BIC) 13.00078</a:t>
          </a:r>
        </a:p>
        <a:p>
          <a:br>
            <a:rPr lang="it-IT" sz="1300"/>
          </a:br>
          <a:endParaRPr lang="it-IT" sz="1300"/>
        </a:p>
        <a:p>
          <a:r>
            <a:rPr lang="it-IT" sz="1300"/>
            <a:t> Covariance matrix: </a:t>
          </a:r>
          <a:br>
            <a:rPr lang="it-IT" sz="1300"/>
          </a:br>
          <a:endParaRPr lang="it-IT" sz="1300"/>
        </a:p>
        <a:p>
          <a:r>
            <a:rPr lang="it-IT" sz="1300"/>
            <a:t>      a     b           </a:t>
          </a:r>
        </a:p>
        <a:p>
          <a:r>
            <a:rPr lang="it-IT" sz="1300"/>
            <a:t>a [ 0.19785594 -0.00975404]</a:t>
          </a:r>
        </a:p>
        <a:p>
          <a:r>
            <a:rPr lang="it-IT" sz="1300"/>
            <a:t>b [-0.00975404  0.00049773]</a:t>
          </a:r>
        </a:p>
        <a:p>
          <a:r>
            <a:rPr lang="it-IT" sz="1300"/>
            <a:t> </a:t>
          </a:r>
        </a:p>
        <a:p>
          <a:br>
            <a:rPr lang="it-IT" sz="1300"/>
          </a:br>
          <a:endParaRPr lang="it-IT" sz="1300"/>
        </a:p>
        <a:p>
          <a:r>
            <a:rPr lang="it-IT" sz="1300" b="1"/>
            <a:t> 2nd order polynomial fit a * x^2 + b * x + c results: </a:t>
          </a:r>
        </a:p>
        <a:p>
          <a:br>
            <a:rPr lang="it-IT" sz="1300"/>
          </a:br>
          <a:endParaRPr lang="it-IT" sz="1300"/>
        </a:p>
        <a:p>
          <a:r>
            <a:rPr lang="it-IT" sz="1300"/>
            <a:t>a = 0.0070255 +/- 0.0056571</a:t>
          </a:r>
        </a:p>
        <a:p>
          <a:r>
            <a:rPr lang="it-IT" sz="1300"/>
            <a:t>b = -0.2766729 +/- 0.2417387</a:t>
          </a:r>
        </a:p>
        <a:p>
          <a:r>
            <a:rPr lang="it-IT" sz="1300"/>
            <a:t>c = 3.7522346 +/- 2.4650674</a:t>
          </a:r>
        </a:p>
        <a:p>
          <a:endParaRPr lang="it-IT" sz="1300"/>
        </a:p>
        <a:p>
          <a:r>
            <a:rPr lang="it-IT" sz="1300"/>
            <a:t> R-squared =  0.2744</a:t>
          </a:r>
        </a:p>
        <a:p>
          <a:r>
            <a:rPr lang="it-IT" sz="1300"/>
            <a:t> Chi-squared =  0.06357</a:t>
          </a:r>
        </a:p>
        <a:p>
          <a:r>
            <a:rPr lang="it-IT" sz="1300"/>
            <a:t> P-value =  5.2e-06</a:t>
          </a:r>
        </a:p>
        <a:p>
          <a:endParaRPr lang="it-IT" sz="1300"/>
        </a:p>
        <a:p>
          <a:r>
            <a:rPr lang="it-IT" sz="1300"/>
            <a:t> Number of degrees of freedom (NDF) = 6</a:t>
          </a:r>
        </a:p>
        <a:p>
          <a:r>
            <a:rPr lang="it-IT" sz="1300"/>
            <a:t> Akaike Information Criterion (AIC): 12.64356</a:t>
          </a:r>
        </a:p>
        <a:p>
          <a:r>
            <a:rPr lang="it-IT" sz="1300"/>
            <a:t> Bayesian Information Criterion (BIC) 13.43246</a:t>
          </a:r>
        </a:p>
        <a:p>
          <a:br>
            <a:rPr lang="it-IT" sz="1300"/>
          </a:br>
          <a:endParaRPr lang="it-IT" sz="1300"/>
        </a:p>
        <a:p>
          <a:r>
            <a:rPr lang="it-IT" sz="1300"/>
            <a:t> Covariance matrix: </a:t>
          </a:r>
        </a:p>
        <a:p>
          <a:endParaRPr lang="it-IT" sz="1300"/>
        </a:p>
        <a:p>
          <a:r>
            <a:rPr lang="it-IT" sz="1300"/>
            <a:t>      a     b     c           </a:t>
          </a:r>
        </a:p>
        <a:p>
          <a:r>
            <a:rPr lang="it-IT" sz="1300"/>
            <a:t>a [ 3.20027573e-05 -1.35983145e-03  1.35091639e-02]</a:t>
          </a:r>
        </a:p>
        <a:p>
          <a:r>
            <a:rPr lang="it-IT" sz="1300"/>
            <a:t>b [-0.00135983  0.05843761 -0.58934678]</a:t>
          </a:r>
        </a:p>
        <a:p>
          <a:r>
            <a:rPr lang="it-IT" sz="1300"/>
            <a:t>c [ 0.01350916 -0.58934678  6.07655727]</a:t>
          </a:r>
        </a:p>
        <a:p>
          <a:r>
            <a:rPr lang="it-IT" sz="1300"/>
            <a:t> </a:t>
          </a:r>
        </a:p>
        <a:p>
          <a:br>
            <a:rPr lang="it-IT" sz="1300"/>
          </a:br>
          <a:endParaRPr lang="it-IT" sz="1300"/>
        </a:p>
        <a:p>
          <a:r>
            <a:rPr lang="it-IT" sz="1300"/>
            <a:t> </a:t>
          </a:r>
          <a:r>
            <a:rPr lang="it-IT" sz="1300" b="1"/>
            <a:t>Rational first order fit (a * x + b) / (x + c) results: </a:t>
          </a:r>
        </a:p>
        <a:p>
          <a:br>
            <a:rPr lang="it-IT" sz="1300"/>
          </a:br>
          <a:endParaRPr lang="it-IT" sz="1300"/>
        </a:p>
        <a:p>
          <a:r>
            <a:rPr lang="it-IT" sz="1300"/>
            <a:t>a = 1094.0043268 +/- 15868726.5242205</a:t>
          </a:r>
        </a:p>
        <a:p>
          <a:r>
            <a:rPr lang="it-IT" sz="1300"/>
            <a:t>b = 39323.6402975 +/- 571425796.5231787</a:t>
          </a:r>
        </a:p>
        <a:p>
          <a:r>
            <a:rPr lang="it-IT" sz="1300"/>
            <a:t>c = 50000.0 +/- 726397446.5523524</a:t>
          </a:r>
        </a:p>
        <a:p>
          <a:endParaRPr lang="it-IT" sz="1300"/>
        </a:p>
        <a:p>
          <a:r>
            <a:rPr lang="it-IT" sz="1300"/>
            <a:t> R-squared =  0.08786</a:t>
          </a:r>
        </a:p>
        <a:p>
          <a:r>
            <a:rPr lang="it-IT" sz="1300"/>
            <a:t> Chi-squared =  0.19666</a:t>
          </a:r>
        </a:p>
        <a:p>
          <a:r>
            <a:rPr lang="it-IT" sz="1300"/>
            <a:t> P-value =  0.0001472</a:t>
          </a:r>
        </a:p>
        <a:p>
          <a:endParaRPr lang="it-IT" sz="1300"/>
        </a:p>
        <a:p>
          <a:r>
            <a:rPr lang="it-IT" sz="1300"/>
            <a:t> Number of degrees of freedom (NDF) = 6</a:t>
          </a:r>
        </a:p>
        <a:p>
          <a:r>
            <a:rPr lang="it-IT" sz="1300"/>
            <a:t> Akaike Information Criterion (AIC): 12.18598</a:t>
          </a:r>
        </a:p>
        <a:p>
          <a:r>
            <a:rPr lang="it-IT" sz="1300"/>
            <a:t> Bayesian Information Criterion (BIC) 12.97487</a:t>
          </a:r>
        </a:p>
        <a:p>
          <a:br>
            <a:rPr lang="it-IT" sz="1300"/>
          </a:br>
          <a:endParaRPr lang="it-IT" sz="1300"/>
        </a:p>
        <a:p>
          <a:r>
            <a:rPr lang="it-IT" sz="1300"/>
            <a:t> Covariance matrix: </a:t>
          </a:r>
        </a:p>
        <a:p>
          <a:endParaRPr lang="it-IT" sz="1300"/>
        </a:p>
        <a:p>
          <a:r>
            <a:rPr lang="it-IT" sz="1300"/>
            <a:t>      a     b     c           </a:t>
          </a:r>
        </a:p>
        <a:p>
          <a:r>
            <a:rPr lang="it-IT" sz="1300"/>
            <a:t>a [2.51816482e+14 9.06779959e+15 1.15270024e+16]</a:t>
          </a:r>
        </a:p>
        <a:p>
          <a:r>
            <a:rPr lang="it-IT" sz="1300"/>
            <a:t>b [9.06779959e+15 3.26527441e+17 4.15082239e+17]</a:t>
          </a:r>
        </a:p>
        <a:p>
          <a:r>
            <a:rPr lang="it-IT" sz="1300"/>
            <a:t>c [1.15270024e+16 4.15082239e+17 5.27653250e+17]</a:t>
          </a:r>
        </a:p>
        <a:p>
          <a:r>
            <a:rPr lang="it-IT" sz="1300"/>
            <a:t> </a:t>
          </a:r>
        </a:p>
        <a:p>
          <a:br>
            <a:rPr lang="it-IT" sz="1300"/>
          </a:br>
          <a:endParaRPr lang="it-IT" sz="1300"/>
        </a:p>
        <a:p>
          <a:r>
            <a:rPr lang="it-IT" sz="1300" b="1"/>
            <a:t> Exponential-2 fit a * x^b + c results: </a:t>
          </a:r>
        </a:p>
        <a:p>
          <a:br>
            <a:rPr lang="it-IT" sz="1300"/>
          </a:br>
          <a:endParaRPr lang="it-IT" sz="1300"/>
        </a:p>
        <a:p>
          <a:r>
            <a:rPr lang="it-IT" sz="1300"/>
            <a:t>a = -49995.0247616 +/- 53255019.4416828</a:t>
          </a:r>
        </a:p>
        <a:p>
          <a:r>
            <a:rPr lang="it-IT" sz="1300"/>
            <a:t>b = 2.34e-05 +/- 0.0248889</a:t>
          </a:r>
        </a:p>
        <a:p>
          <a:r>
            <a:rPr lang="it-IT" sz="1300"/>
            <a:t>c = 50000.0 +/- 53255020.5976306</a:t>
          </a:r>
        </a:p>
        <a:p>
          <a:endParaRPr lang="it-IT" sz="1300"/>
        </a:p>
        <a:p>
          <a:r>
            <a:rPr lang="it-IT" sz="1300"/>
            <a:t> R-squared =  -1.01625</a:t>
          </a:r>
        </a:p>
        <a:p>
          <a:r>
            <a:rPr lang="it-IT" sz="1300"/>
            <a:t> Chi-squared =  0.94225</a:t>
          </a:r>
        </a:p>
        <a:p>
          <a:r>
            <a:rPr lang="it-IT" sz="1300"/>
            <a:t> P-value =  0.0122931</a:t>
          </a:r>
        </a:p>
        <a:p>
          <a:endParaRPr lang="it-IT" sz="1300"/>
        </a:p>
        <a:p>
          <a:r>
            <a:rPr lang="it-IT" sz="1300"/>
            <a:t> Number of degrees of freedom (NDF) = 6</a:t>
          </a:r>
        </a:p>
        <a:p>
          <a:r>
            <a:rPr lang="it-IT" sz="1300"/>
            <a:t> Akaike Information Criterion (AIC): 10.59958</a:t>
          </a:r>
        </a:p>
        <a:p>
          <a:r>
            <a:rPr lang="it-IT" sz="1300"/>
            <a:t> Bayesian Information Criterion (BIC) 11.38848</a:t>
          </a:r>
        </a:p>
        <a:p>
          <a:br>
            <a:rPr lang="it-IT" sz="1300"/>
          </a:br>
          <a:endParaRPr lang="it-IT" sz="1300"/>
        </a:p>
        <a:p>
          <a:r>
            <a:rPr lang="it-IT" sz="1300"/>
            <a:t> Covariance matrix: </a:t>
          </a:r>
          <a:br>
            <a:rPr lang="it-IT" sz="1300"/>
          </a:br>
          <a:endParaRPr lang="it-IT" sz="1300"/>
        </a:p>
        <a:p>
          <a:r>
            <a:rPr lang="it-IT" sz="1300"/>
            <a:t>      a     b     c           </a:t>
          </a:r>
        </a:p>
        <a:p>
          <a:r>
            <a:rPr lang="it-IT" sz="1300"/>
            <a:t>a [ 2.83609710e+15  1.32545926e+06 -2.83609716e+15]</a:t>
          </a:r>
        </a:p>
        <a:p>
          <a:r>
            <a:rPr lang="it-IT" sz="1300"/>
            <a:t>b [ 1.32545926e+06  6.19458022e-04 -1.32545929e+06]</a:t>
          </a:r>
        </a:p>
        <a:p>
          <a:r>
            <a:rPr lang="it-IT" sz="1300"/>
            <a:t>c [-2.83609716e+15 -1.32545929e+06  2.83609722e+15]</a:t>
          </a:r>
        </a:p>
        <a:p>
          <a:r>
            <a:rPr lang="it-IT" sz="1300"/>
            <a:t> </a:t>
          </a:r>
        </a:p>
        <a:p>
          <a:br>
            <a:rPr lang="it-IT" sz="1300"/>
          </a:br>
          <a:endParaRPr lang="it-IT" sz="1300"/>
        </a:p>
        <a:p>
          <a:r>
            <a:rPr lang="it-IT" sz="1300"/>
            <a:t> </a:t>
          </a:r>
          <a:r>
            <a:rPr lang="it-IT" sz="1300" b="1"/>
            <a:t>Exponential-3 fit a + exp(b * c) results: </a:t>
          </a:r>
        </a:p>
        <a:p>
          <a:br>
            <a:rPr lang="it-IT" sz="1300"/>
          </a:br>
          <a:endParaRPr lang="it-IT" sz="1300"/>
        </a:p>
        <a:p>
          <a:r>
            <a:rPr lang="it-IT" sz="1300"/>
            <a:t>a = 1.2963923 +/- 0.1594695</a:t>
          </a:r>
        </a:p>
        <a:p>
          <a:r>
            <a:rPr lang="it-IT" sz="1300"/>
            <a:t>b = 0.0 +/- 81897.117893</a:t>
          </a:r>
        </a:p>
        <a:p>
          <a:r>
            <a:rPr lang="it-IT" sz="1300"/>
            <a:t>c = -0.9269467 +/- 0.0</a:t>
          </a:r>
        </a:p>
        <a:p>
          <a:endParaRPr lang="it-IT" sz="1300"/>
        </a:p>
        <a:p>
          <a:r>
            <a:rPr lang="it-IT" sz="1300"/>
            <a:t> R-squared =  0.0</a:t>
          </a:r>
        </a:p>
        <a:p>
          <a:r>
            <a:rPr lang="it-IT" sz="1300"/>
            <a:t> Chi-squared =  0.33789</a:t>
          </a:r>
        </a:p>
        <a:p>
          <a:r>
            <a:rPr lang="it-IT" sz="1300"/>
            <a:t> P-value =  0.0007084</a:t>
          </a:r>
        </a:p>
        <a:p>
          <a:endParaRPr lang="it-IT" sz="1300"/>
        </a:p>
        <a:p>
          <a:r>
            <a:rPr lang="it-IT" sz="1300"/>
            <a:t> Number of degrees of freedom (NDF) = 6</a:t>
          </a:r>
        </a:p>
        <a:p>
          <a:r>
            <a:rPr lang="it-IT" sz="1300"/>
            <a:t> Akaike Information Criterion (AIC): 12.00206</a:t>
          </a:r>
        </a:p>
        <a:p>
          <a:r>
            <a:rPr lang="it-IT" sz="1300"/>
            <a:t> Bayesian Information Criterion (BIC) 12.79096</a:t>
          </a:r>
        </a:p>
        <a:p>
          <a:br>
            <a:rPr lang="it-IT" sz="1300"/>
          </a:br>
          <a:endParaRPr lang="it-IT" sz="1300"/>
        </a:p>
        <a:p>
          <a:r>
            <a:rPr lang="it-IT" sz="1300"/>
            <a:t> Covariance matrix: </a:t>
          </a:r>
        </a:p>
        <a:p>
          <a:endParaRPr lang="it-IT" sz="1300"/>
        </a:p>
        <a:p>
          <a:r>
            <a:rPr lang="it-IT" sz="1300"/>
            <a:t>      a     b     c           </a:t>
          </a:r>
        </a:p>
        <a:p>
          <a:r>
            <a:rPr lang="it-IT" sz="1300"/>
            <a:t>a [ 2.54305136e-02 -4.40864721e+03  0.00000000e+00]</a:t>
          </a:r>
        </a:p>
        <a:p>
          <a:r>
            <a:rPr lang="it-IT" sz="1300"/>
            <a:t>b [-4.40864721e+03  6.70713792e+09  0.00000000e+00]</a:t>
          </a:r>
        </a:p>
        <a:p>
          <a:r>
            <a:rPr lang="it-IT" sz="1300"/>
            <a:t>c [0. 0. 0.]</a:t>
          </a:r>
        </a:p>
        <a:p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1D1-0427-4A4A-A55F-FF9B3DEBD4E7}">
  <dimension ref="A1:C10"/>
  <sheetViews>
    <sheetView workbookViewId="0">
      <selection sqref="A1:B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13</v>
      </c>
      <c r="B2">
        <v>1.1669015</v>
      </c>
      <c r="C2">
        <v>0.372887923111342</v>
      </c>
    </row>
    <row r="3" spans="1:3" x14ac:dyDescent="0.2">
      <c r="A3">
        <v>18</v>
      </c>
      <c r="B3">
        <v>1.5000446000000001</v>
      </c>
      <c r="C3">
        <v>0.56265693781301795</v>
      </c>
    </row>
    <row r="4" spans="1:3" x14ac:dyDescent="0.2">
      <c r="A4">
        <v>20</v>
      </c>
      <c r="B4">
        <v>1.0083301</v>
      </c>
      <c r="C4">
        <v>9.0888449541517799E-2</v>
      </c>
    </row>
    <row r="5" spans="1:3" x14ac:dyDescent="0.2">
      <c r="A5">
        <v>24</v>
      </c>
      <c r="B5">
        <v>1</v>
      </c>
      <c r="C5">
        <v>0</v>
      </c>
    </row>
    <row r="6" spans="1:3" x14ac:dyDescent="0.2">
      <c r="A6">
        <v>25</v>
      </c>
      <c r="B6">
        <v>1.0832922</v>
      </c>
      <c r="C6">
        <v>0.27632339215966001</v>
      </c>
    </row>
    <row r="7" spans="1:3" x14ac:dyDescent="0.2">
      <c r="A7">
        <v>26</v>
      </c>
      <c r="B7">
        <v>1</v>
      </c>
      <c r="C7">
        <v>0</v>
      </c>
    </row>
    <row r="8" spans="1:3" x14ac:dyDescent="0.2">
      <c r="A8">
        <v>27</v>
      </c>
      <c r="B8">
        <v>1.7838513</v>
      </c>
      <c r="C8">
        <v>0.57994661230333699</v>
      </c>
    </row>
    <row r="9" spans="1:3" x14ac:dyDescent="0.2">
      <c r="A9">
        <v>28</v>
      </c>
      <c r="B9">
        <v>1.0751478999999999</v>
      </c>
      <c r="C9">
        <v>0.41198969659342299</v>
      </c>
    </row>
    <row r="10" spans="1:3" x14ac:dyDescent="0.2">
      <c r="A10">
        <v>29</v>
      </c>
      <c r="B10">
        <v>2.0499630999999998</v>
      </c>
      <c r="C10">
        <v>0.21786875265872599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9875-B389-3540-9819-21C3E80CD5D3}">
  <dimension ref="A1"/>
  <sheetViews>
    <sheetView tabSelected="1" workbookViewId="0">
      <selection activeCell="M5" sqref="M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BootstrapFertility</vt:lpstr>
      <vt:lpstr>Fit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Rossini</cp:lastModifiedBy>
  <dcterms:created xsi:type="dcterms:W3CDTF">2025-08-27T08:36:20Z</dcterms:created>
  <dcterms:modified xsi:type="dcterms:W3CDTF">2025-08-27T15:14:22Z</dcterms:modified>
</cp:coreProperties>
</file>