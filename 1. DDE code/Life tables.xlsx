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ttolica.sharepoint.com/sites/TeamDrosophilasuzukii/Documenti condivisi/General/DDE_Drosophila suzukii/"/>
    </mc:Choice>
  </mc:AlternateContent>
  <xr:revisionPtr revIDLastSave="214" documentId="8_{D58AC7C6-5EF5-4583-8826-8999D4EA817D}" xr6:coauthVersionLast="47" xr6:coauthVersionMax="47" xr10:uidLastSave="{7AFB6A1F-1950-4624-95EE-87D212E8F3D3}"/>
  <bookViews>
    <workbookView xWindow="-108" yWindow="-108" windowWidth="23256" windowHeight="12456" xr2:uid="{D1172BF1-1490-4501-9C04-5D21FC26D176}"/>
  </bookViews>
  <sheets>
    <sheet name="Integral representation" sheetId="13" r:id="rId1"/>
    <sheet name="5°C" sheetId="1" r:id="rId2"/>
    <sheet name="10°C" sheetId="2" r:id="rId3"/>
    <sheet name="16°C" sheetId="3" r:id="rId4"/>
    <sheet name="28°C" sheetId="7" r:id="rId5"/>
    <sheet name="30°C" sheetId="8" r:id="rId6"/>
    <sheet name="32°C" sheetId="9" r:id="rId7"/>
    <sheet name="34°C" sheetId="10" r:id="rId8"/>
    <sheet name="36°C" sheetId="11" r:id="rId9"/>
    <sheet name="3°C" sheetId="12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7" l="1"/>
  <c r="D10" i="7"/>
  <c r="D9" i="7"/>
  <c r="E5" i="3"/>
  <c r="D6" i="8"/>
  <c r="E4" i="8"/>
  <c r="D5" i="9"/>
  <c r="E4" i="9"/>
  <c r="E10" i="10"/>
  <c r="F4" i="10"/>
  <c r="R52" i="2" l="1"/>
  <c r="C21" i="11"/>
  <c r="C17" i="11"/>
  <c r="C16" i="11"/>
  <c r="P24" i="10"/>
  <c r="P7" i="9"/>
  <c r="T66" i="2" l="1"/>
  <c r="U81" i="2"/>
  <c r="T70" i="2"/>
  <c r="P55" i="2"/>
  <c r="G113" i="2"/>
  <c r="H113" i="2"/>
  <c r="I113" i="2"/>
  <c r="J113" i="2"/>
  <c r="K113" i="2"/>
  <c r="L113" i="2"/>
  <c r="M113" i="2"/>
  <c r="A113" i="2"/>
  <c r="B113" i="2"/>
  <c r="O113" i="2"/>
  <c r="P113" i="2"/>
  <c r="Q113" i="2"/>
  <c r="R113" i="2"/>
  <c r="S113" i="2"/>
  <c r="T113" i="2"/>
  <c r="U113" i="2"/>
  <c r="L111" i="2"/>
  <c r="A112" i="2"/>
  <c r="B112" i="2"/>
  <c r="E112" i="2"/>
  <c r="E113" i="2" s="1"/>
  <c r="F113" i="2" s="1"/>
  <c r="G112" i="2"/>
  <c r="H112" i="2"/>
  <c r="I112" i="2"/>
  <c r="J112" i="2"/>
  <c r="K112" i="2"/>
  <c r="L112" i="2"/>
  <c r="M112" i="2"/>
  <c r="M111" i="2"/>
  <c r="M56" i="2"/>
  <c r="F112" i="2" l="1"/>
  <c r="T112" i="2" l="1"/>
  <c r="O56" i="2"/>
  <c r="P56" i="2"/>
  <c r="Q56" i="2"/>
  <c r="R56" i="2"/>
  <c r="S56" i="2"/>
  <c r="T56" i="2"/>
  <c r="U56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59" i="2"/>
  <c r="P59" i="2"/>
  <c r="Q59" i="2"/>
  <c r="R59" i="2"/>
  <c r="S59" i="2"/>
  <c r="T59" i="2"/>
  <c r="U59" i="2"/>
  <c r="O60" i="2"/>
  <c r="P60" i="2"/>
  <c r="Q60" i="2"/>
  <c r="R60" i="2"/>
  <c r="S60" i="2"/>
  <c r="T60" i="2"/>
  <c r="U60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3" i="2"/>
  <c r="P63" i="2"/>
  <c r="Q63" i="2"/>
  <c r="R63" i="2"/>
  <c r="S63" i="2"/>
  <c r="T63" i="2"/>
  <c r="U63" i="2"/>
  <c r="O64" i="2"/>
  <c r="P64" i="2"/>
  <c r="Q64" i="2"/>
  <c r="R64" i="2"/>
  <c r="S64" i="2"/>
  <c r="T64" i="2"/>
  <c r="U64" i="2"/>
  <c r="O65" i="2"/>
  <c r="P65" i="2"/>
  <c r="Q65" i="2"/>
  <c r="R65" i="2"/>
  <c r="S65" i="2"/>
  <c r="T65" i="2"/>
  <c r="U65" i="2"/>
  <c r="O66" i="2"/>
  <c r="P66" i="2"/>
  <c r="Q66" i="2"/>
  <c r="R66" i="2"/>
  <c r="S66" i="2"/>
  <c r="U66" i="2"/>
  <c r="O67" i="2"/>
  <c r="P67" i="2"/>
  <c r="Q67" i="2"/>
  <c r="R67" i="2"/>
  <c r="S67" i="2"/>
  <c r="T67" i="2"/>
  <c r="U67" i="2"/>
  <c r="O68" i="2"/>
  <c r="P68" i="2"/>
  <c r="Q68" i="2"/>
  <c r="R68" i="2"/>
  <c r="S68" i="2"/>
  <c r="T68" i="2"/>
  <c r="U68" i="2"/>
  <c r="O69" i="2"/>
  <c r="P69" i="2"/>
  <c r="Q69" i="2"/>
  <c r="R69" i="2"/>
  <c r="S69" i="2"/>
  <c r="T69" i="2"/>
  <c r="U69" i="2"/>
  <c r="O70" i="2"/>
  <c r="P70" i="2"/>
  <c r="Q70" i="2"/>
  <c r="R70" i="2"/>
  <c r="S70" i="2"/>
  <c r="U70" i="2"/>
  <c r="O71" i="2"/>
  <c r="P71" i="2"/>
  <c r="Q71" i="2"/>
  <c r="R71" i="2"/>
  <c r="S71" i="2"/>
  <c r="T71" i="2"/>
  <c r="U71" i="2"/>
  <c r="O72" i="2"/>
  <c r="P72" i="2"/>
  <c r="Q72" i="2"/>
  <c r="R72" i="2"/>
  <c r="S72" i="2"/>
  <c r="T72" i="2"/>
  <c r="U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5" i="2"/>
  <c r="P75" i="2"/>
  <c r="Q75" i="2"/>
  <c r="R75" i="2"/>
  <c r="S75" i="2"/>
  <c r="T75" i="2"/>
  <c r="U75" i="2"/>
  <c r="O76" i="2"/>
  <c r="P76" i="2"/>
  <c r="Q76" i="2"/>
  <c r="R76" i="2"/>
  <c r="S76" i="2"/>
  <c r="T76" i="2"/>
  <c r="U76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79" i="2"/>
  <c r="P79" i="2"/>
  <c r="Q79" i="2"/>
  <c r="R79" i="2"/>
  <c r="S79" i="2"/>
  <c r="T79" i="2"/>
  <c r="U79" i="2"/>
  <c r="O80" i="2"/>
  <c r="P80" i="2"/>
  <c r="Q80" i="2"/>
  <c r="R80" i="2"/>
  <c r="S80" i="2"/>
  <c r="T80" i="2"/>
  <c r="U80" i="2"/>
  <c r="O81" i="2"/>
  <c r="P81" i="2"/>
  <c r="Q81" i="2"/>
  <c r="R81" i="2"/>
  <c r="S81" i="2"/>
  <c r="T81" i="2"/>
  <c r="O82" i="2"/>
  <c r="P82" i="2"/>
  <c r="Q82" i="2"/>
  <c r="R82" i="2"/>
  <c r="S82" i="2"/>
  <c r="T82" i="2"/>
  <c r="U82" i="2"/>
  <c r="O83" i="2"/>
  <c r="P83" i="2"/>
  <c r="Q83" i="2"/>
  <c r="R83" i="2"/>
  <c r="S83" i="2"/>
  <c r="T83" i="2"/>
  <c r="U83" i="2"/>
  <c r="O84" i="2"/>
  <c r="P84" i="2"/>
  <c r="Q84" i="2"/>
  <c r="R84" i="2"/>
  <c r="S84" i="2"/>
  <c r="T84" i="2"/>
  <c r="U84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7" i="2"/>
  <c r="P87" i="2"/>
  <c r="Q87" i="2"/>
  <c r="R87" i="2"/>
  <c r="S87" i="2"/>
  <c r="T87" i="2"/>
  <c r="U87" i="2"/>
  <c r="O88" i="2"/>
  <c r="P88" i="2"/>
  <c r="Q88" i="2"/>
  <c r="R88" i="2"/>
  <c r="S88" i="2"/>
  <c r="T88" i="2"/>
  <c r="U88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1" i="2"/>
  <c r="P91" i="2"/>
  <c r="Q91" i="2"/>
  <c r="R91" i="2"/>
  <c r="S91" i="2"/>
  <c r="T91" i="2"/>
  <c r="U91" i="2"/>
  <c r="O92" i="2"/>
  <c r="P92" i="2"/>
  <c r="Q92" i="2"/>
  <c r="R92" i="2"/>
  <c r="S92" i="2"/>
  <c r="T92" i="2"/>
  <c r="U92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O95" i="2"/>
  <c r="P95" i="2"/>
  <c r="Q95" i="2"/>
  <c r="R95" i="2"/>
  <c r="S95" i="2"/>
  <c r="T95" i="2"/>
  <c r="U95" i="2"/>
  <c r="O96" i="2"/>
  <c r="P96" i="2"/>
  <c r="Q96" i="2"/>
  <c r="R96" i="2"/>
  <c r="S96" i="2"/>
  <c r="T96" i="2"/>
  <c r="U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99" i="2"/>
  <c r="P99" i="2"/>
  <c r="Q99" i="2"/>
  <c r="R99" i="2"/>
  <c r="S99" i="2"/>
  <c r="T99" i="2"/>
  <c r="U99" i="2"/>
  <c r="O100" i="2"/>
  <c r="P100" i="2"/>
  <c r="Q100" i="2"/>
  <c r="R100" i="2"/>
  <c r="S100" i="2"/>
  <c r="T100" i="2"/>
  <c r="U100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3" i="2"/>
  <c r="P103" i="2"/>
  <c r="Q103" i="2"/>
  <c r="R103" i="2"/>
  <c r="S103" i="2"/>
  <c r="T103" i="2"/>
  <c r="U103" i="2"/>
  <c r="O104" i="2"/>
  <c r="P104" i="2"/>
  <c r="Q104" i="2"/>
  <c r="R104" i="2"/>
  <c r="S104" i="2"/>
  <c r="T104" i="2"/>
  <c r="U104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7" i="2"/>
  <c r="P107" i="2"/>
  <c r="Q107" i="2"/>
  <c r="R107" i="2"/>
  <c r="S107" i="2"/>
  <c r="T107" i="2"/>
  <c r="U107" i="2"/>
  <c r="O108" i="2"/>
  <c r="P108" i="2"/>
  <c r="Q108" i="2"/>
  <c r="R108" i="2"/>
  <c r="S108" i="2"/>
  <c r="T108" i="2"/>
  <c r="U108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1" i="2"/>
  <c r="P111" i="2"/>
  <c r="Q111" i="2"/>
  <c r="R111" i="2"/>
  <c r="S111" i="2"/>
  <c r="T111" i="2"/>
  <c r="U111" i="2"/>
  <c r="O112" i="2"/>
  <c r="P112" i="2"/>
  <c r="Q112" i="2"/>
  <c r="R112" i="2"/>
  <c r="S112" i="2"/>
  <c r="U112" i="2"/>
  <c r="L67" i="2"/>
  <c r="U9" i="2"/>
  <c r="T4" i="2"/>
  <c r="U4" i="2"/>
  <c r="T5" i="2"/>
  <c r="U5" i="2"/>
  <c r="T6" i="2"/>
  <c r="U6" i="2"/>
  <c r="T7" i="2"/>
  <c r="U7" i="2"/>
  <c r="T8" i="2"/>
  <c r="U8" i="2"/>
  <c r="T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0" i="2"/>
  <c r="U40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T51" i="2"/>
  <c r="U51" i="2"/>
  <c r="T52" i="2"/>
  <c r="U52" i="2"/>
  <c r="T53" i="2"/>
  <c r="U53" i="2"/>
  <c r="T54" i="2"/>
  <c r="U54" i="2"/>
  <c r="T55" i="2"/>
  <c r="U55" i="2"/>
  <c r="U3" i="2"/>
  <c r="T3" i="2"/>
  <c r="E55" i="2"/>
  <c r="F55" i="2"/>
  <c r="E15" i="2"/>
  <c r="A70" i="2"/>
  <c r="B70" i="2"/>
  <c r="G70" i="2"/>
  <c r="H70" i="2"/>
  <c r="I70" i="2"/>
  <c r="J70" i="2"/>
  <c r="K70" i="2"/>
  <c r="L70" i="2"/>
  <c r="M70" i="2"/>
  <c r="A71" i="2"/>
  <c r="B71" i="2"/>
  <c r="G71" i="2"/>
  <c r="H71" i="2"/>
  <c r="I71" i="2"/>
  <c r="J71" i="2"/>
  <c r="K71" i="2"/>
  <c r="L71" i="2"/>
  <c r="M71" i="2"/>
  <c r="A72" i="2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B72" i="2"/>
  <c r="G72" i="2"/>
  <c r="H72" i="2"/>
  <c r="I72" i="2"/>
  <c r="J72" i="2"/>
  <c r="K72" i="2"/>
  <c r="L72" i="2"/>
  <c r="M72" i="2"/>
  <c r="B73" i="2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G73" i="2"/>
  <c r="H73" i="2"/>
  <c r="I73" i="2"/>
  <c r="J73" i="2"/>
  <c r="K73" i="2"/>
  <c r="L73" i="2"/>
  <c r="M73" i="2"/>
  <c r="G74" i="2"/>
  <c r="H74" i="2"/>
  <c r="I74" i="2"/>
  <c r="J74" i="2"/>
  <c r="K74" i="2"/>
  <c r="L74" i="2"/>
  <c r="M74" i="2"/>
  <c r="G75" i="2"/>
  <c r="H75" i="2"/>
  <c r="I75" i="2"/>
  <c r="J75" i="2"/>
  <c r="K75" i="2"/>
  <c r="L75" i="2"/>
  <c r="M75" i="2"/>
  <c r="G76" i="2"/>
  <c r="H76" i="2"/>
  <c r="I76" i="2"/>
  <c r="J76" i="2"/>
  <c r="K76" i="2"/>
  <c r="L76" i="2"/>
  <c r="M76" i="2"/>
  <c r="G77" i="2"/>
  <c r="H77" i="2"/>
  <c r="I77" i="2"/>
  <c r="J77" i="2"/>
  <c r="K77" i="2"/>
  <c r="L77" i="2"/>
  <c r="M77" i="2"/>
  <c r="G78" i="2"/>
  <c r="H78" i="2"/>
  <c r="I78" i="2"/>
  <c r="J78" i="2"/>
  <c r="K78" i="2"/>
  <c r="L78" i="2"/>
  <c r="M78" i="2"/>
  <c r="G79" i="2"/>
  <c r="H79" i="2"/>
  <c r="I79" i="2"/>
  <c r="J79" i="2"/>
  <c r="K79" i="2"/>
  <c r="L79" i="2"/>
  <c r="M79" i="2"/>
  <c r="G80" i="2"/>
  <c r="H80" i="2"/>
  <c r="I80" i="2"/>
  <c r="J80" i="2"/>
  <c r="K80" i="2"/>
  <c r="L80" i="2"/>
  <c r="M80" i="2"/>
  <c r="G81" i="2"/>
  <c r="H81" i="2"/>
  <c r="I81" i="2"/>
  <c r="J81" i="2"/>
  <c r="K81" i="2"/>
  <c r="L81" i="2"/>
  <c r="M81" i="2"/>
  <c r="G82" i="2"/>
  <c r="H82" i="2"/>
  <c r="I82" i="2"/>
  <c r="J82" i="2"/>
  <c r="K82" i="2"/>
  <c r="L82" i="2"/>
  <c r="M82" i="2"/>
  <c r="G83" i="2"/>
  <c r="H83" i="2"/>
  <c r="I83" i="2"/>
  <c r="J83" i="2"/>
  <c r="K83" i="2"/>
  <c r="L83" i="2"/>
  <c r="M83" i="2"/>
  <c r="G84" i="2"/>
  <c r="H84" i="2"/>
  <c r="I84" i="2"/>
  <c r="J84" i="2"/>
  <c r="K84" i="2"/>
  <c r="L84" i="2"/>
  <c r="M84" i="2"/>
  <c r="G85" i="2"/>
  <c r="H85" i="2"/>
  <c r="I85" i="2"/>
  <c r="J85" i="2"/>
  <c r="K85" i="2"/>
  <c r="L85" i="2"/>
  <c r="M85" i="2"/>
  <c r="G86" i="2"/>
  <c r="H86" i="2"/>
  <c r="I86" i="2"/>
  <c r="J86" i="2"/>
  <c r="K86" i="2"/>
  <c r="L86" i="2"/>
  <c r="M86" i="2"/>
  <c r="G87" i="2"/>
  <c r="H87" i="2"/>
  <c r="I87" i="2"/>
  <c r="J87" i="2"/>
  <c r="K87" i="2"/>
  <c r="L87" i="2"/>
  <c r="M87" i="2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G102" i="2"/>
  <c r="H102" i="2"/>
  <c r="I102" i="2"/>
  <c r="J102" i="2"/>
  <c r="K102" i="2"/>
  <c r="L102" i="2"/>
  <c r="M102" i="2"/>
  <c r="G103" i="2"/>
  <c r="H103" i="2"/>
  <c r="I103" i="2"/>
  <c r="J103" i="2"/>
  <c r="K103" i="2"/>
  <c r="L103" i="2"/>
  <c r="M103" i="2"/>
  <c r="G104" i="2"/>
  <c r="H104" i="2"/>
  <c r="I104" i="2"/>
  <c r="J104" i="2"/>
  <c r="K104" i="2"/>
  <c r="L104" i="2"/>
  <c r="M104" i="2"/>
  <c r="G105" i="2"/>
  <c r="H105" i="2"/>
  <c r="I105" i="2"/>
  <c r="J105" i="2"/>
  <c r="K105" i="2"/>
  <c r="L105" i="2"/>
  <c r="M105" i="2"/>
  <c r="G106" i="2"/>
  <c r="H106" i="2"/>
  <c r="I106" i="2"/>
  <c r="J106" i="2"/>
  <c r="K106" i="2"/>
  <c r="L106" i="2"/>
  <c r="M106" i="2"/>
  <c r="G107" i="2"/>
  <c r="H107" i="2"/>
  <c r="I107" i="2"/>
  <c r="J107" i="2"/>
  <c r="K107" i="2"/>
  <c r="L107" i="2"/>
  <c r="M107" i="2"/>
  <c r="G108" i="2"/>
  <c r="H108" i="2"/>
  <c r="I108" i="2"/>
  <c r="J108" i="2"/>
  <c r="K108" i="2"/>
  <c r="L108" i="2"/>
  <c r="M108" i="2"/>
  <c r="G109" i="2"/>
  <c r="H109" i="2"/>
  <c r="I109" i="2"/>
  <c r="J109" i="2"/>
  <c r="K109" i="2"/>
  <c r="L109" i="2"/>
  <c r="M109" i="2"/>
  <c r="G110" i="2"/>
  <c r="H110" i="2"/>
  <c r="I110" i="2"/>
  <c r="J110" i="2"/>
  <c r="K110" i="2"/>
  <c r="L110" i="2"/>
  <c r="M110" i="2"/>
  <c r="G111" i="2"/>
  <c r="H111" i="2"/>
  <c r="I111" i="2"/>
  <c r="J111" i="2"/>
  <c r="K111" i="2"/>
  <c r="F54" i="2"/>
  <c r="E54" i="2"/>
  <c r="F53" i="2"/>
  <c r="F18" i="2"/>
  <c r="F52" i="2"/>
  <c r="A55" i="2"/>
  <c r="L58" i="2"/>
  <c r="A56" i="2"/>
  <c r="B56" i="2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E56" i="2"/>
  <c r="E57" i="2" s="1"/>
  <c r="F57" i="2" s="1"/>
  <c r="G56" i="2"/>
  <c r="H56" i="2"/>
  <c r="I56" i="2"/>
  <c r="J56" i="2"/>
  <c r="K56" i="2"/>
  <c r="L56" i="2"/>
  <c r="A57" i="2"/>
  <c r="G57" i="2"/>
  <c r="H57" i="2"/>
  <c r="I57" i="2"/>
  <c r="J57" i="2"/>
  <c r="K57" i="2"/>
  <c r="L57" i="2"/>
  <c r="M57" i="2"/>
  <c r="A58" i="2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G58" i="2"/>
  <c r="H58" i="2"/>
  <c r="I58" i="2"/>
  <c r="J58" i="2"/>
  <c r="K58" i="2"/>
  <c r="M58" i="2"/>
  <c r="G59" i="2"/>
  <c r="H59" i="2"/>
  <c r="I59" i="2"/>
  <c r="J59" i="2"/>
  <c r="K59" i="2"/>
  <c r="L59" i="2"/>
  <c r="M59" i="2"/>
  <c r="G60" i="2"/>
  <c r="H60" i="2"/>
  <c r="I60" i="2"/>
  <c r="J60" i="2"/>
  <c r="K60" i="2"/>
  <c r="L60" i="2"/>
  <c r="M60" i="2"/>
  <c r="G61" i="2"/>
  <c r="H61" i="2"/>
  <c r="I61" i="2"/>
  <c r="J61" i="2"/>
  <c r="K61" i="2"/>
  <c r="L61" i="2"/>
  <c r="M61" i="2"/>
  <c r="G62" i="2"/>
  <c r="H62" i="2"/>
  <c r="I62" i="2"/>
  <c r="J62" i="2"/>
  <c r="K62" i="2"/>
  <c r="L62" i="2"/>
  <c r="M62" i="2"/>
  <c r="G63" i="2"/>
  <c r="H63" i="2"/>
  <c r="I63" i="2"/>
  <c r="J63" i="2"/>
  <c r="K63" i="2"/>
  <c r="L63" i="2"/>
  <c r="M63" i="2"/>
  <c r="G64" i="2"/>
  <c r="H64" i="2"/>
  <c r="I64" i="2"/>
  <c r="J64" i="2"/>
  <c r="K64" i="2"/>
  <c r="L64" i="2"/>
  <c r="M64" i="2"/>
  <c r="G65" i="2"/>
  <c r="H65" i="2"/>
  <c r="I65" i="2"/>
  <c r="J65" i="2"/>
  <c r="K65" i="2"/>
  <c r="L65" i="2"/>
  <c r="M65" i="2"/>
  <c r="G66" i="2"/>
  <c r="H66" i="2"/>
  <c r="I66" i="2"/>
  <c r="J66" i="2"/>
  <c r="K66" i="2"/>
  <c r="L66" i="2"/>
  <c r="M66" i="2"/>
  <c r="G67" i="2"/>
  <c r="H67" i="2"/>
  <c r="I67" i="2"/>
  <c r="J67" i="2"/>
  <c r="K67" i="2"/>
  <c r="M67" i="2"/>
  <c r="G68" i="2"/>
  <c r="H68" i="2"/>
  <c r="I68" i="2"/>
  <c r="J68" i="2"/>
  <c r="K68" i="2"/>
  <c r="L68" i="2"/>
  <c r="M68" i="2"/>
  <c r="G69" i="2"/>
  <c r="H69" i="2"/>
  <c r="I69" i="2"/>
  <c r="J69" i="2"/>
  <c r="K69" i="2"/>
  <c r="L69" i="2"/>
  <c r="M69" i="2"/>
  <c r="M55" i="2"/>
  <c r="O48" i="1"/>
  <c r="O24" i="1"/>
  <c r="F56" i="2" l="1"/>
  <c r="E58" i="2"/>
  <c r="F58" i="2" s="1"/>
  <c r="M36" i="7"/>
  <c r="E59" i="2" l="1"/>
  <c r="F59" i="2" s="1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E60" i="2" l="1"/>
  <c r="F60" i="2" s="1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E61" i="2" l="1"/>
  <c r="F61" i="2" s="1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E62" i="2" l="1"/>
  <c r="F62" i="2" s="1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K44" i="2"/>
  <c r="K37" i="2"/>
  <c r="K48" i="2"/>
  <c r="E63" i="2" l="1"/>
  <c r="F63" i="2" s="1"/>
  <c r="D26" i="7"/>
  <c r="E64" i="2" l="1"/>
  <c r="F64" i="2" s="1"/>
  <c r="D4" i="7"/>
  <c r="G3" i="7"/>
  <c r="E65" i="2" l="1"/>
  <c r="F65" i="2" s="1"/>
  <c r="F3" i="12"/>
  <c r="G22" i="11"/>
  <c r="E66" i="2" l="1"/>
  <c r="F66" i="2" s="1"/>
  <c r="Q15" i="2"/>
  <c r="O60" i="1"/>
  <c r="O47" i="1"/>
  <c r="P11" i="2"/>
  <c r="O55" i="2"/>
  <c r="E67" i="2" l="1"/>
  <c r="F67" i="2" s="1"/>
  <c r="O38" i="1"/>
  <c r="O37" i="1"/>
  <c r="O39" i="1"/>
  <c r="O18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47" i="1"/>
  <c r="Q47" i="1"/>
  <c r="R47" i="1"/>
  <c r="S47" i="1"/>
  <c r="O49" i="1"/>
  <c r="O50" i="1"/>
  <c r="O51" i="1"/>
  <c r="O52" i="1"/>
  <c r="O53" i="1"/>
  <c r="O54" i="1"/>
  <c r="O55" i="1"/>
  <c r="O56" i="1"/>
  <c r="O57" i="1"/>
  <c r="O58" i="1"/>
  <c r="O59" i="1"/>
  <c r="O63" i="1"/>
  <c r="O64" i="1"/>
  <c r="O65" i="1"/>
  <c r="P24" i="1"/>
  <c r="P30" i="1"/>
  <c r="P10" i="1"/>
  <c r="O25" i="1"/>
  <c r="P25" i="1"/>
  <c r="Q25" i="1"/>
  <c r="R25" i="1"/>
  <c r="S25" i="1"/>
  <c r="O26" i="1"/>
  <c r="P26" i="1"/>
  <c r="Q26" i="1"/>
  <c r="R26" i="1"/>
  <c r="S26" i="1"/>
  <c r="O27" i="1"/>
  <c r="P27" i="1"/>
  <c r="Q27" i="1"/>
  <c r="R27" i="1"/>
  <c r="S27" i="1"/>
  <c r="O28" i="1"/>
  <c r="P28" i="1"/>
  <c r="Q28" i="1"/>
  <c r="R28" i="1"/>
  <c r="S28" i="1"/>
  <c r="O29" i="1"/>
  <c r="P29" i="1"/>
  <c r="Q29" i="1"/>
  <c r="R29" i="1"/>
  <c r="S29" i="1"/>
  <c r="O30" i="1"/>
  <c r="Q30" i="1"/>
  <c r="R30" i="1"/>
  <c r="S30" i="1"/>
  <c r="O31" i="1"/>
  <c r="Q31" i="1"/>
  <c r="R31" i="1"/>
  <c r="S31" i="1"/>
  <c r="O32" i="1"/>
  <c r="P32" i="1"/>
  <c r="Q32" i="1"/>
  <c r="R32" i="1"/>
  <c r="S32" i="1"/>
  <c r="O33" i="1"/>
  <c r="P33" i="1"/>
  <c r="Q33" i="1"/>
  <c r="R33" i="1"/>
  <c r="S33" i="1"/>
  <c r="O34" i="1"/>
  <c r="P34" i="1"/>
  <c r="Q34" i="1"/>
  <c r="R34" i="1"/>
  <c r="S34" i="1"/>
  <c r="O35" i="1"/>
  <c r="P35" i="1"/>
  <c r="Q35" i="1"/>
  <c r="R35" i="1"/>
  <c r="S35" i="1"/>
  <c r="O36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O40" i="1"/>
  <c r="P40" i="1"/>
  <c r="Q40" i="1"/>
  <c r="R40" i="1"/>
  <c r="S40" i="1"/>
  <c r="O41" i="1"/>
  <c r="P41" i="1"/>
  <c r="Q41" i="1"/>
  <c r="R41" i="1"/>
  <c r="S41" i="1"/>
  <c r="Q24" i="1"/>
  <c r="R24" i="1"/>
  <c r="S24" i="1"/>
  <c r="E68" i="2" l="1"/>
  <c r="F68" i="2" s="1"/>
  <c r="O61" i="1"/>
  <c r="O62" i="1"/>
  <c r="P31" i="1"/>
  <c r="E69" i="2" l="1"/>
  <c r="D4" i="12"/>
  <c r="R5" i="12"/>
  <c r="R4" i="12"/>
  <c r="R6" i="12"/>
  <c r="R7" i="12"/>
  <c r="R8" i="12"/>
  <c r="R9" i="12"/>
  <c r="R10" i="12"/>
  <c r="R11" i="12"/>
  <c r="R12" i="12"/>
  <c r="R13" i="12"/>
  <c r="R14" i="12"/>
  <c r="R15" i="12"/>
  <c r="R16" i="12"/>
  <c r="R3" i="12"/>
  <c r="Q3" i="12"/>
  <c r="P3" i="12"/>
  <c r="O3" i="12"/>
  <c r="N4" i="12"/>
  <c r="O4" i="12"/>
  <c r="P4" i="12"/>
  <c r="Q4" i="12"/>
  <c r="N5" i="12"/>
  <c r="O5" i="12"/>
  <c r="P5" i="12"/>
  <c r="Q5" i="12"/>
  <c r="N6" i="12"/>
  <c r="O6" i="12"/>
  <c r="P6" i="12"/>
  <c r="Q6" i="12"/>
  <c r="N7" i="12"/>
  <c r="O7" i="12"/>
  <c r="P7" i="12"/>
  <c r="Q7" i="12"/>
  <c r="N8" i="12"/>
  <c r="O8" i="12"/>
  <c r="P8" i="12"/>
  <c r="Q8" i="12"/>
  <c r="N9" i="12"/>
  <c r="O9" i="12"/>
  <c r="P9" i="12"/>
  <c r="Q9" i="12"/>
  <c r="N10" i="12"/>
  <c r="O10" i="12"/>
  <c r="P10" i="12"/>
  <c r="Q10" i="12"/>
  <c r="N11" i="12"/>
  <c r="O11" i="12"/>
  <c r="P11" i="12"/>
  <c r="Q11" i="12"/>
  <c r="N12" i="12"/>
  <c r="O12" i="12"/>
  <c r="P12" i="12"/>
  <c r="Q12" i="12"/>
  <c r="N13" i="12"/>
  <c r="O13" i="12"/>
  <c r="P13" i="12"/>
  <c r="Q13" i="12"/>
  <c r="N14" i="12"/>
  <c r="O14" i="12"/>
  <c r="P14" i="12"/>
  <c r="Q14" i="12"/>
  <c r="N15" i="12"/>
  <c r="O15" i="12"/>
  <c r="P15" i="12"/>
  <c r="Q15" i="12"/>
  <c r="N16" i="12"/>
  <c r="O16" i="12"/>
  <c r="P16" i="12"/>
  <c r="Q16" i="12"/>
  <c r="N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3" i="12"/>
  <c r="K3" i="12"/>
  <c r="J3" i="12"/>
  <c r="I3" i="12"/>
  <c r="H3" i="12"/>
  <c r="G3" i="12"/>
  <c r="D3" i="12"/>
  <c r="E3" i="12" s="1"/>
  <c r="N10" i="11"/>
  <c r="D6" i="11"/>
  <c r="D5" i="11"/>
  <c r="C4" i="11"/>
  <c r="E4" i="11"/>
  <c r="C5" i="11"/>
  <c r="C6" i="11"/>
  <c r="C7" i="11"/>
  <c r="C8" i="11"/>
  <c r="C9" i="11"/>
  <c r="C10" i="11"/>
  <c r="C11" i="11"/>
  <c r="C12" i="11"/>
  <c r="C13" i="11"/>
  <c r="C14" i="11"/>
  <c r="C15" i="11"/>
  <c r="C18" i="11"/>
  <c r="C19" i="11"/>
  <c r="C20" i="11"/>
  <c r="C22" i="11"/>
  <c r="C23" i="11"/>
  <c r="F3" i="11"/>
  <c r="R23" i="11"/>
  <c r="Q23" i="11"/>
  <c r="P23" i="11"/>
  <c r="O23" i="11"/>
  <c r="N23" i="11"/>
  <c r="L23" i="11"/>
  <c r="K23" i="11"/>
  <c r="J23" i="11"/>
  <c r="I23" i="11"/>
  <c r="H23" i="11"/>
  <c r="G23" i="11"/>
  <c r="F23" i="11"/>
  <c r="R22" i="11"/>
  <c r="Q22" i="11"/>
  <c r="P22" i="11"/>
  <c r="O22" i="11"/>
  <c r="N22" i="11"/>
  <c r="L22" i="11"/>
  <c r="K22" i="11"/>
  <c r="J22" i="11"/>
  <c r="I22" i="11"/>
  <c r="H22" i="11"/>
  <c r="F22" i="11"/>
  <c r="R21" i="11"/>
  <c r="Q21" i="11"/>
  <c r="P21" i="11"/>
  <c r="O21" i="11"/>
  <c r="N21" i="11"/>
  <c r="L21" i="11"/>
  <c r="K21" i="11"/>
  <c r="J21" i="11"/>
  <c r="I21" i="11"/>
  <c r="H21" i="11"/>
  <c r="G21" i="11"/>
  <c r="F21" i="11"/>
  <c r="R20" i="11"/>
  <c r="Q20" i="11"/>
  <c r="P20" i="11"/>
  <c r="O20" i="11"/>
  <c r="N20" i="11"/>
  <c r="L20" i="11"/>
  <c r="K20" i="11"/>
  <c r="J20" i="11"/>
  <c r="I20" i="11"/>
  <c r="H20" i="11"/>
  <c r="G20" i="11"/>
  <c r="F20" i="11"/>
  <c r="R19" i="11"/>
  <c r="Q19" i="11"/>
  <c r="P19" i="11"/>
  <c r="O19" i="11"/>
  <c r="N19" i="11"/>
  <c r="L19" i="11"/>
  <c r="K19" i="11"/>
  <c r="J19" i="11"/>
  <c r="I19" i="11"/>
  <c r="H19" i="11"/>
  <c r="G19" i="11"/>
  <c r="F19" i="11"/>
  <c r="R18" i="11"/>
  <c r="Q18" i="11"/>
  <c r="P18" i="11"/>
  <c r="O18" i="11"/>
  <c r="N18" i="11"/>
  <c r="L18" i="11"/>
  <c r="K18" i="11"/>
  <c r="J18" i="11"/>
  <c r="I18" i="11"/>
  <c r="H18" i="11"/>
  <c r="G18" i="11"/>
  <c r="F18" i="11"/>
  <c r="R17" i="11"/>
  <c r="Q17" i="11"/>
  <c r="P17" i="11"/>
  <c r="O17" i="11"/>
  <c r="N17" i="11"/>
  <c r="L17" i="11"/>
  <c r="K17" i="11"/>
  <c r="J17" i="11"/>
  <c r="I17" i="11"/>
  <c r="H17" i="11"/>
  <c r="G17" i="11"/>
  <c r="F17" i="11"/>
  <c r="R16" i="11"/>
  <c r="Q16" i="11"/>
  <c r="P16" i="11"/>
  <c r="O16" i="11"/>
  <c r="N16" i="11"/>
  <c r="L16" i="11"/>
  <c r="K16" i="11"/>
  <c r="J16" i="11"/>
  <c r="I16" i="11"/>
  <c r="H16" i="11"/>
  <c r="G16" i="11"/>
  <c r="F16" i="11"/>
  <c r="R15" i="11"/>
  <c r="Q15" i="11"/>
  <c r="P15" i="11"/>
  <c r="O15" i="11"/>
  <c r="N15" i="11"/>
  <c r="L15" i="11"/>
  <c r="K15" i="11"/>
  <c r="J15" i="11"/>
  <c r="I15" i="11"/>
  <c r="H15" i="11"/>
  <c r="G15" i="11"/>
  <c r="F15" i="11"/>
  <c r="R14" i="11"/>
  <c r="Q14" i="11"/>
  <c r="P14" i="11"/>
  <c r="O14" i="11"/>
  <c r="N14" i="11"/>
  <c r="L14" i="11"/>
  <c r="K14" i="11"/>
  <c r="J14" i="11"/>
  <c r="I14" i="11"/>
  <c r="H14" i="11"/>
  <c r="G14" i="11"/>
  <c r="F14" i="11"/>
  <c r="R13" i="11"/>
  <c r="Q13" i="11"/>
  <c r="P13" i="11"/>
  <c r="O13" i="11"/>
  <c r="N13" i="11"/>
  <c r="L13" i="11"/>
  <c r="K13" i="11"/>
  <c r="J13" i="11"/>
  <c r="I13" i="11"/>
  <c r="H13" i="11"/>
  <c r="G13" i="11"/>
  <c r="F13" i="11"/>
  <c r="R12" i="11"/>
  <c r="Q12" i="11"/>
  <c r="P12" i="11"/>
  <c r="O12" i="11"/>
  <c r="N12" i="11"/>
  <c r="L12" i="11"/>
  <c r="K12" i="11"/>
  <c r="J12" i="11"/>
  <c r="I12" i="11"/>
  <c r="H12" i="11"/>
  <c r="G12" i="11"/>
  <c r="F12" i="11"/>
  <c r="R11" i="11"/>
  <c r="Q11" i="11"/>
  <c r="P11" i="11"/>
  <c r="O11" i="11"/>
  <c r="N11" i="11"/>
  <c r="L11" i="11"/>
  <c r="K11" i="11"/>
  <c r="J11" i="11"/>
  <c r="I11" i="11"/>
  <c r="H11" i="11"/>
  <c r="G11" i="11"/>
  <c r="F11" i="11"/>
  <c r="R10" i="11"/>
  <c r="Q10" i="11"/>
  <c r="P10" i="11"/>
  <c r="O10" i="11"/>
  <c r="L10" i="11"/>
  <c r="K10" i="11"/>
  <c r="J10" i="11"/>
  <c r="I10" i="11"/>
  <c r="H10" i="11"/>
  <c r="G10" i="11"/>
  <c r="F10" i="11"/>
  <c r="R9" i="11"/>
  <c r="Q9" i="11"/>
  <c r="P9" i="11"/>
  <c r="O9" i="11"/>
  <c r="N9" i="11"/>
  <c r="L9" i="11"/>
  <c r="K9" i="11"/>
  <c r="J9" i="11"/>
  <c r="I9" i="11"/>
  <c r="H9" i="11"/>
  <c r="G9" i="11"/>
  <c r="F9" i="11"/>
  <c r="R8" i="11"/>
  <c r="Q8" i="11"/>
  <c r="P8" i="11"/>
  <c r="O8" i="11"/>
  <c r="N8" i="11"/>
  <c r="L8" i="11"/>
  <c r="K8" i="11"/>
  <c r="J8" i="11"/>
  <c r="I8" i="11"/>
  <c r="H8" i="11"/>
  <c r="G8" i="11"/>
  <c r="F8" i="11"/>
  <c r="R7" i="11"/>
  <c r="Q7" i="11"/>
  <c r="P7" i="11"/>
  <c r="O7" i="11"/>
  <c r="N7" i="11"/>
  <c r="L7" i="11"/>
  <c r="K7" i="11"/>
  <c r="J7" i="11"/>
  <c r="I7" i="11"/>
  <c r="H7" i="11"/>
  <c r="G7" i="11"/>
  <c r="F7" i="11"/>
  <c r="R6" i="11"/>
  <c r="Q6" i="11"/>
  <c r="P6" i="11"/>
  <c r="O6" i="11"/>
  <c r="N6" i="11"/>
  <c r="L6" i="11"/>
  <c r="K6" i="11"/>
  <c r="J6" i="11"/>
  <c r="I6" i="11"/>
  <c r="H6" i="11"/>
  <c r="G6" i="11"/>
  <c r="F6" i="11"/>
  <c r="R5" i="11"/>
  <c r="Q5" i="11"/>
  <c r="P5" i="11"/>
  <c r="O5" i="11"/>
  <c r="N5" i="11"/>
  <c r="L5" i="11"/>
  <c r="K5" i="11"/>
  <c r="J5" i="11"/>
  <c r="I5" i="11"/>
  <c r="H5" i="11"/>
  <c r="G5" i="11"/>
  <c r="F5" i="11"/>
  <c r="R4" i="11"/>
  <c r="Q4" i="11"/>
  <c r="P4" i="11"/>
  <c r="O4" i="11"/>
  <c r="N4" i="11"/>
  <c r="L4" i="11"/>
  <c r="K4" i="11"/>
  <c r="J4" i="11"/>
  <c r="I4" i="11"/>
  <c r="H4" i="11"/>
  <c r="G4" i="11"/>
  <c r="F4" i="11"/>
  <c r="R3" i="11"/>
  <c r="Q3" i="11"/>
  <c r="P3" i="11"/>
  <c r="O3" i="11"/>
  <c r="N3" i="11"/>
  <c r="L3" i="11"/>
  <c r="K3" i="11"/>
  <c r="J3" i="11"/>
  <c r="I3" i="11"/>
  <c r="H3" i="11"/>
  <c r="G3" i="11"/>
  <c r="O4" i="10"/>
  <c r="P4" i="10"/>
  <c r="Q4" i="10"/>
  <c r="R4" i="10"/>
  <c r="S4" i="10"/>
  <c r="O5" i="10"/>
  <c r="P5" i="10"/>
  <c r="Q5" i="10"/>
  <c r="R5" i="10"/>
  <c r="S5" i="10"/>
  <c r="O6" i="10"/>
  <c r="P6" i="10"/>
  <c r="Q6" i="10"/>
  <c r="R6" i="10"/>
  <c r="S6" i="10"/>
  <c r="O7" i="10"/>
  <c r="P7" i="10"/>
  <c r="Q7" i="10"/>
  <c r="R7" i="10"/>
  <c r="S7" i="10"/>
  <c r="O8" i="10"/>
  <c r="P8" i="10"/>
  <c r="Q8" i="10"/>
  <c r="R8" i="10"/>
  <c r="S8" i="10"/>
  <c r="O9" i="10"/>
  <c r="P9" i="10"/>
  <c r="Q9" i="10"/>
  <c r="R9" i="10"/>
  <c r="S9" i="10"/>
  <c r="O10" i="10"/>
  <c r="P10" i="10"/>
  <c r="Q10" i="10"/>
  <c r="R10" i="10"/>
  <c r="S10" i="10"/>
  <c r="O11" i="10"/>
  <c r="P11" i="10"/>
  <c r="Q11" i="10"/>
  <c r="R11" i="10"/>
  <c r="S11" i="10"/>
  <c r="O12" i="10"/>
  <c r="P12" i="10"/>
  <c r="Q12" i="10"/>
  <c r="R12" i="10"/>
  <c r="S12" i="10"/>
  <c r="O13" i="10"/>
  <c r="P13" i="10"/>
  <c r="Q13" i="10"/>
  <c r="R13" i="10"/>
  <c r="S13" i="10"/>
  <c r="O14" i="10"/>
  <c r="P14" i="10"/>
  <c r="Q14" i="10"/>
  <c r="R14" i="10"/>
  <c r="S14" i="10"/>
  <c r="O15" i="10"/>
  <c r="P15" i="10"/>
  <c r="Q15" i="10"/>
  <c r="R15" i="10"/>
  <c r="S15" i="10"/>
  <c r="O16" i="10"/>
  <c r="P16" i="10"/>
  <c r="Q16" i="10"/>
  <c r="R16" i="10"/>
  <c r="S16" i="10"/>
  <c r="O17" i="10"/>
  <c r="P17" i="10"/>
  <c r="Q17" i="10"/>
  <c r="R17" i="10"/>
  <c r="S17" i="10"/>
  <c r="O18" i="10"/>
  <c r="P18" i="10"/>
  <c r="Q18" i="10"/>
  <c r="R18" i="10"/>
  <c r="S18" i="10"/>
  <c r="O19" i="10"/>
  <c r="P19" i="10"/>
  <c r="Q19" i="10"/>
  <c r="R19" i="10"/>
  <c r="S19" i="10"/>
  <c r="O20" i="10"/>
  <c r="P20" i="10"/>
  <c r="Q20" i="10"/>
  <c r="R20" i="10"/>
  <c r="S20" i="10"/>
  <c r="O21" i="10"/>
  <c r="P21" i="10"/>
  <c r="Q21" i="10"/>
  <c r="R21" i="10"/>
  <c r="S21" i="10"/>
  <c r="O22" i="10"/>
  <c r="P22" i="10"/>
  <c r="Q22" i="10"/>
  <c r="R22" i="10"/>
  <c r="S22" i="10"/>
  <c r="O23" i="10"/>
  <c r="P23" i="10"/>
  <c r="Q23" i="10"/>
  <c r="R23" i="10"/>
  <c r="S23" i="10"/>
  <c r="O24" i="10"/>
  <c r="Q24" i="10"/>
  <c r="R24" i="10"/>
  <c r="S24" i="10"/>
  <c r="O25" i="10"/>
  <c r="P25" i="10"/>
  <c r="Q25" i="10"/>
  <c r="R25" i="10"/>
  <c r="S25" i="10"/>
  <c r="O26" i="10"/>
  <c r="P26" i="10"/>
  <c r="Q26" i="10"/>
  <c r="R26" i="10"/>
  <c r="S26" i="10"/>
  <c r="O27" i="10"/>
  <c r="P27" i="10"/>
  <c r="Q27" i="10"/>
  <c r="R27" i="10"/>
  <c r="S27" i="10"/>
  <c r="O28" i="10"/>
  <c r="P28" i="10"/>
  <c r="Q28" i="10"/>
  <c r="R28" i="10"/>
  <c r="S28" i="10"/>
  <c r="S3" i="10"/>
  <c r="R3" i="10"/>
  <c r="Q3" i="10"/>
  <c r="P3" i="10"/>
  <c r="O3" i="10"/>
  <c r="G4" i="10"/>
  <c r="H4" i="10"/>
  <c r="I4" i="10"/>
  <c r="J4" i="10"/>
  <c r="K4" i="10"/>
  <c r="L4" i="10"/>
  <c r="M4" i="10"/>
  <c r="G5" i="10"/>
  <c r="H5" i="10"/>
  <c r="I5" i="10"/>
  <c r="J5" i="10"/>
  <c r="K5" i="10"/>
  <c r="L5" i="10"/>
  <c r="M5" i="10"/>
  <c r="G6" i="10"/>
  <c r="H6" i="10"/>
  <c r="I6" i="10"/>
  <c r="J6" i="10"/>
  <c r="K6" i="10"/>
  <c r="L6" i="10"/>
  <c r="M6" i="10"/>
  <c r="G7" i="10"/>
  <c r="H7" i="10"/>
  <c r="I7" i="10"/>
  <c r="J7" i="10"/>
  <c r="K7" i="10"/>
  <c r="L7" i="10"/>
  <c r="M7" i="10"/>
  <c r="G8" i="10"/>
  <c r="H8" i="10"/>
  <c r="I8" i="10"/>
  <c r="J8" i="10"/>
  <c r="K8" i="10"/>
  <c r="L8" i="10"/>
  <c r="M8" i="10"/>
  <c r="G9" i="10"/>
  <c r="H9" i="10"/>
  <c r="I9" i="10"/>
  <c r="J9" i="10"/>
  <c r="K9" i="10"/>
  <c r="L9" i="10"/>
  <c r="M9" i="10"/>
  <c r="G10" i="10"/>
  <c r="H10" i="10"/>
  <c r="I10" i="10"/>
  <c r="J10" i="10"/>
  <c r="K10" i="10"/>
  <c r="L10" i="10"/>
  <c r="M10" i="10"/>
  <c r="G11" i="10"/>
  <c r="H11" i="10"/>
  <c r="I11" i="10"/>
  <c r="J11" i="10"/>
  <c r="K11" i="10"/>
  <c r="L11" i="10"/>
  <c r="M11" i="10"/>
  <c r="G12" i="10"/>
  <c r="H12" i="10"/>
  <c r="I12" i="10"/>
  <c r="J12" i="10"/>
  <c r="K12" i="10"/>
  <c r="L12" i="10"/>
  <c r="M12" i="10"/>
  <c r="G13" i="10"/>
  <c r="H13" i="10"/>
  <c r="I13" i="10"/>
  <c r="J13" i="10"/>
  <c r="K13" i="10"/>
  <c r="L13" i="10"/>
  <c r="M13" i="10"/>
  <c r="G14" i="10"/>
  <c r="H14" i="10"/>
  <c r="I14" i="10"/>
  <c r="J14" i="10"/>
  <c r="K14" i="10"/>
  <c r="L14" i="10"/>
  <c r="M14" i="10"/>
  <c r="G15" i="10"/>
  <c r="H15" i="10"/>
  <c r="I15" i="10"/>
  <c r="J15" i="10"/>
  <c r="K15" i="10"/>
  <c r="L15" i="10"/>
  <c r="M15" i="10"/>
  <c r="G16" i="10"/>
  <c r="H16" i="10"/>
  <c r="I16" i="10"/>
  <c r="J16" i="10"/>
  <c r="K16" i="10"/>
  <c r="L16" i="10"/>
  <c r="M16" i="10"/>
  <c r="G17" i="10"/>
  <c r="H17" i="10"/>
  <c r="I17" i="10"/>
  <c r="J17" i="10"/>
  <c r="K17" i="10"/>
  <c r="L17" i="10"/>
  <c r="M17" i="10"/>
  <c r="G18" i="10"/>
  <c r="H18" i="10"/>
  <c r="I18" i="10"/>
  <c r="J18" i="10"/>
  <c r="K18" i="10"/>
  <c r="L18" i="10"/>
  <c r="M18" i="10"/>
  <c r="G19" i="10"/>
  <c r="H19" i="10"/>
  <c r="I19" i="10"/>
  <c r="J19" i="10"/>
  <c r="K19" i="10"/>
  <c r="L19" i="10"/>
  <c r="M19" i="10"/>
  <c r="G20" i="10"/>
  <c r="H20" i="10"/>
  <c r="I20" i="10"/>
  <c r="J20" i="10"/>
  <c r="K20" i="10"/>
  <c r="L20" i="10"/>
  <c r="M20" i="10"/>
  <c r="G21" i="10"/>
  <c r="H21" i="10"/>
  <c r="I21" i="10"/>
  <c r="J21" i="10"/>
  <c r="K21" i="10"/>
  <c r="L21" i="10"/>
  <c r="M21" i="10"/>
  <c r="G22" i="10"/>
  <c r="H22" i="10"/>
  <c r="I22" i="10"/>
  <c r="J22" i="10"/>
  <c r="K22" i="10"/>
  <c r="L22" i="10"/>
  <c r="M22" i="10"/>
  <c r="G23" i="10"/>
  <c r="H23" i="10"/>
  <c r="I23" i="10"/>
  <c r="J23" i="10"/>
  <c r="K23" i="10"/>
  <c r="L23" i="10"/>
  <c r="M23" i="10"/>
  <c r="G24" i="10"/>
  <c r="H24" i="10"/>
  <c r="I24" i="10"/>
  <c r="J24" i="10"/>
  <c r="K24" i="10"/>
  <c r="L24" i="10"/>
  <c r="M24" i="10"/>
  <c r="G25" i="10"/>
  <c r="H25" i="10"/>
  <c r="I25" i="10"/>
  <c r="J25" i="10"/>
  <c r="K25" i="10"/>
  <c r="L25" i="10"/>
  <c r="M25" i="10"/>
  <c r="G26" i="10"/>
  <c r="H26" i="10"/>
  <c r="I26" i="10"/>
  <c r="J26" i="10"/>
  <c r="K26" i="10"/>
  <c r="L26" i="10"/>
  <c r="M26" i="10"/>
  <c r="G27" i="10"/>
  <c r="H27" i="10"/>
  <c r="I27" i="10"/>
  <c r="J27" i="10"/>
  <c r="K27" i="10"/>
  <c r="L27" i="10"/>
  <c r="M27" i="10"/>
  <c r="G28" i="10"/>
  <c r="H28" i="10"/>
  <c r="I28" i="10"/>
  <c r="J28" i="10"/>
  <c r="K28" i="10"/>
  <c r="L28" i="10"/>
  <c r="M28" i="10"/>
  <c r="G3" i="10"/>
  <c r="M3" i="10"/>
  <c r="L3" i="10"/>
  <c r="K3" i="10"/>
  <c r="J3" i="10"/>
  <c r="I3" i="10"/>
  <c r="H3" i="10"/>
  <c r="E9" i="10"/>
  <c r="E17" i="10"/>
  <c r="F9" i="10"/>
  <c r="F27" i="10"/>
  <c r="E11" i="9"/>
  <c r="D11" i="9"/>
  <c r="D11" i="10"/>
  <c r="D6" i="10"/>
  <c r="D5" i="10"/>
  <c r="F4" i="9"/>
  <c r="D23" i="10"/>
  <c r="D20" i="10"/>
  <c r="D7" i="10"/>
  <c r="D8" i="10"/>
  <c r="D9" i="10"/>
  <c r="D10" i="10"/>
  <c r="D12" i="10"/>
  <c r="D13" i="10"/>
  <c r="D14" i="10"/>
  <c r="D15" i="10"/>
  <c r="D16" i="10"/>
  <c r="D17" i="10"/>
  <c r="D18" i="10"/>
  <c r="D19" i="10"/>
  <c r="D21" i="10"/>
  <c r="D22" i="10"/>
  <c r="D24" i="10"/>
  <c r="D25" i="10"/>
  <c r="D26" i="10"/>
  <c r="D27" i="10"/>
  <c r="D28" i="10"/>
  <c r="D4" i="10"/>
  <c r="E4" i="10" s="1"/>
  <c r="E5" i="10" s="1"/>
  <c r="E6" i="10" s="1"/>
  <c r="D4" i="9"/>
  <c r="F69" i="2" l="1"/>
  <c r="E70" i="2"/>
  <c r="E5" i="1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D4" i="11"/>
  <c r="F5" i="10"/>
  <c r="F6" i="10" s="1"/>
  <c r="F7" i="10" s="1"/>
  <c r="F8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8" i="10" s="1"/>
  <c r="E7" i="10"/>
  <c r="E8" i="10" s="1"/>
  <c r="E11" i="10" s="1"/>
  <c r="E12" i="10" s="1"/>
  <c r="E13" i="10" s="1"/>
  <c r="E14" i="10" s="1"/>
  <c r="E15" i="10" s="1"/>
  <c r="E16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F70" i="2" l="1"/>
  <c r="E71" i="2"/>
  <c r="D5" i="12"/>
  <c r="D6" i="12" s="1"/>
  <c r="E4" i="12"/>
  <c r="E5" i="12"/>
  <c r="D7" i="12"/>
  <c r="E6" i="12"/>
  <c r="D7" i="11"/>
  <c r="D8" i="11" s="1"/>
  <c r="D9" i="11" s="1"/>
  <c r="D10" i="11" s="1"/>
  <c r="D11" i="11" s="1"/>
  <c r="D12" i="11" s="1"/>
  <c r="D13" i="11" s="1"/>
  <c r="D14" i="11" s="1"/>
  <c r="D15" i="11" s="1"/>
  <c r="D16" i="11" s="1"/>
  <c r="E72" i="2" l="1"/>
  <c r="F71" i="2"/>
  <c r="D8" i="12"/>
  <c r="E7" i="12"/>
  <c r="D17" i="11"/>
  <c r="D18" i="11" s="1"/>
  <c r="D19" i="11" s="1"/>
  <c r="D20" i="11" s="1"/>
  <c r="D21" i="11" s="1"/>
  <c r="D22" i="11" s="1"/>
  <c r="D23" i="11" s="1"/>
  <c r="F72" i="2" l="1"/>
  <c r="E73" i="2"/>
  <c r="E8" i="12"/>
  <c r="D9" i="12"/>
  <c r="D7" i="7"/>
  <c r="F5" i="8"/>
  <c r="D5" i="8"/>
  <c r="F4" i="8"/>
  <c r="F8" i="9"/>
  <c r="F5" i="9"/>
  <c r="J9" i="9"/>
  <c r="O4" i="9"/>
  <c r="P4" i="9"/>
  <c r="Q4" i="9"/>
  <c r="R4" i="9"/>
  <c r="S4" i="9"/>
  <c r="O5" i="9"/>
  <c r="P5" i="9"/>
  <c r="Q5" i="9"/>
  <c r="R5" i="9"/>
  <c r="S5" i="9"/>
  <c r="O6" i="9"/>
  <c r="P6" i="9"/>
  <c r="Q6" i="9"/>
  <c r="R6" i="9"/>
  <c r="S6" i="9"/>
  <c r="O7" i="9"/>
  <c r="Q7" i="9"/>
  <c r="R7" i="9"/>
  <c r="S7" i="9"/>
  <c r="O8" i="9"/>
  <c r="P8" i="9"/>
  <c r="Q8" i="9"/>
  <c r="R8" i="9"/>
  <c r="S8" i="9"/>
  <c r="O9" i="9"/>
  <c r="P9" i="9"/>
  <c r="Q9" i="9"/>
  <c r="R9" i="9"/>
  <c r="S9" i="9"/>
  <c r="O10" i="9"/>
  <c r="P10" i="9"/>
  <c r="Q10" i="9"/>
  <c r="R10" i="9"/>
  <c r="S10" i="9"/>
  <c r="O11" i="9"/>
  <c r="P11" i="9"/>
  <c r="Q11" i="9"/>
  <c r="R11" i="9"/>
  <c r="S11" i="9"/>
  <c r="O12" i="9"/>
  <c r="P12" i="9"/>
  <c r="Q12" i="9"/>
  <c r="R12" i="9"/>
  <c r="S12" i="9"/>
  <c r="O13" i="9"/>
  <c r="P13" i="9"/>
  <c r="Q13" i="9"/>
  <c r="R13" i="9"/>
  <c r="S13" i="9"/>
  <c r="O14" i="9"/>
  <c r="P14" i="9"/>
  <c r="Q14" i="9"/>
  <c r="R14" i="9"/>
  <c r="S14" i="9"/>
  <c r="O15" i="9"/>
  <c r="P15" i="9"/>
  <c r="Q15" i="9"/>
  <c r="R15" i="9"/>
  <c r="S15" i="9"/>
  <c r="O16" i="9"/>
  <c r="P16" i="9"/>
  <c r="Q16" i="9"/>
  <c r="R16" i="9"/>
  <c r="S16" i="9"/>
  <c r="O17" i="9"/>
  <c r="P17" i="9"/>
  <c r="Q17" i="9"/>
  <c r="R17" i="9"/>
  <c r="S17" i="9"/>
  <c r="O18" i="9"/>
  <c r="P18" i="9"/>
  <c r="Q18" i="9"/>
  <c r="R18" i="9"/>
  <c r="S18" i="9"/>
  <c r="O19" i="9"/>
  <c r="P19" i="9"/>
  <c r="Q19" i="9"/>
  <c r="R19" i="9"/>
  <c r="S19" i="9"/>
  <c r="O20" i="9"/>
  <c r="P20" i="9"/>
  <c r="Q20" i="9"/>
  <c r="R20" i="9"/>
  <c r="S20" i="9"/>
  <c r="O21" i="9"/>
  <c r="P21" i="9"/>
  <c r="Q21" i="9"/>
  <c r="R21" i="9"/>
  <c r="S21" i="9"/>
  <c r="O22" i="9"/>
  <c r="P22" i="9"/>
  <c r="Q22" i="9"/>
  <c r="R22" i="9"/>
  <c r="S22" i="9"/>
  <c r="O23" i="9"/>
  <c r="P23" i="9"/>
  <c r="Q23" i="9"/>
  <c r="R23" i="9"/>
  <c r="S23" i="9"/>
  <c r="O24" i="9"/>
  <c r="P24" i="9"/>
  <c r="Q24" i="9"/>
  <c r="R24" i="9"/>
  <c r="S24" i="9"/>
  <c r="O25" i="9"/>
  <c r="P25" i="9"/>
  <c r="Q25" i="9"/>
  <c r="R25" i="9"/>
  <c r="S25" i="9"/>
  <c r="O26" i="9"/>
  <c r="P26" i="9"/>
  <c r="Q26" i="9"/>
  <c r="R26" i="9"/>
  <c r="S26" i="9"/>
  <c r="O27" i="9"/>
  <c r="P27" i="9"/>
  <c r="Q27" i="9"/>
  <c r="R27" i="9"/>
  <c r="S27" i="9"/>
  <c r="O28" i="9"/>
  <c r="P28" i="9"/>
  <c r="Q28" i="9"/>
  <c r="R28" i="9"/>
  <c r="S28" i="9"/>
  <c r="O29" i="9"/>
  <c r="P29" i="9"/>
  <c r="Q29" i="9"/>
  <c r="R29" i="9"/>
  <c r="S29" i="9"/>
  <c r="O30" i="9"/>
  <c r="P30" i="9"/>
  <c r="Q30" i="9"/>
  <c r="R30" i="9"/>
  <c r="S30" i="9"/>
  <c r="O31" i="9"/>
  <c r="P31" i="9"/>
  <c r="Q31" i="9"/>
  <c r="R31" i="9"/>
  <c r="S31" i="9"/>
  <c r="O32" i="9"/>
  <c r="P32" i="9"/>
  <c r="Q32" i="9"/>
  <c r="R32" i="9"/>
  <c r="S32" i="9"/>
  <c r="O33" i="9"/>
  <c r="P33" i="9"/>
  <c r="Q33" i="9"/>
  <c r="R33" i="9"/>
  <c r="S33" i="9"/>
  <c r="O34" i="9"/>
  <c r="P34" i="9"/>
  <c r="Q34" i="9"/>
  <c r="R34" i="9"/>
  <c r="S34" i="9"/>
  <c r="O3" i="9"/>
  <c r="S3" i="9"/>
  <c r="R3" i="9"/>
  <c r="Q3" i="9"/>
  <c r="P3" i="9"/>
  <c r="L21" i="9"/>
  <c r="G4" i="9"/>
  <c r="H4" i="9"/>
  <c r="I4" i="9"/>
  <c r="J4" i="9"/>
  <c r="K4" i="9"/>
  <c r="L4" i="9"/>
  <c r="M4" i="9"/>
  <c r="G5" i="9"/>
  <c r="H5" i="9"/>
  <c r="I5" i="9"/>
  <c r="J5" i="9"/>
  <c r="K5" i="9"/>
  <c r="L5" i="9"/>
  <c r="M5" i="9"/>
  <c r="G6" i="9"/>
  <c r="H6" i="9"/>
  <c r="I6" i="9"/>
  <c r="J6" i="9"/>
  <c r="K6" i="9"/>
  <c r="L6" i="9"/>
  <c r="M6" i="9"/>
  <c r="G7" i="9"/>
  <c r="H7" i="9"/>
  <c r="I7" i="9"/>
  <c r="J7" i="9"/>
  <c r="K7" i="9"/>
  <c r="L7" i="9"/>
  <c r="M7" i="9"/>
  <c r="G8" i="9"/>
  <c r="H8" i="9"/>
  <c r="I8" i="9"/>
  <c r="J8" i="9"/>
  <c r="K8" i="9"/>
  <c r="L8" i="9"/>
  <c r="M8" i="9"/>
  <c r="G9" i="9"/>
  <c r="H9" i="9"/>
  <c r="I9" i="9"/>
  <c r="K9" i="9"/>
  <c r="L9" i="9"/>
  <c r="M9" i="9"/>
  <c r="G10" i="9"/>
  <c r="H10" i="9"/>
  <c r="I10" i="9"/>
  <c r="J10" i="9"/>
  <c r="K10" i="9"/>
  <c r="L10" i="9"/>
  <c r="M10" i="9"/>
  <c r="G11" i="9"/>
  <c r="H11" i="9"/>
  <c r="I11" i="9"/>
  <c r="J11" i="9"/>
  <c r="K11" i="9"/>
  <c r="L11" i="9"/>
  <c r="M11" i="9"/>
  <c r="G12" i="9"/>
  <c r="H12" i="9"/>
  <c r="I12" i="9"/>
  <c r="J12" i="9"/>
  <c r="K12" i="9"/>
  <c r="L12" i="9"/>
  <c r="M12" i="9"/>
  <c r="G13" i="9"/>
  <c r="H13" i="9"/>
  <c r="I13" i="9"/>
  <c r="J13" i="9"/>
  <c r="K13" i="9"/>
  <c r="L13" i="9"/>
  <c r="M13" i="9"/>
  <c r="G14" i="9"/>
  <c r="H14" i="9"/>
  <c r="I14" i="9"/>
  <c r="J14" i="9"/>
  <c r="K14" i="9"/>
  <c r="L14" i="9"/>
  <c r="M14" i="9"/>
  <c r="G15" i="9"/>
  <c r="H15" i="9"/>
  <c r="I15" i="9"/>
  <c r="J15" i="9"/>
  <c r="K15" i="9"/>
  <c r="L15" i="9"/>
  <c r="M15" i="9"/>
  <c r="G16" i="9"/>
  <c r="H16" i="9"/>
  <c r="I16" i="9"/>
  <c r="J16" i="9"/>
  <c r="K16" i="9"/>
  <c r="L16" i="9"/>
  <c r="M16" i="9"/>
  <c r="G17" i="9"/>
  <c r="H17" i="9"/>
  <c r="I17" i="9"/>
  <c r="J17" i="9"/>
  <c r="K17" i="9"/>
  <c r="L17" i="9"/>
  <c r="M17" i="9"/>
  <c r="G18" i="9"/>
  <c r="H18" i="9"/>
  <c r="I18" i="9"/>
  <c r="J18" i="9"/>
  <c r="K18" i="9"/>
  <c r="L18" i="9"/>
  <c r="M18" i="9"/>
  <c r="G19" i="9"/>
  <c r="H19" i="9"/>
  <c r="I19" i="9"/>
  <c r="J19" i="9"/>
  <c r="K19" i="9"/>
  <c r="L19" i="9"/>
  <c r="M19" i="9"/>
  <c r="G20" i="9"/>
  <c r="H20" i="9"/>
  <c r="I20" i="9"/>
  <c r="J20" i="9"/>
  <c r="K20" i="9"/>
  <c r="L20" i="9"/>
  <c r="M20" i="9"/>
  <c r="G21" i="9"/>
  <c r="H21" i="9"/>
  <c r="I21" i="9"/>
  <c r="J21" i="9"/>
  <c r="K21" i="9"/>
  <c r="M21" i="9"/>
  <c r="G22" i="9"/>
  <c r="H22" i="9"/>
  <c r="I22" i="9"/>
  <c r="J22" i="9"/>
  <c r="K22" i="9"/>
  <c r="L22" i="9"/>
  <c r="M22" i="9"/>
  <c r="G23" i="9"/>
  <c r="H23" i="9"/>
  <c r="I23" i="9"/>
  <c r="J23" i="9"/>
  <c r="K23" i="9"/>
  <c r="L23" i="9"/>
  <c r="M23" i="9"/>
  <c r="G24" i="9"/>
  <c r="H24" i="9"/>
  <c r="I24" i="9"/>
  <c r="J24" i="9"/>
  <c r="K24" i="9"/>
  <c r="L24" i="9"/>
  <c r="M24" i="9"/>
  <c r="G25" i="9"/>
  <c r="H25" i="9"/>
  <c r="I25" i="9"/>
  <c r="J25" i="9"/>
  <c r="K25" i="9"/>
  <c r="L25" i="9"/>
  <c r="M25" i="9"/>
  <c r="G26" i="9"/>
  <c r="H26" i="9"/>
  <c r="I26" i="9"/>
  <c r="J26" i="9"/>
  <c r="K26" i="9"/>
  <c r="L26" i="9"/>
  <c r="M26" i="9"/>
  <c r="G27" i="9"/>
  <c r="H27" i="9"/>
  <c r="I27" i="9"/>
  <c r="J27" i="9"/>
  <c r="K27" i="9"/>
  <c r="L27" i="9"/>
  <c r="M27" i="9"/>
  <c r="G28" i="9"/>
  <c r="H28" i="9"/>
  <c r="I28" i="9"/>
  <c r="J28" i="9"/>
  <c r="K28" i="9"/>
  <c r="L28" i="9"/>
  <c r="M28" i="9"/>
  <c r="G29" i="9"/>
  <c r="H29" i="9"/>
  <c r="I29" i="9"/>
  <c r="J29" i="9"/>
  <c r="K29" i="9"/>
  <c r="L29" i="9"/>
  <c r="M29" i="9"/>
  <c r="G30" i="9"/>
  <c r="H30" i="9"/>
  <c r="I30" i="9"/>
  <c r="J30" i="9"/>
  <c r="K30" i="9"/>
  <c r="L30" i="9"/>
  <c r="M30" i="9"/>
  <c r="G31" i="9"/>
  <c r="H31" i="9"/>
  <c r="I31" i="9"/>
  <c r="J31" i="9"/>
  <c r="K31" i="9"/>
  <c r="L31" i="9"/>
  <c r="M31" i="9"/>
  <c r="G32" i="9"/>
  <c r="H32" i="9"/>
  <c r="I32" i="9"/>
  <c r="J32" i="9"/>
  <c r="K32" i="9"/>
  <c r="L32" i="9"/>
  <c r="M32" i="9"/>
  <c r="G33" i="9"/>
  <c r="H33" i="9"/>
  <c r="I33" i="9"/>
  <c r="J33" i="9"/>
  <c r="K33" i="9"/>
  <c r="L33" i="9"/>
  <c r="M33" i="9"/>
  <c r="G34" i="9"/>
  <c r="H34" i="9"/>
  <c r="I34" i="9"/>
  <c r="J34" i="9"/>
  <c r="K34" i="9"/>
  <c r="L34" i="9"/>
  <c r="M34" i="9"/>
  <c r="G3" i="9"/>
  <c r="M3" i="9"/>
  <c r="L3" i="9"/>
  <c r="K3" i="9"/>
  <c r="J3" i="9"/>
  <c r="I3" i="9"/>
  <c r="H3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0" i="9"/>
  <c r="D9" i="9"/>
  <c r="D8" i="9"/>
  <c r="A8" i="9"/>
  <c r="A11" i="9" s="1"/>
  <c r="A14" i="9" s="1"/>
  <c r="A17" i="9" s="1"/>
  <c r="A20" i="9" s="1"/>
  <c r="A23" i="9" s="1"/>
  <c r="A26" i="9" s="1"/>
  <c r="A29" i="9" s="1"/>
  <c r="A32" i="9" s="1"/>
  <c r="D7" i="9"/>
  <c r="D6" i="9"/>
  <c r="B5" i="9"/>
  <c r="F6" i="9"/>
  <c r="F7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73" i="2" l="1"/>
  <c r="E74" i="2"/>
  <c r="D10" i="12"/>
  <c r="E9" i="12"/>
  <c r="E5" i="9"/>
  <c r="E6" i="9" s="1"/>
  <c r="E7" i="9" s="1"/>
  <c r="E8" i="9" s="1"/>
  <c r="E9" i="9" s="1"/>
  <c r="E10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75" i="2" l="1"/>
  <c r="F74" i="2"/>
  <c r="D11" i="12"/>
  <c r="E10" i="12"/>
  <c r="O4" i="8"/>
  <c r="P4" i="8"/>
  <c r="Q4" i="8"/>
  <c r="R4" i="8"/>
  <c r="S4" i="8"/>
  <c r="O5" i="8"/>
  <c r="P5" i="8"/>
  <c r="Q5" i="8"/>
  <c r="R5" i="8"/>
  <c r="S5" i="8"/>
  <c r="O6" i="8"/>
  <c r="P6" i="8"/>
  <c r="Q6" i="8"/>
  <c r="R6" i="8"/>
  <c r="S6" i="8"/>
  <c r="O7" i="8"/>
  <c r="P7" i="8"/>
  <c r="Q7" i="8"/>
  <c r="R7" i="8"/>
  <c r="S7" i="8"/>
  <c r="O8" i="8"/>
  <c r="P8" i="8"/>
  <c r="Q8" i="8"/>
  <c r="R8" i="8"/>
  <c r="S8" i="8"/>
  <c r="O9" i="8"/>
  <c r="P9" i="8"/>
  <c r="Q9" i="8"/>
  <c r="R9" i="8"/>
  <c r="S9" i="8"/>
  <c r="O10" i="8"/>
  <c r="P10" i="8"/>
  <c r="Q10" i="8"/>
  <c r="R10" i="8"/>
  <c r="S10" i="8"/>
  <c r="O11" i="8"/>
  <c r="P11" i="8"/>
  <c r="Q11" i="8"/>
  <c r="R11" i="8"/>
  <c r="S11" i="8"/>
  <c r="O12" i="8"/>
  <c r="P12" i="8"/>
  <c r="Q12" i="8"/>
  <c r="R12" i="8"/>
  <c r="S12" i="8"/>
  <c r="O13" i="8"/>
  <c r="P13" i="8"/>
  <c r="Q13" i="8"/>
  <c r="R13" i="8"/>
  <c r="S13" i="8"/>
  <c r="O14" i="8"/>
  <c r="P14" i="8"/>
  <c r="Q14" i="8"/>
  <c r="R14" i="8"/>
  <c r="S14" i="8"/>
  <c r="O15" i="8"/>
  <c r="P15" i="8"/>
  <c r="Q15" i="8"/>
  <c r="R15" i="8"/>
  <c r="S15" i="8"/>
  <c r="O16" i="8"/>
  <c r="P16" i="8"/>
  <c r="Q16" i="8"/>
  <c r="R16" i="8"/>
  <c r="S16" i="8"/>
  <c r="O17" i="8"/>
  <c r="P17" i="8"/>
  <c r="Q17" i="8"/>
  <c r="R17" i="8"/>
  <c r="S17" i="8"/>
  <c r="O18" i="8"/>
  <c r="P18" i="8"/>
  <c r="Q18" i="8"/>
  <c r="R18" i="8"/>
  <c r="S18" i="8"/>
  <c r="O19" i="8"/>
  <c r="P19" i="8"/>
  <c r="Q19" i="8"/>
  <c r="R19" i="8"/>
  <c r="S19" i="8"/>
  <c r="O20" i="8"/>
  <c r="P20" i="8"/>
  <c r="Q20" i="8"/>
  <c r="R20" i="8"/>
  <c r="S20" i="8"/>
  <c r="O21" i="8"/>
  <c r="P21" i="8"/>
  <c r="Q21" i="8"/>
  <c r="R21" i="8"/>
  <c r="S21" i="8"/>
  <c r="O22" i="8"/>
  <c r="P22" i="8"/>
  <c r="Q22" i="8"/>
  <c r="R22" i="8"/>
  <c r="S22" i="8"/>
  <c r="O23" i="8"/>
  <c r="P23" i="8"/>
  <c r="Q23" i="8"/>
  <c r="R23" i="8"/>
  <c r="S23" i="8"/>
  <c r="O24" i="8"/>
  <c r="P24" i="8"/>
  <c r="Q24" i="8"/>
  <c r="R24" i="8"/>
  <c r="S24" i="8"/>
  <c r="O25" i="8"/>
  <c r="P25" i="8"/>
  <c r="Q25" i="8"/>
  <c r="R25" i="8"/>
  <c r="S25" i="8"/>
  <c r="O26" i="8"/>
  <c r="P26" i="8"/>
  <c r="Q26" i="8"/>
  <c r="R26" i="8"/>
  <c r="S26" i="8"/>
  <c r="O27" i="8"/>
  <c r="P27" i="8"/>
  <c r="Q27" i="8"/>
  <c r="R27" i="8"/>
  <c r="S27" i="8"/>
  <c r="O28" i="8"/>
  <c r="P28" i="8"/>
  <c r="Q28" i="8"/>
  <c r="R28" i="8"/>
  <c r="S28" i="8"/>
  <c r="O29" i="8"/>
  <c r="P29" i="8"/>
  <c r="Q29" i="8"/>
  <c r="R29" i="8"/>
  <c r="S29" i="8"/>
  <c r="O30" i="8"/>
  <c r="P30" i="8"/>
  <c r="Q30" i="8"/>
  <c r="R30" i="8"/>
  <c r="S30" i="8"/>
  <c r="O31" i="8"/>
  <c r="P31" i="8"/>
  <c r="Q31" i="8"/>
  <c r="R31" i="8"/>
  <c r="S31" i="8"/>
  <c r="O32" i="8"/>
  <c r="P32" i="8"/>
  <c r="Q32" i="8"/>
  <c r="R32" i="8"/>
  <c r="S32" i="8"/>
  <c r="O33" i="8"/>
  <c r="P33" i="8"/>
  <c r="Q33" i="8"/>
  <c r="R33" i="8"/>
  <c r="S33" i="8"/>
  <c r="O34" i="8"/>
  <c r="P34" i="8"/>
  <c r="Q34" i="8"/>
  <c r="R34" i="8"/>
  <c r="S34" i="8"/>
  <c r="O35" i="8"/>
  <c r="P35" i="8"/>
  <c r="Q35" i="8"/>
  <c r="R35" i="8"/>
  <c r="S35" i="8"/>
  <c r="O36" i="8"/>
  <c r="P36" i="8"/>
  <c r="Q36" i="8"/>
  <c r="R36" i="8"/>
  <c r="S36" i="8"/>
  <c r="O37" i="8"/>
  <c r="P37" i="8"/>
  <c r="Q37" i="8"/>
  <c r="R37" i="8"/>
  <c r="S37" i="8"/>
  <c r="O38" i="8"/>
  <c r="P38" i="8"/>
  <c r="Q38" i="8"/>
  <c r="R38" i="8"/>
  <c r="S38" i="8"/>
  <c r="O39" i="8"/>
  <c r="P39" i="8"/>
  <c r="Q39" i="8"/>
  <c r="R39" i="8"/>
  <c r="S39" i="8"/>
  <c r="O40" i="8"/>
  <c r="P40" i="8"/>
  <c r="Q40" i="8"/>
  <c r="R40" i="8"/>
  <c r="S40" i="8"/>
  <c r="O41" i="8"/>
  <c r="P41" i="8"/>
  <c r="Q41" i="8"/>
  <c r="R41" i="8"/>
  <c r="S41" i="8"/>
  <c r="O42" i="8"/>
  <c r="P42" i="8"/>
  <c r="Q42" i="8"/>
  <c r="R42" i="8"/>
  <c r="S42" i="8"/>
  <c r="O43" i="8"/>
  <c r="P43" i="8"/>
  <c r="Q43" i="8"/>
  <c r="R43" i="8"/>
  <c r="S43" i="8"/>
  <c r="O44" i="8"/>
  <c r="P44" i="8"/>
  <c r="Q44" i="8"/>
  <c r="R44" i="8"/>
  <c r="S44" i="8"/>
  <c r="O45" i="8"/>
  <c r="P45" i="8"/>
  <c r="Q45" i="8"/>
  <c r="R45" i="8"/>
  <c r="S45" i="8"/>
  <c r="O46" i="8"/>
  <c r="P46" i="8"/>
  <c r="Q46" i="8"/>
  <c r="R46" i="8"/>
  <c r="S46" i="8"/>
  <c r="O47" i="8"/>
  <c r="P47" i="8"/>
  <c r="Q47" i="8"/>
  <c r="R47" i="8"/>
  <c r="S47" i="8"/>
  <c r="O48" i="8"/>
  <c r="P48" i="8"/>
  <c r="Q48" i="8"/>
  <c r="R48" i="8"/>
  <c r="S48" i="8"/>
  <c r="O49" i="8"/>
  <c r="P49" i="8"/>
  <c r="Q49" i="8"/>
  <c r="R49" i="8"/>
  <c r="S49" i="8"/>
  <c r="S3" i="8"/>
  <c r="R3" i="8"/>
  <c r="Q3" i="8"/>
  <c r="P3" i="8"/>
  <c r="O3" i="8"/>
  <c r="G4" i="8"/>
  <c r="H4" i="8"/>
  <c r="I4" i="8"/>
  <c r="J4" i="8"/>
  <c r="K4" i="8"/>
  <c r="L4" i="8"/>
  <c r="M4" i="8"/>
  <c r="G5" i="8"/>
  <c r="H5" i="8"/>
  <c r="I5" i="8"/>
  <c r="J5" i="8"/>
  <c r="K5" i="8"/>
  <c r="L5" i="8"/>
  <c r="M5" i="8"/>
  <c r="G6" i="8"/>
  <c r="H6" i="8"/>
  <c r="I6" i="8"/>
  <c r="J6" i="8"/>
  <c r="K6" i="8"/>
  <c r="L6" i="8"/>
  <c r="M6" i="8"/>
  <c r="G7" i="8"/>
  <c r="H7" i="8"/>
  <c r="I7" i="8"/>
  <c r="J7" i="8"/>
  <c r="K7" i="8"/>
  <c r="L7" i="8"/>
  <c r="M7" i="8"/>
  <c r="G8" i="8"/>
  <c r="H8" i="8"/>
  <c r="I8" i="8"/>
  <c r="J8" i="8"/>
  <c r="K8" i="8"/>
  <c r="L8" i="8"/>
  <c r="M8" i="8"/>
  <c r="G9" i="8"/>
  <c r="H9" i="8"/>
  <c r="I9" i="8"/>
  <c r="J9" i="8"/>
  <c r="K9" i="8"/>
  <c r="L9" i="8"/>
  <c r="M9" i="8"/>
  <c r="G10" i="8"/>
  <c r="H10" i="8"/>
  <c r="I10" i="8"/>
  <c r="J10" i="8"/>
  <c r="K10" i="8"/>
  <c r="L10" i="8"/>
  <c r="M10" i="8"/>
  <c r="G11" i="8"/>
  <c r="H11" i="8"/>
  <c r="I11" i="8"/>
  <c r="J11" i="8"/>
  <c r="K11" i="8"/>
  <c r="L11" i="8"/>
  <c r="M11" i="8"/>
  <c r="G12" i="8"/>
  <c r="H12" i="8"/>
  <c r="I12" i="8"/>
  <c r="J12" i="8"/>
  <c r="K12" i="8"/>
  <c r="L12" i="8"/>
  <c r="M12" i="8"/>
  <c r="G13" i="8"/>
  <c r="H13" i="8"/>
  <c r="I13" i="8"/>
  <c r="J13" i="8"/>
  <c r="K13" i="8"/>
  <c r="L13" i="8"/>
  <c r="M13" i="8"/>
  <c r="G14" i="8"/>
  <c r="H14" i="8"/>
  <c r="I14" i="8"/>
  <c r="J14" i="8"/>
  <c r="K14" i="8"/>
  <c r="L14" i="8"/>
  <c r="M14" i="8"/>
  <c r="G15" i="8"/>
  <c r="H15" i="8"/>
  <c r="I15" i="8"/>
  <c r="J15" i="8"/>
  <c r="K15" i="8"/>
  <c r="L15" i="8"/>
  <c r="M15" i="8"/>
  <c r="G16" i="8"/>
  <c r="H16" i="8"/>
  <c r="I16" i="8"/>
  <c r="J16" i="8"/>
  <c r="K16" i="8"/>
  <c r="L16" i="8"/>
  <c r="M16" i="8"/>
  <c r="G17" i="8"/>
  <c r="H17" i="8"/>
  <c r="I17" i="8"/>
  <c r="J17" i="8"/>
  <c r="K17" i="8"/>
  <c r="L17" i="8"/>
  <c r="M17" i="8"/>
  <c r="G18" i="8"/>
  <c r="H18" i="8"/>
  <c r="I18" i="8"/>
  <c r="J18" i="8"/>
  <c r="K18" i="8"/>
  <c r="L18" i="8"/>
  <c r="M18" i="8"/>
  <c r="G19" i="8"/>
  <c r="H19" i="8"/>
  <c r="I19" i="8"/>
  <c r="J19" i="8"/>
  <c r="K19" i="8"/>
  <c r="L19" i="8"/>
  <c r="M19" i="8"/>
  <c r="G20" i="8"/>
  <c r="H20" i="8"/>
  <c r="I20" i="8"/>
  <c r="J20" i="8"/>
  <c r="K20" i="8"/>
  <c r="L20" i="8"/>
  <c r="M20" i="8"/>
  <c r="G21" i="8"/>
  <c r="H21" i="8"/>
  <c r="I21" i="8"/>
  <c r="J21" i="8"/>
  <c r="K21" i="8"/>
  <c r="L21" i="8"/>
  <c r="M21" i="8"/>
  <c r="G22" i="8"/>
  <c r="H22" i="8"/>
  <c r="I22" i="8"/>
  <c r="J22" i="8"/>
  <c r="K22" i="8"/>
  <c r="L22" i="8"/>
  <c r="M22" i="8"/>
  <c r="G23" i="8"/>
  <c r="H23" i="8"/>
  <c r="I23" i="8"/>
  <c r="J23" i="8"/>
  <c r="K23" i="8"/>
  <c r="L23" i="8"/>
  <c r="M23" i="8"/>
  <c r="G24" i="8"/>
  <c r="H24" i="8"/>
  <c r="I24" i="8"/>
  <c r="J24" i="8"/>
  <c r="K24" i="8"/>
  <c r="L24" i="8"/>
  <c r="M24" i="8"/>
  <c r="G25" i="8"/>
  <c r="H25" i="8"/>
  <c r="I25" i="8"/>
  <c r="J25" i="8"/>
  <c r="K25" i="8"/>
  <c r="L25" i="8"/>
  <c r="M25" i="8"/>
  <c r="G26" i="8"/>
  <c r="H26" i="8"/>
  <c r="I26" i="8"/>
  <c r="J26" i="8"/>
  <c r="K26" i="8"/>
  <c r="L26" i="8"/>
  <c r="M26" i="8"/>
  <c r="G27" i="8"/>
  <c r="H27" i="8"/>
  <c r="I27" i="8"/>
  <c r="J27" i="8"/>
  <c r="K27" i="8"/>
  <c r="L27" i="8"/>
  <c r="M27" i="8"/>
  <c r="G28" i="8"/>
  <c r="H28" i="8"/>
  <c r="I28" i="8"/>
  <c r="J28" i="8"/>
  <c r="K28" i="8"/>
  <c r="L28" i="8"/>
  <c r="M28" i="8"/>
  <c r="G29" i="8"/>
  <c r="H29" i="8"/>
  <c r="I29" i="8"/>
  <c r="J29" i="8"/>
  <c r="K29" i="8"/>
  <c r="L29" i="8"/>
  <c r="M29" i="8"/>
  <c r="G30" i="8"/>
  <c r="H30" i="8"/>
  <c r="I30" i="8"/>
  <c r="J30" i="8"/>
  <c r="K30" i="8"/>
  <c r="L30" i="8"/>
  <c r="M30" i="8"/>
  <c r="G31" i="8"/>
  <c r="H31" i="8"/>
  <c r="I31" i="8"/>
  <c r="J31" i="8"/>
  <c r="K31" i="8"/>
  <c r="L31" i="8"/>
  <c r="M31" i="8"/>
  <c r="G32" i="8"/>
  <c r="H32" i="8"/>
  <c r="I32" i="8"/>
  <c r="J32" i="8"/>
  <c r="K32" i="8"/>
  <c r="L32" i="8"/>
  <c r="M32" i="8"/>
  <c r="G33" i="8"/>
  <c r="H33" i="8"/>
  <c r="I33" i="8"/>
  <c r="J33" i="8"/>
  <c r="K33" i="8"/>
  <c r="L33" i="8"/>
  <c r="M33" i="8"/>
  <c r="G34" i="8"/>
  <c r="H34" i="8"/>
  <c r="I34" i="8"/>
  <c r="J34" i="8"/>
  <c r="K34" i="8"/>
  <c r="L34" i="8"/>
  <c r="M34" i="8"/>
  <c r="G35" i="8"/>
  <c r="H35" i="8"/>
  <c r="I35" i="8"/>
  <c r="J35" i="8"/>
  <c r="K35" i="8"/>
  <c r="L35" i="8"/>
  <c r="M35" i="8"/>
  <c r="G36" i="8"/>
  <c r="H36" i="8"/>
  <c r="I36" i="8"/>
  <c r="J36" i="8"/>
  <c r="K36" i="8"/>
  <c r="L36" i="8"/>
  <c r="M36" i="8"/>
  <c r="G37" i="8"/>
  <c r="H37" i="8"/>
  <c r="I37" i="8"/>
  <c r="J37" i="8"/>
  <c r="K37" i="8"/>
  <c r="L37" i="8"/>
  <c r="M37" i="8"/>
  <c r="G38" i="8"/>
  <c r="H38" i="8"/>
  <c r="I38" i="8"/>
  <c r="J38" i="8"/>
  <c r="K38" i="8"/>
  <c r="L38" i="8"/>
  <c r="M38" i="8"/>
  <c r="G39" i="8"/>
  <c r="H39" i="8"/>
  <c r="I39" i="8"/>
  <c r="J39" i="8"/>
  <c r="K39" i="8"/>
  <c r="L39" i="8"/>
  <c r="M39" i="8"/>
  <c r="G40" i="8"/>
  <c r="H40" i="8"/>
  <c r="I40" i="8"/>
  <c r="J40" i="8"/>
  <c r="K40" i="8"/>
  <c r="L40" i="8"/>
  <c r="M40" i="8"/>
  <c r="G41" i="8"/>
  <c r="H41" i="8"/>
  <c r="I41" i="8"/>
  <c r="J41" i="8"/>
  <c r="K41" i="8"/>
  <c r="L41" i="8"/>
  <c r="M41" i="8"/>
  <c r="G42" i="8"/>
  <c r="H42" i="8"/>
  <c r="I42" i="8"/>
  <c r="J42" i="8"/>
  <c r="K42" i="8"/>
  <c r="L42" i="8"/>
  <c r="M42" i="8"/>
  <c r="G43" i="8"/>
  <c r="H43" i="8"/>
  <c r="I43" i="8"/>
  <c r="J43" i="8"/>
  <c r="K43" i="8"/>
  <c r="L43" i="8"/>
  <c r="M43" i="8"/>
  <c r="G44" i="8"/>
  <c r="H44" i="8"/>
  <c r="I44" i="8"/>
  <c r="J44" i="8"/>
  <c r="K44" i="8"/>
  <c r="L44" i="8"/>
  <c r="M44" i="8"/>
  <c r="G45" i="8"/>
  <c r="H45" i="8"/>
  <c r="I45" i="8"/>
  <c r="J45" i="8"/>
  <c r="K45" i="8"/>
  <c r="L45" i="8"/>
  <c r="M45" i="8"/>
  <c r="G46" i="8"/>
  <c r="H46" i="8"/>
  <c r="I46" i="8"/>
  <c r="J46" i="8"/>
  <c r="K46" i="8"/>
  <c r="L46" i="8"/>
  <c r="M46" i="8"/>
  <c r="G47" i="8"/>
  <c r="H47" i="8"/>
  <c r="I47" i="8"/>
  <c r="J47" i="8"/>
  <c r="K47" i="8"/>
  <c r="L47" i="8"/>
  <c r="M47" i="8"/>
  <c r="G48" i="8"/>
  <c r="H48" i="8"/>
  <c r="I48" i="8"/>
  <c r="J48" i="8"/>
  <c r="K48" i="8"/>
  <c r="L48" i="8"/>
  <c r="M48" i="8"/>
  <c r="G49" i="8"/>
  <c r="H49" i="8"/>
  <c r="I49" i="8"/>
  <c r="J49" i="8"/>
  <c r="K49" i="8"/>
  <c r="L49" i="8"/>
  <c r="M49" i="8"/>
  <c r="M3" i="8"/>
  <c r="L3" i="8"/>
  <c r="K3" i="8"/>
  <c r="J3" i="8"/>
  <c r="I3" i="8"/>
  <c r="H3" i="8"/>
  <c r="G3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B27" i="8"/>
  <c r="B30" i="8" s="1"/>
  <c r="B33" i="8" s="1"/>
  <c r="B36" i="8" s="1"/>
  <c r="B39" i="8" s="1"/>
  <c r="B42" i="8" s="1"/>
  <c r="B45" i="8" s="1"/>
  <c r="B48" i="8" s="1"/>
  <c r="D26" i="8"/>
  <c r="D25" i="8"/>
  <c r="D24" i="8"/>
  <c r="B24" i="8"/>
  <c r="A24" i="8"/>
  <c r="A27" i="8" s="1"/>
  <c r="A30" i="8" s="1"/>
  <c r="A33" i="8" s="1"/>
  <c r="A36" i="8" s="1"/>
  <c r="A39" i="8" s="1"/>
  <c r="A42" i="8" s="1"/>
  <c r="A45" i="8" s="1"/>
  <c r="A48" i="8" s="1"/>
  <c r="D23" i="8"/>
  <c r="D22" i="8"/>
  <c r="D21" i="8"/>
  <c r="B21" i="8"/>
  <c r="A21" i="8"/>
  <c r="D20" i="8"/>
  <c r="D19" i="8"/>
  <c r="D18" i="8"/>
  <c r="B18" i="8"/>
  <c r="A18" i="8"/>
  <c r="D17" i="8"/>
  <c r="D16" i="8"/>
  <c r="D15" i="8"/>
  <c r="B15" i="8"/>
  <c r="A15" i="8"/>
  <c r="D14" i="8"/>
  <c r="D13" i="8"/>
  <c r="D12" i="8"/>
  <c r="B12" i="8"/>
  <c r="A12" i="8"/>
  <c r="D11" i="8"/>
  <c r="D10" i="8"/>
  <c r="D9" i="8"/>
  <c r="B9" i="8"/>
  <c r="A9" i="8"/>
  <c r="D8" i="8"/>
  <c r="D7" i="8"/>
  <c r="B6" i="8"/>
  <c r="A6" i="8"/>
  <c r="D4" i="8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75" i="2" l="1"/>
  <c r="E76" i="2"/>
  <c r="D12" i="12"/>
  <c r="E11" i="12"/>
  <c r="E5" i="8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77" i="2" l="1"/>
  <c r="F76" i="2"/>
  <c r="D13" i="12"/>
  <c r="E12" i="12"/>
  <c r="Q8" i="7"/>
  <c r="P4" i="7"/>
  <c r="Q4" i="7"/>
  <c r="R4" i="7"/>
  <c r="S4" i="7"/>
  <c r="T4" i="7"/>
  <c r="P5" i="7"/>
  <c r="Q5" i="7"/>
  <c r="R5" i="7"/>
  <c r="S5" i="7"/>
  <c r="T5" i="7"/>
  <c r="P6" i="7"/>
  <c r="Q6" i="7"/>
  <c r="R6" i="7"/>
  <c r="S6" i="7"/>
  <c r="T6" i="7"/>
  <c r="P7" i="7"/>
  <c r="Q7" i="7"/>
  <c r="R7" i="7"/>
  <c r="S7" i="7"/>
  <c r="T7" i="7"/>
  <c r="P8" i="7"/>
  <c r="R8" i="7"/>
  <c r="S8" i="7"/>
  <c r="T8" i="7"/>
  <c r="P9" i="7"/>
  <c r="Q9" i="7"/>
  <c r="R9" i="7"/>
  <c r="S9" i="7"/>
  <c r="T9" i="7"/>
  <c r="P10" i="7"/>
  <c r="Q10" i="7"/>
  <c r="R10" i="7"/>
  <c r="S10" i="7"/>
  <c r="T10" i="7"/>
  <c r="P11" i="7"/>
  <c r="Q11" i="7"/>
  <c r="R11" i="7"/>
  <c r="S11" i="7"/>
  <c r="T11" i="7"/>
  <c r="P12" i="7"/>
  <c r="Q12" i="7"/>
  <c r="R12" i="7"/>
  <c r="S12" i="7"/>
  <c r="T12" i="7"/>
  <c r="P13" i="7"/>
  <c r="Q13" i="7"/>
  <c r="R13" i="7"/>
  <c r="S13" i="7"/>
  <c r="T13" i="7"/>
  <c r="P14" i="7"/>
  <c r="Q14" i="7"/>
  <c r="R14" i="7"/>
  <c r="S14" i="7"/>
  <c r="T14" i="7"/>
  <c r="P15" i="7"/>
  <c r="Q15" i="7"/>
  <c r="R15" i="7"/>
  <c r="S15" i="7"/>
  <c r="T15" i="7"/>
  <c r="P16" i="7"/>
  <c r="Q16" i="7"/>
  <c r="R16" i="7"/>
  <c r="S16" i="7"/>
  <c r="T16" i="7"/>
  <c r="P17" i="7"/>
  <c r="Q17" i="7"/>
  <c r="R17" i="7"/>
  <c r="S17" i="7"/>
  <c r="T17" i="7"/>
  <c r="P18" i="7"/>
  <c r="Q18" i="7"/>
  <c r="R18" i="7"/>
  <c r="S18" i="7"/>
  <c r="T18" i="7"/>
  <c r="P19" i="7"/>
  <c r="Q19" i="7"/>
  <c r="R19" i="7"/>
  <c r="S19" i="7"/>
  <c r="T19" i="7"/>
  <c r="P20" i="7"/>
  <c r="Q20" i="7"/>
  <c r="R20" i="7"/>
  <c r="S20" i="7"/>
  <c r="T20" i="7"/>
  <c r="P21" i="7"/>
  <c r="Q21" i="7"/>
  <c r="R21" i="7"/>
  <c r="S21" i="7"/>
  <c r="T21" i="7"/>
  <c r="P22" i="7"/>
  <c r="Q22" i="7"/>
  <c r="R22" i="7"/>
  <c r="S22" i="7"/>
  <c r="T22" i="7"/>
  <c r="P23" i="7"/>
  <c r="Q23" i="7"/>
  <c r="R23" i="7"/>
  <c r="S23" i="7"/>
  <c r="T23" i="7"/>
  <c r="P24" i="7"/>
  <c r="Q24" i="7"/>
  <c r="R24" i="7"/>
  <c r="S24" i="7"/>
  <c r="T24" i="7"/>
  <c r="P25" i="7"/>
  <c r="Q25" i="7"/>
  <c r="R25" i="7"/>
  <c r="S25" i="7"/>
  <c r="T25" i="7"/>
  <c r="P26" i="7"/>
  <c r="Q26" i="7"/>
  <c r="R26" i="7"/>
  <c r="S26" i="7"/>
  <c r="T26" i="7"/>
  <c r="P27" i="7"/>
  <c r="Q27" i="7"/>
  <c r="R27" i="7"/>
  <c r="S27" i="7"/>
  <c r="T27" i="7"/>
  <c r="P28" i="7"/>
  <c r="Q28" i="7"/>
  <c r="R28" i="7"/>
  <c r="S28" i="7"/>
  <c r="T28" i="7"/>
  <c r="P29" i="7"/>
  <c r="Q29" i="7"/>
  <c r="R29" i="7"/>
  <c r="S29" i="7"/>
  <c r="T29" i="7"/>
  <c r="P30" i="7"/>
  <c r="Q30" i="7"/>
  <c r="R30" i="7"/>
  <c r="S30" i="7"/>
  <c r="T30" i="7"/>
  <c r="P31" i="7"/>
  <c r="Q31" i="7"/>
  <c r="R31" i="7"/>
  <c r="S31" i="7"/>
  <c r="T31" i="7"/>
  <c r="P32" i="7"/>
  <c r="Q32" i="7"/>
  <c r="R32" i="7"/>
  <c r="S32" i="7"/>
  <c r="T32" i="7"/>
  <c r="P33" i="7"/>
  <c r="Q33" i="7"/>
  <c r="R33" i="7"/>
  <c r="S33" i="7"/>
  <c r="T33" i="7"/>
  <c r="P34" i="7"/>
  <c r="Q34" i="7"/>
  <c r="R34" i="7"/>
  <c r="S34" i="7"/>
  <c r="T34" i="7"/>
  <c r="P35" i="7"/>
  <c r="Q35" i="7"/>
  <c r="R35" i="7"/>
  <c r="S35" i="7"/>
  <c r="T35" i="7"/>
  <c r="P36" i="7"/>
  <c r="Q36" i="7"/>
  <c r="R36" i="7"/>
  <c r="S36" i="7"/>
  <c r="T36" i="7"/>
  <c r="T3" i="7"/>
  <c r="S3" i="7"/>
  <c r="R3" i="7"/>
  <c r="Q3" i="7"/>
  <c r="P3" i="7"/>
  <c r="H4" i="7"/>
  <c r="I4" i="7"/>
  <c r="J4" i="7"/>
  <c r="K4" i="7"/>
  <c r="L4" i="7"/>
  <c r="H5" i="7"/>
  <c r="I5" i="7"/>
  <c r="J5" i="7"/>
  <c r="K5" i="7"/>
  <c r="L5" i="7"/>
  <c r="H6" i="7"/>
  <c r="I6" i="7"/>
  <c r="J6" i="7"/>
  <c r="K6" i="7"/>
  <c r="L6" i="7"/>
  <c r="H7" i="7"/>
  <c r="I7" i="7"/>
  <c r="J7" i="7"/>
  <c r="K7" i="7"/>
  <c r="L7" i="7"/>
  <c r="H8" i="7"/>
  <c r="I8" i="7"/>
  <c r="J8" i="7"/>
  <c r="K8" i="7"/>
  <c r="L8" i="7"/>
  <c r="H9" i="7"/>
  <c r="I9" i="7"/>
  <c r="J9" i="7"/>
  <c r="K9" i="7"/>
  <c r="L9" i="7"/>
  <c r="H10" i="7"/>
  <c r="I10" i="7"/>
  <c r="J10" i="7"/>
  <c r="K10" i="7"/>
  <c r="L10" i="7"/>
  <c r="H11" i="7"/>
  <c r="I11" i="7"/>
  <c r="J11" i="7"/>
  <c r="K11" i="7"/>
  <c r="L11" i="7"/>
  <c r="H12" i="7"/>
  <c r="I12" i="7"/>
  <c r="J12" i="7"/>
  <c r="K12" i="7"/>
  <c r="L12" i="7"/>
  <c r="H13" i="7"/>
  <c r="I13" i="7"/>
  <c r="J13" i="7"/>
  <c r="K13" i="7"/>
  <c r="L13" i="7"/>
  <c r="H14" i="7"/>
  <c r="I14" i="7"/>
  <c r="J14" i="7"/>
  <c r="K14" i="7"/>
  <c r="L14" i="7"/>
  <c r="H15" i="7"/>
  <c r="I15" i="7"/>
  <c r="J15" i="7"/>
  <c r="K15" i="7"/>
  <c r="L15" i="7"/>
  <c r="H16" i="7"/>
  <c r="I16" i="7"/>
  <c r="J16" i="7"/>
  <c r="K16" i="7"/>
  <c r="L16" i="7"/>
  <c r="H17" i="7"/>
  <c r="I17" i="7"/>
  <c r="J17" i="7"/>
  <c r="K17" i="7"/>
  <c r="L17" i="7"/>
  <c r="H18" i="7"/>
  <c r="I18" i="7"/>
  <c r="J18" i="7"/>
  <c r="K18" i="7"/>
  <c r="L18" i="7"/>
  <c r="H19" i="7"/>
  <c r="I19" i="7"/>
  <c r="J19" i="7"/>
  <c r="K19" i="7"/>
  <c r="L19" i="7"/>
  <c r="H20" i="7"/>
  <c r="I20" i="7"/>
  <c r="J20" i="7"/>
  <c r="K20" i="7"/>
  <c r="L20" i="7"/>
  <c r="H21" i="7"/>
  <c r="I21" i="7"/>
  <c r="J21" i="7"/>
  <c r="K21" i="7"/>
  <c r="L21" i="7"/>
  <c r="H22" i="7"/>
  <c r="I22" i="7"/>
  <c r="J22" i="7"/>
  <c r="K22" i="7"/>
  <c r="L22" i="7"/>
  <c r="H23" i="7"/>
  <c r="I23" i="7"/>
  <c r="J23" i="7"/>
  <c r="K23" i="7"/>
  <c r="L23" i="7"/>
  <c r="H24" i="7"/>
  <c r="I24" i="7"/>
  <c r="J24" i="7"/>
  <c r="K24" i="7"/>
  <c r="L24" i="7"/>
  <c r="H25" i="7"/>
  <c r="I25" i="7"/>
  <c r="J25" i="7"/>
  <c r="K25" i="7"/>
  <c r="L25" i="7"/>
  <c r="H26" i="7"/>
  <c r="I26" i="7"/>
  <c r="J26" i="7"/>
  <c r="K26" i="7"/>
  <c r="L26" i="7"/>
  <c r="H27" i="7"/>
  <c r="I27" i="7"/>
  <c r="J27" i="7"/>
  <c r="K27" i="7"/>
  <c r="L27" i="7"/>
  <c r="H28" i="7"/>
  <c r="I28" i="7"/>
  <c r="J28" i="7"/>
  <c r="K28" i="7"/>
  <c r="L28" i="7"/>
  <c r="H29" i="7"/>
  <c r="I29" i="7"/>
  <c r="J29" i="7"/>
  <c r="K29" i="7"/>
  <c r="L29" i="7"/>
  <c r="H30" i="7"/>
  <c r="I30" i="7"/>
  <c r="J30" i="7"/>
  <c r="K30" i="7"/>
  <c r="L30" i="7"/>
  <c r="H31" i="7"/>
  <c r="I31" i="7"/>
  <c r="J31" i="7"/>
  <c r="K31" i="7"/>
  <c r="L31" i="7"/>
  <c r="H32" i="7"/>
  <c r="I32" i="7"/>
  <c r="J32" i="7"/>
  <c r="K32" i="7"/>
  <c r="L32" i="7"/>
  <c r="H33" i="7"/>
  <c r="I33" i="7"/>
  <c r="J33" i="7"/>
  <c r="K33" i="7"/>
  <c r="L33" i="7"/>
  <c r="H34" i="7"/>
  <c r="I34" i="7"/>
  <c r="J34" i="7"/>
  <c r="K34" i="7"/>
  <c r="L34" i="7"/>
  <c r="H35" i="7"/>
  <c r="I35" i="7"/>
  <c r="J35" i="7"/>
  <c r="K35" i="7"/>
  <c r="L35" i="7"/>
  <c r="H36" i="7"/>
  <c r="I36" i="7"/>
  <c r="J36" i="7"/>
  <c r="K36" i="7"/>
  <c r="L36" i="7"/>
  <c r="L3" i="7"/>
  <c r="K3" i="7"/>
  <c r="J3" i="7"/>
  <c r="I3" i="7"/>
  <c r="H3" i="7"/>
  <c r="D36" i="7"/>
  <c r="D35" i="7"/>
  <c r="D34" i="7"/>
  <c r="D33" i="7"/>
  <c r="D32" i="7"/>
  <c r="D31" i="7"/>
  <c r="D30" i="7"/>
  <c r="D29" i="7"/>
  <c r="D28" i="7"/>
  <c r="D27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6" i="7"/>
  <c r="B6" i="7"/>
  <c r="B9" i="7" s="1"/>
  <c r="B12" i="7" s="1"/>
  <c r="B15" i="7" s="1"/>
  <c r="B18" i="7" s="1"/>
  <c r="B21" i="7" s="1"/>
  <c r="B24" i="7" s="1"/>
  <c r="B27" i="7" s="1"/>
  <c r="B30" i="7" s="1"/>
  <c r="B33" i="7" s="1"/>
  <c r="B36" i="7" s="1"/>
  <c r="A6" i="7"/>
  <c r="A9" i="7" s="1"/>
  <c r="A12" i="7" s="1"/>
  <c r="A15" i="7" s="1"/>
  <c r="A18" i="7" s="1"/>
  <c r="A21" i="7" s="1"/>
  <c r="A24" i="7" s="1"/>
  <c r="A27" i="7" s="1"/>
  <c r="A30" i="7" s="1"/>
  <c r="A33" i="7" s="1"/>
  <c r="A36" i="7" s="1"/>
  <c r="D5" i="7"/>
  <c r="F5" i="7"/>
  <c r="E4" i="7"/>
  <c r="E5" i="7" s="1"/>
  <c r="F4" i="7"/>
  <c r="F77" i="2" l="1"/>
  <c r="E78" i="2"/>
  <c r="F6" i="7"/>
  <c r="G5" i="7"/>
  <c r="E6" i="7"/>
  <c r="E7" i="7" s="1"/>
  <c r="D14" i="12"/>
  <c r="E13" i="12"/>
  <c r="S32" i="3"/>
  <c r="Q10" i="3"/>
  <c r="O4" i="3"/>
  <c r="P4" i="3"/>
  <c r="Q4" i="3"/>
  <c r="R4" i="3"/>
  <c r="S4" i="3"/>
  <c r="O5" i="3"/>
  <c r="P5" i="3"/>
  <c r="Q5" i="3"/>
  <c r="R5" i="3"/>
  <c r="S5" i="3"/>
  <c r="O6" i="3"/>
  <c r="P6" i="3"/>
  <c r="Q6" i="3"/>
  <c r="R6" i="3"/>
  <c r="S6" i="3"/>
  <c r="O7" i="3"/>
  <c r="P7" i="3"/>
  <c r="Q7" i="3"/>
  <c r="R7" i="3"/>
  <c r="S7" i="3"/>
  <c r="O8" i="3"/>
  <c r="P8" i="3"/>
  <c r="Q8" i="3"/>
  <c r="R8" i="3"/>
  <c r="S8" i="3"/>
  <c r="O9" i="3"/>
  <c r="P9" i="3"/>
  <c r="Q9" i="3"/>
  <c r="R9" i="3"/>
  <c r="S9" i="3"/>
  <c r="O10" i="3"/>
  <c r="P10" i="3"/>
  <c r="R10" i="3"/>
  <c r="S10" i="3"/>
  <c r="O11" i="3"/>
  <c r="P11" i="3"/>
  <c r="Q11" i="3"/>
  <c r="R11" i="3"/>
  <c r="S11" i="3"/>
  <c r="O12" i="3"/>
  <c r="P12" i="3"/>
  <c r="Q12" i="3"/>
  <c r="R12" i="3"/>
  <c r="S12" i="3"/>
  <c r="O13" i="3"/>
  <c r="P13" i="3"/>
  <c r="Q13" i="3"/>
  <c r="R13" i="3"/>
  <c r="S13" i="3"/>
  <c r="O14" i="3"/>
  <c r="P14" i="3"/>
  <c r="Q14" i="3"/>
  <c r="R14" i="3"/>
  <c r="S14" i="3"/>
  <c r="O15" i="3"/>
  <c r="P15" i="3"/>
  <c r="Q15" i="3"/>
  <c r="R15" i="3"/>
  <c r="S15" i="3"/>
  <c r="O16" i="3"/>
  <c r="P16" i="3"/>
  <c r="Q16" i="3"/>
  <c r="R16" i="3"/>
  <c r="S16" i="3"/>
  <c r="O17" i="3"/>
  <c r="P17" i="3"/>
  <c r="Q17" i="3"/>
  <c r="R17" i="3"/>
  <c r="S17" i="3"/>
  <c r="O18" i="3"/>
  <c r="P18" i="3"/>
  <c r="Q18" i="3"/>
  <c r="R18" i="3"/>
  <c r="S18" i="3"/>
  <c r="O19" i="3"/>
  <c r="P19" i="3"/>
  <c r="Q19" i="3"/>
  <c r="R19" i="3"/>
  <c r="S19" i="3"/>
  <c r="O20" i="3"/>
  <c r="P20" i="3"/>
  <c r="Q20" i="3"/>
  <c r="R20" i="3"/>
  <c r="S20" i="3"/>
  <c r="O21" i="3"/>
  <c r="P21" i="3"/>
  <c r="Q21" i="3"/>
  <c r="R21" i="3"/>
  <c r="S21" i="3"/>
  <c r="O22" i="3"/>
  <c r="P22" i="3"/>
  <c r="Q22" i="3"/>
  <c r="R22" i="3"/>
  <c r="S22" i="3"/>
  <c r="O23" i="3"/>
  <c r="P23" i="3"/>
  <c r="Q23" i="3"/>
  <c r="R23" i="3"/>
  <c r="S23" i="3"/>
  <c r="O24" i="3"/>
  <c r="P24" i="3"/>
  <c r="Q24" i="3"/>
  <c r="R24" i="3"/>
  <c r="S24" i="3"/>
  <c r="O25" i="3"/>
  <c r="P25" i="3"/>
  <c r="Q25" i="3"/>
  <c r="R25" i="3"/>
  <c r="S25" i="3"/>
  <c r="O26" i="3"/>
  <c r="P26" i="3"/>
  <c r="Q26" i="3"/>
  <c r="R26" i="3"/>
  <c r="S26" i="3"/>
  <c r="O27" i="3"/>
  <c r="P27" i="3"/>
  <c r="Q27" i="3"/>
  <c r="R27" i="3"/>
  <c r="S27" i="3"/>
  <c r="O28" i="3"/>
  <c r="P28" i="3"/>
  <c r="Q28" i="3"/>
  <c r="R28" i="3"/>
  <c r="S28" i="3"/>
  <c r="O29" i="3"/>
  <c r="P29" i="3"/>
  <c r="Q29" i="3"/>
  <c r="R29" i="3"/>
  <c r="S29" i="3"/>
  <c r="O30" i="3"/>
  <c r="P30" i="3"/>
  <c r="Q30" i="3"/>
  <c r="R30" i="3"/>
  <c r="S30" i="3"/>
  <c r="O31" i="3"/>
  <c r="P31" i="3"/>
  <c r="Q31" i="3"/>
  <c r="R31" i="3"/>
  <c r="S31" i="3"/>
  <c r="O32" i="3"/>
  <c r="P32" i="3"/>
  <c r="Q32" i="3"/>
  <c r="R32" i="3"/>
  <c r="O3" i="3"/>
  <c r="S3" i="3"/>
  <c r="R3" i="3"/>
  <c r="Q3" i="3"/>
  <c r="P3" i="3"/>
  <c r="J4" i="3"/>
  <c r="K4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K3" i="3"/>
  <c r="J3" i="3"/>
  <c r="I3" i="3"/>
  <c r="H3" i="3"/>
  <c r="G3" i="3"/>
  <c r="Q3" i="2"/>
  <c r="R10" i="2"/>
  <c r="E79" i="2" l="1"/>
  <c r="F78" i="2"/>
  <c r="E8" i="7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F7" i="7"/>
  <c r="G6" i="7"/>
  <c r="E14" i="12"/>
  <c r="D15" i="12"/>
  <c r="E4" i="3"/>
  <c r="F4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E80" i="2" l="1"/>
  <c r="F79" i="2"/>
  <c r="F8" i="7"/>
  <c r="G7" i="7"/>
  <c r="D16" i="12"/>
  <c r="E15" i="12"/>
  <c r="F5" i="3"/>
  <c r="E81" i="2" l="1"/>
  <c r="F80" i="2"/>
  <c r="F9" i="7"/>
  <c r="G8" i="7"/>
  <c r="E16" i="12"/>
  <c r="E6" i="3"/>
  <c r="F6" i="3" s="1"/>
  <c r="F81" i="2" l="1"/>
  <c r="E82" i="2"/>
  <c r="F10" i="7"/>
  <c r="G9" i="7"/>
  <c r="E7" i="3"/>
  <c r="E8" i="3"/>
  <c r="F7" i="3"/>
  <c r="E83" i="2" l="1"/>
  <c r="F82" i="2"/>
  <c r="F11" i="7"/>
  <c r="G10" i="7"/>
  <c r="F8" i="3"/>
  <c r="E9" i="3"/>
  <c r="E84" i="2" l="1"/>
  <c r="F83" i="2"/>
  <c r="F12" i="7"/>
  <c r="G11" i="7"/>
  <c r="E10" i="3"/>
  <c r="F9" i="3"/>
  <c r="F84" i="2" l="1"/>
  <c r="E85" i="2"/>
  <c r="F13" i="7"/>
  <c r="G12" i="7"/>
  <c r="E11" i="3"/>
  <c r="F10" i="3"/>
  <c r="E86" i="2" l="1"/>
  <c r="F85" i="2"/>
  <c r="F14" i="7"/>
  <c r="G13" i="7"/>
  <c r="F11" i="3"/>
  <c r="E12" i="3"/>
  <c r="E87" i="2" l="1"/>
  <c r="F86" i="2"/>
  <c r="F15" i="7"/>
  <c r="G14" i="7"/>
  <c r="F12" i="3"/>
  <c r="E13" i="3"/>
  <c r="E88" i="2" l="1"/>
  <c r="F87" i="2"/>
  <c r="F16" i="7"/>
  <c r="G15" i="7"/>
  <c r="E14" i="3"/>
  <c r="F13" i="3"/>
  <c r="E89" i="2" l="1"/>
  <c r="F88" i="2"/>
  <c r="F17" i="7"/>
  <c r="G16" i="7"/>
  <c r="F14" i="3"/>
  <c r="E15" i="3"/>
  <c r="E90" i="2" l="1"/>
  <c r="F89" i="2"/>
  <c r="G17" i="7"/>
  <c r="F18" i="7"/>
  <c r="F15" i="3"/>
  <c r="E16" i="3"/>
  <c r="E91" i="2" l="1"/>
  <c r="F90" i="2"/>
  <c r="F19" i="7"/>
  <c r="G18" i="7"/>
  <c r="E17" i="3"/>
  <c r="F16" i="3"/>
  <c r="E92" i="2" l="1"/>
  <c r="F91" i="2"/>
  <c r="F20" i="7"/>
  <c r="G19" i="7"/>
  <c r="F17" i="3"/>
  <c r="E18" i="3"/>
  <c r="E93" i="2" l="1"/>
  <c r="F92" i="2"/>
  <c r="F21" i="7"/>
  <c r="G20" i="7"/>
  <c r="E19" i="3"/>
  <c r="F18" i="3"/>
  <c r="E94" i="2" l="1"/>
  <c r="F93" i="2"/>
  <c r="F22" i="7"/>
  <c r="G21" i="7"/>
  <c r="E20" i="3"/>
  <c r="F19" i="3"/>
  <c r="E95" i="2" l="1"/>
  <c r="F94" i="2"/>
  <c r="F23" i="7"/>
  <c r="G22" i="7"/>
  <c r="F20" i="3"/>
  <c r="E21" i="3"/>
  <c r="E96" i="2" l="1"/>
  <c r="F95" i="2"/>
  <c r="F24" i="7"/>
  <c r="G23" i="7"/>
  <c r="F21" i="3"/>
  <c r="E22" i="3"/>
  <c r="F96" i="2" l="1"/>
  <c r="E97" i="2"/>
  <c r="F25" i="7"/>
  <c r="G24" i="7"/>
  <c r="E23" i="3"/>
  <c r="F22" i="3"/>
  <c r="F97" i="2" l="1"/>
  <c r="E98" i="2"/>
  <c r="F26" i="7"/>
  <c r="G25" i="7"/>
  <c r="F23" i="3"/>
  <c r="E24" i="3"/>
  <c r="E99" i="2" l="1"/>
  <c r="F98" i="2"/>
  <c r="F27" i="7"/>
  <c r="G26" i="7"/>
  <c r="E25" i="3"/>
  <c r="F24" i="3"/>
  <c r="F99" i="2" l="1"/>
  <c r="E100" i="2"/>
  <c r="F28" i="7"/>
  <c r="G27" i="7"/>
  <c r="E26" i="3"/>
  <c r="F25" i="3"/>
  <c r="E101" i="2" l="1"/>
  <c r="F100" i="2"/>
  <c r="F29" i="7"/>
  <c r="G28" i="7"/>
  <c r="F26" i="3"/>
  <c r="E27" i="3"/>
  <c r="E102" i="2" l="1"/>
  <c r="F101" i="2"/>
  <c r="F30" i="7"/>
  <c r="G29" i="7"/>
  <c r="F27" i="3"/>
  <c r="E28" i="3"/>
  <c r="E103" i="2" l="1"/>
  <c r="F102" i="2"/>
  <c r="F31" i="7"/>
  <c r="G30" i="7"/>
  <c r="E29" i="3"/>
  <c r="F28" i="3"/>
  <c r="E104" i="2" l="1"/>
  <c r="F103" i="2"/>
  <c r="F32" i="7"/>
  <c r="G31" i="7"/>
  <c r="F29" i="3"/>
  <c r="E30" i="3"/>
  <c r="E105" i="2" l="1"/>
  <c r="F104" i="2"/>
  <c r="F33" i="7"/>
  <c r="G32" i="7"/>
  <c r="F30" i="3"/>
  <c r="E31" i="3"/>
  <c r="E106" i="2" l="1"/>
  <c r="F105" i="2"/>
  <c r="F34" i="7"/>
  <c r="G33" i="7"/>
  <c r="E32" i="3"/>
  <c r="F32" i="3" s="1"/>
  <c r="F31" i="3"/>
  <c r="E107" i="2" l="1"/>
  <c r="F106" i="2"/>
  <c r="F35" i="7"/>
  <c r="G34" i="7"/>
  <c r="P10" i="2"/>
  <c r="P12" i="1"/>
  <c r="Q3" i="1"/>
  <c r="K15" i="1"/>
  <c r="I3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S10" i="2"/>
  <c r="S4" i="2"/>
  <c r="S5" i="2"/>
  <c r="S6" i="2"/>
  <c r="S7" i="2"/>
  <c r="S8" i="2"/>
  <c r="S9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3" i="2"/>
  <c r="R3" i="2"/>
  <c r="R4" i="2"/>
  <c r="R5" i="2"/>
  <c r="R6" i="2"/>
  <c r="R7" i="2"/>
  <c r="R8" i="2"/>
  <c r="R9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3" i="2"/>
  <c r="R54" i="2"/>
  <c r="R55" i="2"/>
  <c r="Q4" i="2"/>
  <c r="Q5" i="2"/>
  <c r="Q6" i="2"/>
  <c r="Q7" i="2"/>
  <c r="Q8" i="2"/>
  <c r="Q9" i="2"/>
  <c r="Q10" i="2"/>
  <c r="Q11" i="2"/>
  <c r="Q12" i="2"/>
  <c r="Q13" i="2"/>
  <c r="Q14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P4" i="2"/>
  <c r="P5" i="2"/>
  <c r="P6" i="2"/>
  <c r="P7" i="2"/>
  <c r="P8" i="2"/>
  <c r="P9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3" i="2"/>
  <c r="G4" i="2"/>
  <c r="H4" i="2"/>
  <c r="I4" i="2"/>
  <c r="J4" i="2"/>
  <c r="K4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G9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K3" i="2"/>
  <c r="J3" i="2"/>
  <c r="I3" i="2"/>
  <c r="H3" i="2"/>
  <c r="G3" i="2"/>
  <c r="E4" i="2"/>
  <c r="E5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E108" i="2" l="1"/>
  <c r="F107" i="2"/>
  <c r="F36" i="7"/>
  <c r="G36" i="7" s="1"/>
  <c r="G35" i="7"/>
  <c r="F5" i="2"/>
  <c r="E6" i="2"/>
  <c r="F4" i="2"/>
  <c r="F108" i="2" l="1"/>
  <c r="E109" i="2"/>
  <c r="E7" i="2"/>
  <c r="F7" i="2" s="1"/>
  <c r="F6" i="2"/>
  <c r="F109" i="2" l="1"/>
  <c r="E110" i="2"/>
  <c r="E8" i="2"/>
  <c r="E111" i="2" l="1"/>
  <c r="F111" i="2" s="1"/>
  <c r="F110" i="2"/>
  <c r="F8" i="2"/>
  <c r="E9" i="2"/>
  <c r="E10" i="2" l="1"/>
  <c r="F9" i="2"/>
  <c r="E11" i="2" l="1"/>
  <c r="F10" i="2"/>
  <c r="E12" i="2" l="1"/>
  <c r="F11" i="2"/>
  <c r="E13" i="2" l="1"/>
  <c r="F12" i="2"/>
  <c r="F13" i="2" l="1"/>
  <c r="E14" i="2"/>
  <c r="F14" i="2" l="1"/>
  <c r="E16" i="2" l="1"/>
  <c r="F15" i="2"/>
  <c r="E17" i="2" l="1"/>
  <c r="F16" i="2"/>
  <c r="E18" i="2" l="1"/>
  <c r="F17" i="2"/>
  <c r="E19" i="2" l="1"/>
  <c r="F19" i="2" l="1"/>
  <c r="E20" i="2"/>
  <c r="E21" i="2" l="1"/>
  <c r="F20" i="2"/>
  <c r="F21" i="2" l="1"/>
  <c r="E22" i="2"/>
  <c r="F22" i="2" l="1"/>
  <c r="E23" i="2"/>
  <c r="F23" i="2" l="1"/>
  <c r="E24" i="2"/>
  <c r="E25" i="2" l="1"/>
  <c r="F24" i="2"/>
  <c r="F25" i="2" l="1"/>
  <c r="E26" i="2"/>
  <c r="E27" i="2" l="1"/>
  <c r="F26" i="2"/>
  <c r="E28" i="2" l="1"/>
  <c r="F27" i="2"/>
  <c r="E29" i="2" l="1"/>
  <c r="F28" i="2"/>
  <c r="E30" i="2" l="1"/>
  <c r="F29" i="2"/>
  <c r="E31" i="2" l="1"/>
  <c r="F30" i="2"/>
  <c r="F31" i="2" l="1"/>
  <c r="E32" i="2"/>
  <c r="F32" i="2" l="1"/>
  <c r="E33" i="2"/>
  <c r="F33" i="2" l="1"/>
  <c r="E34" i="2"/>
  <c r="F34" i="2" l="1"/>
  <c r="E35" i="2"/>
  <c r="E36" i="2" l="1"/>
  <c r="F35" i="2"/>
  <c r="E37" i="2" l="1"/>
  <c r="F36" i="2"/>
  <c r="F37" i="2" l="1"/>
  <c r="E38" i="2"/>
  <c r="E39" i="2" l="1"/>
  <c r="F38" i="2"/>
  <c r="E40" i="2" l="1"/>
  <c r="F39" i="2"/>
  <c r="E41" i="2" l="1"/>
  <c r="F40" i="2"/>
  <c r="E42" i="2" l="1"/>
  <c r="F41" i="2"/>
  <c r="E43" i="2" l="1"/>
  <c r="F42" i="2"/>
  <c r="F43" i="2" l="1"/>
  <c r="E44" i="2"/>
  <c r="F44" i="2" l="1"/>
  <c r="E45" i="2"/>
  <c r="E46" i="2" l="1"/>
  <c r="F45" i="2"/>
  <c r="E47" i="2" l="1"/>
  <c r="F46" i="2"/>
  <c r="F47" i="2" l="1"/>
  <c r="E48" i="2"/>
  <c r="E49" i="2" l="1"/>
  <c r="F48" i="2"/>
  <c r="F49" i="2" l="1"/>
  <c r="E50" i="2"/>
  <c r="F50" i="2" l="1"/>
  <c r="E51" i="2"/>
  <c r="E52" i="2" l="1"/>
  <c r="F51" i="2"/>
  <c r="E53" i="2" l="1"/>
  <c r="H8" i="1" l="1"/>
  <c r="H17" i="1"/>
  <c r="P1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P4" i="1"/>
  <c r="P5" i="1"/>
  <c r="P6" i="1"/>
  <c r="P7" i="1"/>
  <c r="P8" i="1"/>
  <c r="P9" i="1"/>
  <c r="P11" i="1"/>
  <c r="P13" i="1"/>
  <c r="P14" i="1"/>
  <c r="P15" i="1"/>
  <c r="P16" i="1"/>
  <c r="P17" i="1"/>
  <c r="P19" i="1"/>
  <c r="P20" i="1"/>
  <c r="P21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3" i="1"/>
  <c r="H3" i="1"/>
  <c r="G3" i="1"/>
  <c r="J5" i="1"/>
  <c r="H7" i="1"/>
  <c r="K4" i="1"/>
  <c r="K5" i="1"/>
  <c r="K6" i="1"/>
  <c r="K7" i="1"/>
  <c r="K8" i="1"/>
  <c r="K9" i="1"/>
  <c r="K10" i="1"/>
  <c r="K11" i="1"/>
  <c r="K12" i="1"/>
  <c r="K13" i="1"/>
  <c r="K14" i="1"/>
  <c r="K16" i="1"/>
  <c r="K17" i="1"/>
  <c r="K18" i="1"/>
  <c r="K19" i="1"/>
  <c r="K20" i="1"/>
  <c r="K21" i="1"/>
  <c r="K3" i="1"/>
  <c r="J7" i="1"/>
  <c r="J4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4" i="1"/>
  <c r="H5" i="1"/>
  <c r="H6" i="1"/>
  <c r="H9" i="1"/>
  <c r="H10" i="1"/>
  <c r="H11" i="1"/>
  <c r="H12" i="1"/>
  <c r="H13" i="1"/>
  <c r="H14" i="1"/>
  <c r="H15" i="1"/>
  <c r="H16" i="1"/>
  <c r="H18" i="1"/>
  <c r="H19" i="1"/>
  <c r="H20" i="1"/>
  <c r="H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E4" i="1"/>
  <c r="E5" i="1" s="1"/>
  <c r="F4" i="1" l="1"/>
  <c r="A19" i="1"/>
  <c r="A20" i="1" s="1"/>
  <c r="A21" i="1" s="1"/>
  <c r="E6" i="1"/>
  <c r="E7" i="1" s="1"/>
  <c r="E8" i="1" s="1"/>
  <c r="F5" i="1"/>
  <c r="E9" i="1" l="1"/>
  <c r="E10" i="1" s="1"/>
  <c r="F8" i="1"/>
  <c r="E11" i="1"/>
  <c r="E12" i="1" s="1"/>
  <c r="E13" i="1" s="1"/>
  <c r="F10" i="1"/>
  <c r="F6" i="1"/>
  <c r="E14" i="1" l="1"/>
  <c r="E15" i="1" s="1"/>
  <c r="E16" i="1" s="1"/>
  <c r="E17" i="1" s="1"/>
  <c r="E18" i="1" s="1"/>
  <c r="E19" i="1" s="1"/>
  <c r="E20" i="1" s="1"/>
  <c r="E21" i="1" s="1"/>
  <c r="F21" i="1" s="1"/>
  <c r="F13" i="1"/>
  <c r="F7" i="1"/>
  <c r="F9" i="1" l="1"/>
  <c r="F11" i="1" l="1"/>
  <c r="F12" i="1" l="1"/>
  <c r="F14" i="1" l="1"/>
  <c r="F15" i="1" l="1"/>
  <c r="F18" i="1" l="1"/>
  <c r="F16" i="1"/>
  <c r="F17" i="1" l="1"/>
  <c r="F19" i="1" l="1"/>
  <c r="F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2" authorId="0" shapeId="0" xr:uid="{6E42FAE4-D23B-474E-9DF3-B67359FD0CD5}">
      <text>
        <r>
          <rPr>
            <b/>
            <sz val="9"/>
            <color indexed="81"/>
            <rFont val="Tahoma"/>
            <family val="2"/>
          </rPr>
          <t xml:space="preserve">Remember to cum. The data
</t>
        </r>
      </text>
    </comment>
  </commentList>
</comments>
</file>

<file path=xl/sharedStrings.xml><?xml version="1.0" encoding="utf-8"?>
<sst xmlns="http://schemas.openxmlformats.org/spreadsheetml/2006/main" count="16272" uniqueCount="84">
  <si>
    <t>DoY</t>
  </si>
  <si>
    <t>Data_time</t>
  </si>
  <si>
    <t>Delta hours [h]</t>
  </si>
  <si>
    <t>Partial Day</t>
  </si>
  <si>
    <t>E</t>
  </si>
  <si>
    <t>L1</t>
  </si>
  <si>
    <t>N_Day5°</t>
  </si>
  <si>
    <t>Hours accumulateD [h]</t>
  </si>
  <si>
    <t>L2</t>
  </si>
  <si>
    <t>Egg</t>
  </si>
  <si>
    <t>L3</t>
  </si>
  <si>
    <t>P</t>
  </si>
  <si>
    <t>50 individuals</t>
  </si>
  <si>
    <t>AM</t>
  </si>
  <si>
    <t>AF</t>
  </si>
  <si>
    <t>Development</t>
  </si>
  <si>
    <t>Mortality</t>
  </si>
  <si>
    <t>E_D</t>
  </si>
  <si>
    <t>L1_D</t>
  </si>
  <si>
    <t>Data_timE</t>
  </si>
  <si>
    <t>DElta hours [h]</t>
  </si>
  <si>
    <t>Hours accumulatED [h]</t>
  </si>
  <si>
    <t>L2_D</t>
  </si>
  <si>
    <t>Delta Hours [h]</t>
  </si>
  <si>
    <t>Hours Accumulated [h]</t>
  </si>
  <si>
    <t>Day</t>
  </si>
  <si>
    <t>F</t>
  </si>
  <si>
    <t>P_D</t>
  </si>
  <si>
    <t>c</t>
  </si>
  <si>
    <t>L3_D</t>
  </si>
  <si>
    <t>52 individuals</t>
  </si>
  <si>
    <r>
      <t>N_day</t>
    </r>
    <r>
      <rPr>
        <vertAlign val="subscript"/>
        <sz val="11"/>
        <color theme="1"/>
        <rFont val="Aptos Narrow"/>
        <family val="2"/>
      </rPr>
      <t>32°</t>
    </r>
  </si>
  <si>
    <r>
      <t>N_day</t>
    </r>
    <r>
      <rPr>
        <vertAlign val="subscript"/>
        <sz val="11"/>
        <color theme="1"/>
        <rFont val="Aptos Narrow"/>
        <family val="2"/>
      </rPr>
      <t>30°</t>
    </r>
  </si>
  <si>
    <r>
      <t>N_day</t>
    </r>
    <r>
      <rPr>
        <vertAlign val="subscript"/>
        <sz val="11"/>
        <color theme="1"/>
        <rFont val="Aptos Narrow"/>
        <family val="2"/>
      </rPr>
      <t>28°</t>
    </r>
  </si>
  <si>
    <t>Data_time_1hr_2hr</t>
  </si>
  <si>
    <t>27/07/22 16:30</t>
  </si>
  <si>
    <t>27/07/22 17:30</t>
  </si>
  <si>
    <t>27/07/22 18:30</t>
  </si>
  <si>
    <t>27/07/22 19:30</t>
  </si>
  <si>
    <t>27/07/22 20:30</t>
  </si>
  <si>
    <t>27/07/22 21:30</t>
  </si>
  <si>
    <t>27/07/22 22:30</t>
  </si>
  <si>
    <t>27/07/22 23:30</t>
  </si>
  <si>
    <t>28/07/22 9:30</t>
  </si>
  <si>
    <t>28/07/22 10:30</t>
  </si>
  <si>
    <t>28/07/22 11:30</t>
  </si>
  <si>
    <t>28/07/22 12:30</t>
  </si>
  <si>
    <t>28/07/22 13:30</t>
  </si>
  <si>
    <t>28/07/22 14:30</t>
  </si>
  <si>
    <t>28/07/22 15:30</t>
  </si>
  <si>
    <t>28/07/22 17:30</t>
  </si>
  <si>
    <t>28/07/22 18:30</t>
  </si>
  <si>
    <t>28/07/22 20:30</t>
  </si>
  <si>
    <t>28/07/22 21:30</t>
  </si>
  <si>
    <t>28/07/22 22:30</t>
  </si>
  <si>
    <t>29/07/22 8:30</t>
  </si>
  <si>
    <t>29/07/22 9:30</t>
  </si>
  <si>
    <t>29/07/22 10:30</t>
  </si>
  <si>
    <t>29/07/22 11:30</t>
  </si>
  <si>
    <t>29/07/22 12:30</t>
  </si>
  <si>
    <t>29/07/22 13:30</t>
  </si>
  <si>
    <t>50 Individuals</t>
  </si>
  <si>
    <r>
      <t>N_day</t>
    </r>
    <r>
      <rPr>
        <vertAlign val="subscript"/>
        <sz val="11"/>
        <color theme="1"/>
        <rFont val="Calibri"/>
        <family val="2"/>
        <scheme val="minor"/>
      </rPr>
      <t>36°</t>
    </r>
  </si>
  <si>
    <t>35 individuals</t>
  </si>
  <si>
    <t>Cum_Mortality</t>
  </si>
  <si>
    <t>Development- 5°C</t>
  </si>
  <si>
    <t>Development- 10°C</t>
  </si>
  <si>
    <t>Development- 16°C</t>
  </si>
  <si>
    <t>Development- 28°C</t>
  </si>
  <si>
    <t>Development- 30°C</t>
  </si>
  <si>
    <t>Development- 32°C</t>
  </si>
  <si>
    <t>Development- 34°C</t>
  </si>
  <si>
    <t>Mortality- 5°C</t>
  </si>
  <si>
    <t>Mortality- 10°C</t>
  </si>
  <si>
    <t>Mortality- 16°C</t>
  </si>
  <si>
    <t>Mortality- 28°C</t>
  </si>
  <si>
    <t>Mortality- 30°C</t>
  </si>
  <si>
    <t>Mortality- 32°C</t>
  </si>
  <si>
    <t>Mortality- 34°C</t>
  </si>
  <si>
    <t>D</t>
  </si>
  <si>
    <t>?</t>
  </si>
  <si>
    <t>N_Day16°</t>
  </si>
  <si>
    <t>AM_D</t>
  </si>
  <si>
    <t>AF_D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</si>
</sst>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\.mm;@"/>
    <numFmt numFmtId="165" formatCode="[h]:mm:ss;@"/>
    <numFmt numFmtId="166" formatCode="[h]"/>
  </numFmts>
  <fonts count="2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8"/>
      <name val="Calibri"/>
      <family val="2"/>
      <scheme val="minor"/>
    </font>
    <font>
      <b/>
      <sz val="16"/>
      <color theme="1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b/>
      <sz val="14"/>
      <name val="Aptos Narrow"/>
      <family val="2"/>
    </font>
    <font>
      <vertAlign val="subscript"/>
      <sz val="11"/>
      <color theme="1"/>
      <name val="Aptos Narrow"/>
      <family val="2"/>
    </font>
    <font>
      <b/>
      <sz val="11"/>
      <color theme="5" tint="-0.249977111117893"/>
      <name val="Aptos Narrow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Aptos Narrow"/>
      <family val="2"/>
    </font>
    <font>
      <sz val="11"/>
      <color rgb="FFFF3300"/>
      <name val="Aptos Narrow"/>
      <family val="2"/>
    </font>
    <font>
      <sz val="11"/>
      <color theme="9" tint="-0.499984740745262"/>
      <name val="Aptos Narrow"/>
      <family val="2"/>
    </font>
    <font>
      <sz val="11"/>
      <color theme="5" tint="-0.249977111117893"/>
      <name val="Aptos Narrow"/>
      <family val="2"/>
    </font>
    <font>
      <sz val="11"/>
      <color theme="5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4506668294322"/>
        <bgColor theme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theme="1"/>
      </patternFill>
    </fill>
    <fill>
      <patternFill patternType="solid">
        <fgColor theme="7" tint="0.79998168889431442"/>
        <bgColor theme="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52FAA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3" fillId="0" borderId="0" xfId="0" applyFont="1" applyAlignment="1">
      <alignment vertical="center"/>
    </xf>
    <xf numFmtId="49" fontId="3" fillId="0" borderId="0" xfId="1" applyNumberFormat="1" applyFont="1" applyFill="1" applyAlignment="1">
      <alignment vertical="center"/>
    </xf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2" borderId="0" xfId="0" applyNumberFormat="1" applyFont="1" applyFill="1"/>
    <xf numFmtId="2" fontId="3" fillId="4" borderId="0" xfId="0" applyNumberFormat="1" applyFont="1" applyFill="1"/>
    <xf numFmtId="2" fontId="3" fillId="5" borderId="0" xfId="0" applyNumberFormat="1" applyFont="1" applyFill="1"/>
    <xf numFmtId="2" fontId="3" fillId="6" borderId="0" xfId="0" applyNumberFormat="1" applyFont="1" applyFill="1"/>
    <xf numFmtId="2" fontId="3" fillId="7" borderId="0" xfId="0" applyNumberFormat="1" applyFont="1" applyFill="1"/>
    <xf numFmtId="2" fontId="3" fillId="8" borderId="0" xfId="0" applyNumberFormat="1" applyFont="1" applyFill="1"/>
    <xf numFmtId="2" fontId="3" fillId="9" borderId="0" xfId="0" applyNumberFormat="1" applyFont="1" applyFill="1"/>
    <xf numFmtId="2" fontId="3" fillId="11" borderId="0" xfId="0" applyNumberFormat="1" applyFont="1" applyFill="1" applyAlignment="1">
      <alignment horizontal="center"/>
    </xf>
    <xf numFmtId="2" fontId="3" fillId="11" borderId="0" xfId="0" applyNumberFormat="1" applyFont="1" applyFill="1"/>
    <xf numFmtId="0" fontId="3" fillId="11" borderId="0" xfId="0" applyFont="1" applyFill="1" applyAlignment="1">
      <alignment horizontal="center" vertical="center"/>
    </xf>
    <xf numFmtId="2" fontId="3" fillId="12" borderId="0" xfId="0" applyNumberFormat="1" applyFont="1" applyFill="1"/>
    <xf numFmtId="2" fontId="3" fillId="3" borderId="0" xfId="0" applyNumberFormat="1" applyFont="1" applyFill="1"/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3" fillId="10" borderId="0" xfId="0" applyNumberFormat="1" applyFont="1" applyFill="1"/>
    <xf numFmtId="0" fontId="0" fillId="14" borderId="0" xfId="0" applyFill="1"/>
    <xf numFmtId="0" fontId="2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4" fillId="8" borderId="0" xfId="0" applyFont="1" applyFill="1"/>
    <xf numFmtId="20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 vertical="center"/>
    </xf>
    <xf numFmtId="22" fontId="0" fillId="0" borderId="0" xfId="0" applyNumberFormat="1"/>
    <xf numFmtId="2" fontId="0" fillId="0" borderId="0" xfId="0" applyNumberFormat="1"/>
    <xf numFmtId="2" fontId="3" fillId="10" borderId="0" xfId="0" applyNumberFormat="1" applyFont="1" applyFill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3" fillId="0" borderId="3" xfId="0" applyNumberFormat="1" applyFont="1" applyBorder="1"/>
    <xf numFmtId="2" fontId="3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3" fillId="13" borderId="0" xfId="0" applyNumberFormat="1" applyFont="1" applyFill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3" fillId="13" borderId="0" xfId="0" applyNumberFormat="1" applyFont="1" applyFill="1"/>
    <xf numFmtId="2" fontId="4" fillId="0" borderId="0" xfId="0" applyNumberFormat="1" applyFont="1" applyAlignment="1">
      <alignment vertical="center"/>
    </xf>
    <xf numFmtId="2" fontId="3" fillId="0" borderId="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4" fillId="16" borderId="0" xfId="0" applyFont="1" applyFill="1"/>
    <xf numFmtId="0" fontId="9" fillId="0" borderId="0" xfId="0" applyFont="1"/>
    <xf numFmtId="2" fontId="5" fillId="17" borderId="0" xfId="0" applyNumberFormat="1" applyFont="1" applyFill="1" applyAlignment="1">
      <alignment horizontal="center" vertical="center"/>
    </xf>
    <xf numFmtId="2" fontId="3" fillId="18" borderId="0" xfId="0" applyNumberFormat="1" applyFont="1" applyFill="1"/>
    <xf numFmtId="0" fontId="17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3" fillId="19" borderId="0" xfId="0" applyNumberFormat="1" applyFont="1" applyFill="1"/>
    <xf numFmtId="2" fontId="5" fillId="19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5" fillId="20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2" fontId="3" fillId="20" borderId="0" xfId="0" applyNumberFormat="1" applyFont="1" applyFill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2" fillId="19" borderId="0" xfId="0" applyFon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2" fontId="3" fillId="16" borderId="0" xfId="0" applyNumberFormat="1" applyFont="1" applyFill="1"/>
    <xf numFmtId="2" fontId="3" fillId="21" borderId="0" xfId="0" applyNumberFormat="1" applyFont="1" applyFill="1"/>
    <xf numFmtId="0" fontId="19" fillId="19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2" fontId="6" fillId="15" borderId="0" xfId="0" applyNumberFormat="1" applyFont="1" applyFill="1" applyAlignment="1">
      <alignment horizontal="center" vertical="center"/>
    </xf>
    <xf numFmtId="2" fontId="3" fillId="10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2" fontId="3" fillId="13" borderId="0" xfId="0" applyNumberFormat="1" applyFont="1" applyFill="1" applyAlignment="1">
      <alignment horizontal="center"/>
    </xf>
    <xf numFmtId="49" fontId="0" fillId="0" borderId="0" xfId="1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52FAA"/>
      <color rgb="FFFF3300"/>
      <color rgb="FFFF3399"/>
      <color rgb="FFFF99FF"/>
      <color rgb="FFFE8484"/>
      <color rgb="FFEA80E5"/>
      <color rgb="FFFF993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3C7C-D69F-4471-8175-AD1691AD2ECA}">
  <dimension ref="B1:BK114"/>
  <sheetViews>
    <sheetView tabSelected="1" topLeftCell="A25" zoomScale="55" zoomScaleNormal="55" workbookViewId="0">
      <selection activeCell="U35" sqref="U35"/>
    </sheetView>
  </sheetViews>
  <sheetFormatPr defaultRowHeight="14.4" x14ac:dyDescent="0.3"/>
  <cols>
    <col min="21" max="54" width="8.88671875" style="27"/>
  </cols>
  <sheetData>
    <row r="1" spans="2:63" x14ac:dyDescent="0.3"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2:63" x14ac:dyDescent="0.3">
      <c r="B2" s="7"/>
      <c r="C2" s="88" t="s">
        <v>65</v>
      </c>
      <c r="D2" s="88"/>
      <c r="E2" s="88"/>
      <c r="F2" s="88"/>
      <c r="G2" s="88"/>
      <c r="H2" s="88"/>
      <c r="I2" s="88"/>
      <c r="J2" s="46"/>
      <c r="K2" s="32"/>
      <c r="L2" s="88" t="s">
        <v>66</v>
      </c>
      <c r="M2" s="88"/>
      <c r="N2" s="88"/>
      <c r="O2" s="88"/>
      <c r="P2" s="88"/>
      <c r="Q2" s="88"/>
      <c r="R2" s="88"/>
      <c r="S2" s="31"/>
      <c r="T2" s="7"/>
      <c r="U2" s="88" t="s">
        <v>67</v>
      </c>
      <c r="V2" s="88"/>
      <c r="W2" s="88"/>
      <c r="X2" s="88"/>
      <c r="Y2" s="88"/>
      <c r="Z2" s="88"/>
      <c r="AA2" s="88"/>
      <c r="AB2"/>
      <c r="AC2" s="57"/>
      <c r="AD2" s="88" t="s">
        <v>68</v>
      </c>
      <c r="AE2" s="88"/>
      <c r="AF2" s="88"/>
      <c r="AG2" s="88"/>
      <c r="AH2" s="88"/>
      <c r="AI2" s="88"/>
      <c r="AJ2" s="88"/>
      <c r="AK2"/>
      <c r="AL2"/>
      <c r="AM2" s="88" t="s">
        <v>69</v>
      </c>
      <c r="AN2" s="88"/>
      <c r="AO2" s="88"/>
      <c r="AP2" s="88"/>
      <c r="AQ2" s="88"/>
      <c r="AR2" s="88"/>
      <c r="AS2" s="88"/>
      <c r="AT2"/>
      <c r="AU2" s="57"/>
      <c r="AV2" s="88" t="s">
        <v>70</v>
      </c>
      <c r="AW2" s="88"/>
      <c r="AX2" s="88"/>
      <c r="AY2" s="88"/>
      <c r="AZ2" s="88"/>
      <c r="BA2" s="88"/>
      <c r="BB2" s="88"/>
      <c r="BD2" s="57"/>
      <c r="BE2" s="88" t="s">
        <v>71</v>
      </c>
      <c r="BF2" s="88"/>
      <c r="BG2" s="88"/>
      <c r="BH2" s="88"/>
      <c r="BI2" s="88"/>
      <c r="BJ2" s="88"/>
      <c r="BK2" s="88"/>
    </row>
    <row r="3" spans="2:63" x14ac:dyDescent="0.3">
      <c r="B3" s="50" t="s">
        <v>25</v>
      </c>
      <c r="C3" s="51" t="s">
        <v>9</v>
      </c>
      <c r="D3" s="51" t="s">
        <v>5</v>
      </c>
      <c r="E3" s="51" t="s">
        <v>8</v>
      </c>
      <c r="F3" s="51" t="s">
        <v>10</v>
      </c>
      <c r="G3" s="51" t="s">
        <v>11</v>
      </c>
      <c r="H3" s="51" t="s">
        <v>13</v>
      </c>
      <c r="I3" s="51" t="s">
        <v>14</v>
      </c>
      <c r="J3" s="46"/>
      <c r="K3" s="55" t="s">
        <v>25</v>
      </c>
      <c r="L3" s="54" t="s">
        <v>9</v>
      </c>
      <c r="M3" s="54" t="s">
        <v>5</v>
      </c>
      <c r="N3" s="54" t="s">
        <v>8</v>
      </c>
      <c r="O3" s="54" t="s">
        <v>10</v>
      </c>
      <c r="P3" s="54" t="s">
        <v>11</v>
      </c>
      <c r="Q3" s="54" t="s">
        <v>13</v>
      </c>
      <c r="R3" s="54" t="s">
        <v>14</v>
      </c>
      <c r="S3" s="31"/>
      <c r="T3" s="55" t="s">
        <v>25</v>
      </c>
      <c r="U3" s="54" t="s">
        <v>9</v>
      </c>
      <c r="V3" s="54" t="s">
        <v>5</v>
      </c>
      <c r="W3" s="54" t="s">
        <v>8</v>
      </c>
      <c r="X3" s="54" t="s">
        <v>10</v>
      </c>
      <c r="Y3" s="54" t="s">
        <v>11</v>
      </c>
      <c r="Z3" s="54" t="s">
        <v>13</v>
      </c>
      <c r="AA3" s="54" t="s">
        <v>14</v>
      </c>
      <c r="AB3"/>
      <c r="AC3" s="55" t="s">
        <v>25</v>
      </c>
      <c r="AD3" s="54" t="s">
        <v>9</v>
      </c>
      <c r="AE3" s="54" t="s">
        <v>5</v>
      </c>
      <c r="AF3" s="54" t="s">
        <v>8</v>
      </c>
      <c r="AG3" s="54" t="s">
        <v>10</v>
      </c>
      <c r="AH3" s="54" t="s">
        <v>11</v>
      </c>
      <c r="AI3" s="54" t="s">
        <v>13</v>
      </c>
      <c r="AJ3" s="54" t="s">
        <v>14</v>
      </c>
      <c r="AK3"/>
      <c r="AL3" s="55" t="s">
        <v>25</v>
      </c>
      <c r="AM3" s="54" t="s">
        <v>9</v>
      </c>
      <c r="AN3" s="54" t="s">
        <v>5</v>
      </c>
      <c r="AO3" s="54" t="s">
        <v>8</v>
      </c>
      <c r="AP3" s="54" t="s">
        <v>10</v>
      </c>
      <c r="AQ3" s="54" t="s">
        <v>11</v>
      </c>
      <c r="AR3" s="54" t="s">
        <v>13</v>
      </c>
      <c r="AS3" s="54" t="s">
        <v>14</v>
      </c>
      <c r="AT3"/>
      <c r="AU3" s="55" t="s">
        <v>25</v>
      </c>
      <c r="AV3" s="54" t="s">
        <v>9</v>
      </c>
      <c r="AW3" s="54" t="s">
        <v>5</v>
      </c>
      <c r="AX3" s="54" t="s">
        <v>8</v>
      </c>
      <c r="AY3" s="54" t="s">
        <v>10</v>
      </c>
      <c r="AZ3" s="54" t="s">
        <v>11</v>
      </c>
      <c r="BA3" s="54" t="s">
        <v>13</v>
      </c>
      <c r="BB3" s="54" t="s">
        <v>14</v>
      </c>
      <c r="BD3" s="55" t="s">
        <v>25</v>
      </c>
      <c r="BE3" s="54" t="s">
        <v>9</v>
      </c>
      <c r="BF3" s="54" t="s">
        <v>5</v>
      </c>
      <c r="BG3" s="54" t="s">
        <v>8</v>
      </c>
      <c r="BH3" s="54" t="s">
        <v>10</v>
      </c>
      <c r="BI3" s="54" t="s">
        <v>11</v>
      </c>
      <c r="BJ3" s="54" t="s">
        <v>13</v>
      </c>
      <c r="BK3" s="54" t="s">
        <v>14</v>
      </c>
    </row>
    <row r="4" spans="2:63" x14ac:dyDescent="0.3">
      <c r="B4" s="48">
        <v>0</v>
      </c>
      <c r="C4" s="52">
        <v>50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46"/>
      <c r="K4" s="49">
        <v>0</v>
      </c>
      <c r="L4" s="52">
        <v>50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31"/>
      <c r="T4" s="48">
        <v>0</v>
      </c>
      <c r="U4" s="52">
        <v>50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C4" s="48">
        <v>0</v>
      </c>
      <c r="AD4" s="52">
        <v>50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L4" s="48">
        <v>0</v>
      </c>
      <c r="AM4" s="52">
        <v>52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U4" s="48">
        <v>0</v>
      </c>
      <c r="AV4" s="52">
        <v>50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D4" s="58">
        <v>0</v>
      </c>
      <c r="BE4" s="52">
        <v>50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2:63" x14ac:dyDescent="0.3">
      <c r="B5" s="48">
        <v>1</v>
      </c>
      <c r="C5" s="52">
        <v>50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46"/>
      <c r="K5" s="49">
        <v>1</v>
      </c>
      <c r="L5" s="52">
        <v>50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31"/>
      <c r="T5" s="48">
        <v>1</v>
      </c>
      <c r="U5" s="52">
        <v>43</v>
      </c>
      <c r="V5" s="52">
        <v>7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C5" s="48">
        <v>0.25</v>
      </c>
      <c r="AD5" s="52">
        <v>40</v>
      </c>
      <c r="AE5" s="52">
        <v>10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L5" s="48">
        <v>0.25</v>
      </c>
      <c r="AM5" s="52">
        <v>48</v>
      </c>
      <c r="AN5" s="52">
        <v>4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U5" s="48">
        <v>0.1875</v>
      </c>
      <c r="AV5" s="52">
        <v>36</v>
      </c>
      <c r="AW5" s="52">
        <v>14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D5" s="48">
        <v>4.1666666664241347E-2</v>
      </c>
      <c r="BE5" s="52">
        <v>50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2:63" x14ac:dyDescent="0.3">
      <c r="B6" s="48">
        <v>2</v>
      </c>
      <c r="C6" s="52">
        <v>50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46"/>
      <c r="K6" s="49">
        <v>2</v>
      </c>
      <c r="L6" s="52">
        <v>50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31"/>
      <c r="T6" s="48">
        <v>2</v>
      </c>
      <c r="U6" s="52">
        <v>8</v>
      </c>
      <c r="V6" s="52">
        <v>42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C6" s="48">
        <v>0.5</v>
      </c>
      <c r="AD6" s="52">
        <v>34</v>
      </c>
      <c r="AE6" s="52">
        <v>16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L6" s="48">
        <v>0.5</v>
      </c>
      <c r="AM6" s="52">
        <v>32</v>
      </c>
      <c r="AN6" s="52">
        <v>20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U6" s="48">
        <v>0.64583333333575865</v>
      </c>
      <c r="AV6" s="52">
        <v>34</v>
      </c>
      <c r="AW6" s="52">
        <v>16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D6" s="48">
        <v>8.3333333335758653E-2</v>
      </c>
      <c r="BE6" s="52">
        <v>50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2:63" x14ac:dyDescent="0.3">
      <c r="B7" s="48">
        <v>3</v>
      </c>
      <c r="C7" s="52">
        <v>50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46"/>
      <c r="K7" s="49">
        <v>3</v>
      </c>
      <c r="L7" s="52">
        <v>47</v>
      </c>
      <c r="M7" s="52">
        <v>3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31"/>
      <c r="T7" s="48">
        <v>3</v>
      </c>
      <c r="U7" s="52">
        <v>2</v>
      </c>
      <c r="V7" s="52">
        <v>48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C7" s="48">
        <v>1</v>
      </c>
      <c r="AD7" s="52">
        <v>28</v>
      </c>
      <c r="AE7" s="52">
        <v>22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L7" s="48">
        <v>0.97916666666424135</v>
      </c>
      <c r="AM7" s="52">
        <v>21</v>
      </c>
      <c r="AN7" s="52">
        <v>31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U7" s="48">
        <v>1</v>
      </c>
      <c r="AV7" s="52">
        <v>34</v>
      </c>
      <c r="AW7" s="52">
        <v>16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D7" s="48">
        <v>0.125</v>
      </c>
      <c r="BE7" s="52">
        <v>49</v>
      </c>
      <c r="BF7" s="52">
        <v>1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2:63" x14ac:dyDescent="0.3">
      <c r="B8" s="48">
        <v>4</v>
      </c>
      <c r="C8" s="52">
        <v>50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46"/>
      <c r="K8" s="49">
        <v>4</v>
      </c>
      <c r="L8" s="52">
        <v>25</v>
      </c>
      <c r="M8" s="52">
        <v>25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31"/>
      <c r="T8" s="48">
        <v>4</v>
      </c>
      <c r="U8" s="52">
        <v>1</v>
      </c>
      <c r="V8" s="52">
        <v>25</v>
      </c>
      <c r="W8" s="52">
        <v>22</v>
      </c>
      <c r="X8" s="12">
        <v>0</v>
      </c>
      <c r="Y8" s="12">
        <v>0</v>
      </c>
      <c r="Z8" s="12">
        <v>0</v>
      </c>
      <c r="AA8" s="12">
        <v>0</v>
      </c>
      <c r="AC8" s="48">
        <v>1.2916666666642413</v>
      </c>
      <c r="AD8" s="52">
        <v>28</v>
      </c>
      <c r="AE8" s="52">
        <v>19</v>
      </c>
      <c r="AF8" s="52">
        <v>3</v>
      </c>
      <c r="AG8" s="12">
        <v>0</v>
      </c>
      <c r="AH8" s="12">
        <v>0</v>
      </c>
      <c r="AI8" s="12">
        <v>0</v>
      </c>
      <c r="AJ8" s="12">
        <v>0</v>
      </c>
      <c r="AL8" s="48">
        <v>1.2916666666642413</v>
      </c>
      <c r="AM8" s="52">
        <v>20</v>
      </c>
      <c r="AN8" s="52">
        <v>32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U8" s="48">
        <v>1.2083333333357587</v>
      </c>
      <c r="AV8" s="52">
        <v>34</v>
      </c>
      <c r="AW8" s="52">
        <v>13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D8" s="48">
        <v>0.16666666666424135</v>
      </c>
      <c r="BE8" s="52">
        <v>48</v>
      </c>
      <c r="BF8" s="52">
        <v>2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2:63" x14ac:dyDescent="0.3">
      <c r="B9" s="48">
        <v>5</v>
      </c>
      <c r="C9" s="52">
        <v>46</v>
      </c>
      <c r="D9" s="52">
        <v>4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46"/>
      <c r="K9" s="49">
        <v>5</v>
      </c>
      <c r="L9" s="52">
        <v>10</v>
      </c>
      <c r="M9" s="52">
        <v>40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31"/>
      <c r="T9" s="48">
        <v>5</v>
      </c>
      <c r="U9" s="12">
        <v>0</v>
      </c>
      <c r="V9" s="52">
        <v>6</v>
      </c>
      <c r="W9" s="52">
        <v>39</v>
      </c>
      <c r="X9" s="12">
        <v>0</v>
      </c>
      <c r="Y9" s="12">
        <v>0</v>
      </c>
      <c r="Z9" s="12">
        <v>0</v>
      </c>
      <c r="AA9" s="12">
        <v>0</v>
      </c>
      <c r="AC9" s="48">
        <v>1.5208333333357587</v>
      </c>
      <c r="AD9" s="52">
        <v>28</v>
      </c>
      <c r="AE9" s="52">
        <v>13</v>
      </c>
      <c r="AF9" s="52">
        <v>7</v>
      </c>
      <c r="AG9" s="12">
        <v>0</v>
      </c>
      <c r="AH9" s="12">
        <v>0</v>
      </c>
      <c r="AI9" s="12">
        <v>0</v>
      </c>
      <c r="AJ9" s="12">
        <v>0</v>
      </c>
      <c r="AL9" s="48">
        <v>1.5</v>
      </c>
      <c r="AM9" s="52">
        <v>18</v>
      </c>
      <c r="AN9" s="52">
        <v>34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U9" s="48">
        <v>1.625</v>
      </c>
      <c r="AV9" s="52">
        <v>34</v>
      </c>
      <c r="AW9" s="52">
        <v>7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D9" s="48">
        <v>0.20833333333575865</v>
      </c>
      <c r="BE9" s="52">
        <v>48</v>
      </c>
      <c r="BF9" s="52">
        <v>2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2:63" x14ac:dyDescent="0.3">
      <c r="B10" s="48">
        <v>6</v>
      </c>
      <c r="C10" s="52">
        <v>46</v>
      </c>
      <c r="D10" s="52">
        <v>4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46"/>
      <c r="K10" s="49">
        <v>6</v>
      </c>
      <c r="L10" s="52">
        <v>9</v>
      </c>
      <c r="M10" s="52">
        <v>41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31"/>
      <c r="T10" s="48">
        <v>6</v>
      </c>
      <c r="U10" s="12">
        <v>0</v>
      </c>
      <c r="V10" s="12">
        <v>0</v>
      </c>
      <c r="W10" s="52">
        <v>35</v>
      </c>
      <c r="X10" s="52">
        <v>7</v>
      </c>
      <c r="Y10" s="12">
        <v>0</v>
      </c>
      <c r="Z10" s="12">
        <v>0</v>
      </c>
      <c r="AA10" s="12">
        <v>0</v>
      </c>
      <c r="AC10" s="48">
        <v>1.9375</v>
      </c>
      <c r="AD10" s="52">
        <v>28</v>
      </c>
      <c r="AE10" s="52">
        <v>4</v>
      </c>
      <c r="AF10" s="52">
        <v>14</v>
      </c>
      <c r="AG10" s="12">
        <v>0</v>
      </c>
      <c r="AH10" s="12">
        <v>0</v>
      </c>
      <c r="AI10" s="12">
        <v>0</v>
      </c>
      <c r="AJ10" s="12">
        <v>0</v>
      </c>
      <c r="AL10" s="48">
        <v>2</v>
      </c>
      <c r="AM10" s="52">
        <v>18</v>
      </c>
      <c r="AN10" s="52">
        <v>26</v>
      </c>
      <c r="AO10" s="52">
        <v>8</v>
      </c>
      <c r="AP10" s="12">
        <v>0</v>
      </c>
      <c r="AQ10" s="12">
        <v>0</v>
      </c>
      <c r="AR10" s="12">
        <v>0</v>
      </c>
      <c r="AS10" s="12">
        <v>0</v>
      </c>
      <c r="AU10" s="48">
        <v>2</v>
      </c>
      <c r="AV10" s="52">
        <v>34</v>
      </c>
      <c r="AW10" s="52">
        <v>3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D10" s="48">
        <v>0.25</v>
      </c>
      <c r="BE10" s="52">
        <v>48</v>
      </c>
      <c r="BF10" s="52">
        <v>2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2:63" x14ac:dyDescent="0.3">
      <c r="B11" s="48">
        <v>7</v>
      </c>
      <c r="C11" s="52">
        <v>46</v>
      </c>
      <c r="D11" s="52">
        <v>2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46"/>
      <c r="K11" s="49">
        <v>7</v>
      </c>
      <c r="L11" s="52">
        <v>9</v>
      </c>
      <c r="M11" s="52">
        <v>36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31"/>
      <c r="T11" s="48">
        <v>7</v>
      </c>
      <c r="U11" s="12">
        <v>0</v>
      </c>
      <c r="V11" s="12">
        <v>0</v>
      </c>
      <c r="W11" s="52">
        <v>10</v>
      </c>
      <c r="X11" s="52">
        <v>29</v>
      </c>
      <c r="Y11" s="12">
        <v>0</v>
      </c>
      <c r="Z11" s="12">
        <v>0</v>
      </c>
      <c r="AA11" s="12">
        <v>0</v>
      </c>
      <c r="AC11" s="48">
        <v>2.2916666666642413</v>
      </c>
      <c r="AD11" s="52">
        <v>28</v>
      </c>
      <c r="AE11" s="12">
        <v>0</v>
      </c>
      <c r="AF11" s="52">
        <v>16</v>
      </c>
      <c r="AG11" s="12">
        <v>0</v>
      </c>
      <c r="AH11" s="12">
        <v>0</v>
      </c>
      <c r="AI11" s="12">
        <v>0</v>
      </c>
      <c r="AJ11" s="12">
        <v>0</v>
      </c>
      <c r="AL11" s="48">
        <v>2.2708333333284827</v>
      </c>
      <c r="AM11" s="52">
        <v>18</v>
      </c>
      <c r="AN11" s="52">
        <v>21</v>
      </c>
      <c r="AO11" s="52">
        <v>8</v>
      </c>
      <c r="AP11" s="12">
        <v>0</v>
      </c>
      <c r="AQ11" s="12">
        <v>0</v>
      </c>
      <c r="AR11" s="12">
        <v>0</v>
      </c>
      <c r="AS11" s="12">
        <v>0</v>
      </c>
      <c r="AU11" s="48">
        <v>2.25</v>
      </c>
      <c r="AV11" s="52">
        <v>34</v>
      </c>
      <c r="AW11" s="52">
        <v>1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D11" s="48">
        <v>0.29166666666424135</v>
      </c>
      <c r="BE11" s="52">
        <v>40</v>
      </c>
      <c r="BF11" s="52">
        <v>2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2:63" x14ac:dyDescent="0.3">
      <c r="B12" s="48">
        <v>8</v>
      </c>
      <c r="C12" s="52">
        <v>46</v>
      </c>
      <c r="D12" s="52">
        <v>1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46"/>
      <c r="K12" s="49">
        <v>8</v>
      </c>
      <c r="L12" s="52">
        <v>9</v>
      </c>
      <c r="M12" s="52">
        <v>32</v>
      </c>
      <c r="N12" s="52">
        <v>1</v>
      </c>
      <c r="O12" s="28">
        <v>0</v>
      </c>
      <c r="P12" s="28">
        <v>0</v>
      </c>
      <c r="Q12" s="28">
        <v>0</v>
      </c>
      <c r="R12" s="28">
        <v>0</v>
      </c>
      <c r="S12" s="31"/>
      <c r="T12" s="48">
        <v>8</v>
      </c>
      <c r="U12" s="12">
        <v>0</v>
      </c>
      <c r="V12" s="12">
        <v>0</v>
      </c>
      <c r="W12" s="12">
        <v>0</v>
      </c>
      <c r="X12" s="52">
        <v>37</v>
      </c>
      <c r="Y12" s="12">
        <v>0</v>
      </c>
      <c r="Z12" s="12">
        <v>0</v>
      </c>
      <c r="AA12" s="12">
        <v>0</v>
      </c>
      <c r="AC12" s="48">
        <v>2.5</v>
      </c>
      <c r="AD12" s="52">
        <v>28</v>
      </c>
      <c r="AE12" s="12">
        <v>0</v>
      </c>
      <c r="AF12" s="52">
        <v>14</v>
      </c>
      <c r="AG12" s="52">
        <v>2</v>
      </c>
      <c r="AH12" s="12">
        <v>0</v>
      </c>
      <c r="AI12" s="12">
        <v>0</v>
      </c>
      <c r="AJ12" s="12">
        <v>0</v>
      </c>
      <c r="AL12" s="48">
        <v>2.5</v>
      </c>
      <c r="AM12" s="52">
        <v>18</v>
      </c>
      <c r="AN12" s="52">
        <v>9</v>
      </c>
      <c r="AO12" s="52">
        <v>16</v>
      </c>
      <c r="AP12" s="12">
        <v>0</v>
      </c>
      <c r="AQ12" s="12">
        <v>0</v>
      </c>
      <c r="AR12" s="12">
        <v>0</v>
      </c>
      <c r="AS12" s="12">
        <v>0</v>
      </c>
      <c r="AU12" s="48">
        <v>2.6458333333357587</v>
      </c>
      <c r="AV12" s="52">
        <v>34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D12" s="48">
        <v>0.70833333333575865</v>
      </c>
      <c r="BE12" s="52">
        <v>25</v>
      </c>
      <c r="BF12" s="52">
        <v>2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2:63" x14ac:dyDescent="0.3">
      <c r="B13" s="48">
        <v>9</v>
      </c>
      <c r="C13" s="52">
        <v>45</v>
      </c>
      <c r="D13" s="52">
        <v>1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46"/>
      <c r="K13" s="49">
        <v>9</v>
      </c>
      <c r="L13" s="52">
        <v>9</v>
      </c>
      <c r="M13" s="52">
        <v>27</v>
      </c>
      <c r="N13" s="52">
        <v>3</v>
      </c>
      <c r="O13" s="28">
        <v>0</v>
      </c>
      <c r="P13" s="28">
        <v>0</v>
      </c>
      <c r="Q13" s="28">
        <v>0</v>
      </c>
      <c r="R13" s="28">
        <v>0</v>
      </c>
      <c r="S13" s="31"/>
      <c r="T13" s="48">
        <v>9</v>
      </c>
      <c r="U13" s="12">
        <v>0</v>
      </c>
      <c r="V13" s="12">
        <v>0</v>
      </c>
      <c r="W13" s="12">
        <v>0</v>
      </c>
      <c r="X13" s="52">
        <v>37</v>
      </c>
      <c r="Y13" s="12">
        <v>0</v>
      </c>
      <c r="Z13" s="12">
        <v>0</v>
      </c>
      <c r="AA13" s="12">
        <v>0</v>
      </c>
      <c r="AC13" s="48">
        <v>2.9791666666642413</v>
      </c>
      <c r="AD13" s="52">
        <v>28</v>
      </c>
      <c r="AE13" s="12">
        <v>0</v>
      </c>
      <c r="AF13" s="52">
        <v>9</v>
      </c>
      <c r="AG13" s="52">
        <v>7</v>
      </c>
      <c r="AH13" s="12">
        <v>0</v>
      </c>
      <c r="AI13" s="12">
        <v>0</v>
      </c>
      <c r="AJ13" s="12">
        <v>0</v>
      </c>
      <c r="AL13" s="48">
        <v>2.9583333333284827</v>
      </c>
      <c r="AM13" s="52">
        <v>18</v>
      </c>
      <c r="AN13" s="52">
        <v>4</v>
      </c>
      <c r="AO13" s="52">
        <v>9</v>
      </c>
      <c r="AP13" s="52">
        <v>5</v>
      </c>
      <c r="AQ13" s="12">
        <v>0</v>
      </c>
      <c r="AR13" s="12">
        <v>0</v>
      </c>
      <c r="AS13" s="12">
        <v>0</v>
      </c>
      <c r="AU13" s="48">
        <v>2.9791666666715173</v>
      </c>
      <c r="AV13" s="52">
        <v>34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D13" s="48">
        <v>0.75</v>
      </c>
      <c r="BE13" s="52">
        <v>25</v>
      </c>
      <c r="BF13" s="52">
        <v>2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2:63" x14ac:dyDescent="0.3">
      <c r="B14" s="48">
        <v>10</v>
      </c>
      <c r="C14" s="52">
        <v>42</v>
      </c>
      <c r="D14" s="52">
        <v>3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46"/>
      <c r="K14" s="49">
        <v>10</v>
      </c>
      <c r="L14" s="52">
        <v>9</v>
      </c>
      <c r="M14" s="52">
        <v>16</v>
      </c>
      <c r="N14" s="52">
        <v>14</v>
      </c>
      <c r="O14" s="28">
        <v>0</v>
      </c>
      <c r="P14" s="28">
        <v>0</v>
      </c>
      <c r="Q14" s="28">
        <v>0</v>
      </c>
      <c r="R14" s="28">
        <v>0</v>
      </c>
      <c r="S14" s="31"/>
      <c r="T14" s="48">
        <v>10</v>
      </c>
      <c r="U14" s="12">
        <v>0</v>
      </c>
      <c r="V14" s="12">
        <v>0</v>
      </c>
      <c r="W14" s="12">
        <v>0</v>
      </c>
      <c r="X14" s="52">
        <v>32</v>
      </c>
      <c r="Y14" s="52">
        <v>5</v>
      </c>
      <c r="Z14" s="12">
        <v>0</v>
      </c>
      <c r="AA14" s="12">
        <v>0</v>
      </c>
      <c r="AC14" s="48">
        <v>3.2916666666642413</v>
      </c>
      <c r="AD14" s="52">
        <v>28</v>
      </c>
      <c r="AE14" s="12">
        <v>0</v>
      </c>
      <c r="AF14" s="52">
        <v>1</v>
      </c>
      <c r="AG14" s="52">
        <v>15</v>
      </c>
      <c r="AH14" s="12">
        <v>0</v>
      </c>
      <c r="AI14" s="12">
        <v>0</v>
      </c>
      <c r="AJ14" s="12">
        <v>0</v>
      </c>
      <c r="AL14" s="48">
        <v>3.2708333333284827</v>
      </c>
      <c r="AM14" s="52">
        <v>18</v>
      </c>
      <c r="AN14" s="52">
        <v>3</v>
      </c>
      <c r="AO14" s="52">
        <v>5</v>
      </c>
      <c r="AP14" s="52">
        <v>6</v>
      </c>
      <c r="AQ14" s="12">
        <v>0</v>
      </c>
      <c r="AR14" s="12">
        <v>0</v>
      </c>
      <c r="AS14" s="12">
        <v>0</v>
      </c>
      <c r="AU14" s="49">
        <v>3.2083333333357587</v>
      </c>
      <c r="AV14" s="52">
        <v>34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D14" s="48">
        <v>0.79166666666424135</v>
      </c>
      <c r="BE14" s="52">
        <v>25</v>
      </c>
      <c r="BF14" s="52">
        <v>2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2:63" x14ac:dyDescent="0.3">
      <c r="B15" s="48">
        <v>11</v>
      </c>
      <c r="C15" s="52">
        <v>42</v>
      </c>
      <c r="D15" s="52">
        <v>3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46"/>
      <c r="K15" s="49">
        <v>11</v>
      </c>
      <c r="L15" s="52">
        <v>9</v>
      </c>
      <c r="M15" s="52">
        <v>6</v>
      </c>
      <c r="N15" s="52">
        <v>24</v>
      </c>
      <c r="O15" s="28">
        <v>0</v>
      </c>
      <c r="P15" s="28">
        <v>0</v>
      </c>
      <c r="Q15" s="28">
        <v>0</v>
      </c>
      <c r="R15" s="28">
        <v>0</v>
      </c>
      <c r="S15" s="31"/>
      <c r="T15" s="48">
        <v>11</v>
      </c>
      <c r="U15" s="12">
        <v>0</v>
      </c>
      <c r="V15" s="12">
        <v>0</v>
      </c>
      <c r="W15" s="12">
        <v>0</v>
      </c>
      <c r="X15" s="52">
        <v>9</v>
      </c>
      <c r="Y15" s="52">
        <v>28</v>
      </c>
      <c r="Z15" s="12">
        <v>0</v>
      </c>
      <c r="AA15" s="12">
        <v>0</v>
      </c>
      <c r="AC15" s="48">
        <v>3.5</v>
      </c>
      <c r="AD15" s="52">
        <v>28</v>
      </c>
      <c r="AE15" s="12">
        <v>0</v>
      </c>
      <c r="AF15" s="12">
        <v>0</v>
      </c>
      <c r="AG15" s="52">
        <v>16</v>
      </c>
      <c r="AH15" s="12">
        <v>0</v>
      </c>
      <c r="AI15" s="12">
        <v>0</v>
      </c>
      <c r="AJ15" s="12">
        <v>0</v>
      </c>
      <c r="AL15" s="48">
        <v>3.4791666666642413</v>
      </c>
      <c r="AM15" s="52">
        <v>16</v>
      </c>
      <c r="AN15" s="52">
        <v>2</v>
      </c>
      <c r="AO15" s="52">
        <v>1</v>
      </c>
      <c r="AP15" s="52">
        <v>7</v>
      </c>
      <c r="AQ15" s="12">
        <v>0</v>
      </c>
      <c r="AR15" s="12">
        <v>0</v>
      </c>
      <c r="AS15" s="12">
        <v>0</v>
      </c>
      <c r="AU15" s="49">
        <v>3.6458333333357587</v>
      </c>
      <c r="AV15" s="52">
        <v>34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D15" s="48">
        <v>0.83333333333575865</v>
      </c>
      <c r="BE15" s="52">
        <v>21</v>
      </c>
      <c r="BF15" s="52">
        <v>2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2:63" x14ac:dyDescent="0.3">
      <c r="B16" s="48">
        <v>12</v>
      </c>
      <c r="C16" s="52">
        <v>41</v>
      </c>
      <c r="D16" s="52">
        <v>2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46"/>
      <c r="K16" s="49">
        <v>12</v>
      </c>
      <c r="L16" s="52">
        <v>9</v>
      </c>
      <c r="M16" s="52">
        <v>2</v>
      </c>
      <c r="N16" s="52">
        <v>27</v>
      </c>
      <c r="O16" s="28">
        <v>0</v>
      </c>
      <c r="P16" s="28">
        <v>0</v>
      </c>
      <c r="Q16" s="28">
        <v>0</v>
      </c>
      <c r="R16" s="28">
        <v>0</v>
      </c>
      <c r="S16" s="31"/>
      <c r="T16" s="48">
        <v>12</v>
      </c>
      <c r="U16" s="12">
        <v>0</v>
      </c>
      <c r="V16" s="12">
        <v>0</v>
      </c>
      <c r="W16" s="12">
        <v>0</v>
      </c>
      <c r="X16" s="52">
        <v>3</v>
      </c>
      <c r="Y16" s="52">
        <v>34</v>
      </c>
      <c r="Z16" s="12">
        <v>0</v>
      </c>
      <c r="AA16" s="12">
        <v>0</v>
      </c>
      <c r="AC16" s="48">
        <v>3.9583333333357587</v>
      </c>
      <c r="AD16" s="52">
        <v>28</v>
      </c>
      <c r="AE16" s="12">
        <v>0</v>
      </c>
      <c r="AF16" s="12">
        <v>0</v>
      </c>
      <c r="AG16" s="52">
        <v>14</v>
      </c>
      <c r="AH16" s="52">
        <v>2</v>
      </c>
      <c r="AI16" s="12">
        <v>0</v>
      </c>
      <c r="AJ16" s="12">
        <v>0</v>
      </c>
      <c r="AL16" s="48">
        <v>3.9791666666642413</v>
      </c>
      <c r="AM16" s="52">
        <v>3</v>
      </c>
      <c r="AN16" s="12">
        <v>0</v>
      </c>
      <c r="AO16" s="12">
        <v>0</v>
      </c>
      <c r="AP16" s="52">
        <v>6</v>
      </c>
      <c r="AQ16" s="12">
        <v>0</v>
      </c>
      <c r="AR16" s="12">
        <v>0</v>
      </c>
      <c r="AS16" s="12">
        <v>0</v>
      </c>
      <c r="AU16" s="49">
        <v>4</v>
      </c>
      <c r="AV16" s="52">
        <v>34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D16" s="48">
        <v>0.875</v>
      </c>
      <c r="BE16" s="52">
        <v>21</v>
      </c>
      <c r="BF16" s="52">
        <v>2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 x14ac:dyDescent="0.3">
      <c r="B17" s="48">
        <v>13</v>
      </c>
      <c r="C17" s="52">
        <v>41</v>
      </c>
      <c r="D17" s="52">
        <v>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46"/>
      <c r="K17" s="49">
        <v>13</v>
      </c>
      <c r="L17" s="28">
        <v>0</v>
      </c>
      <c r="M17" s="52">
        <v>1</v>
      </c>
      <c r="N17" s="52">
        <v>26</v>
      </c>
      <c r="O17" s="52">
        <v>1</v>
      </c>
      <c r="P17" s="28">
        <v>0</v>
      </c>
      <c r="Q17" s="28">
        <v>0</v>
      </c>
      <c r="R17" s="28">
        <v>0</v>
      </c>
      <c r="S17" s="31"/>
      <c r="T17" s="48">
        <v>13</v>
      </c>
      <c r="U17" s="12">
        <v>0</v>
      </c>
      <c r="V17" s="12">
        <v>0</v>
      </c>
      <c r="W17" s="12">
        <v>0</v>
      </c>
      <c r="X17" s="52">
        <v>1</v>
      </c>
      <c r="Y17" s="52">
        <v>36</v>
      </c>
      <c r="Z17" s="12">
        <v>0</v>
      </c>
      <c r="AA17" s="12">
        <v>0</v>
      </c>
      <c r="AC17" s="48">
        <v>4.2708333333357587</v>
      </c>
      <c r="AD17" s="52">
        <v>28</v>
      </c>
      <c r="AE17" s="12">
        <v>0</v>
      </c>
      <c r="AF17" s="12">
        <v>0</v>
      </c>
      <c r="AG17" s="52">
        <v>12</v>
      </c>
      <c r="AH17" s="52">
        <v>4</v>
      </c>
      <c r="AI17" s="12">
        <v>0</v>
      </c>
      <c r="AJ17" s="12">
        <v>0</v>
      </c>
      <c r="AL17" s="48">
        <v>4.2916666666642413</v>
      </c>
      <c r="AM17" s="52">
        <v>3</v>
      </c>
      <c r="AN17" s="12">
        <v>0</v>
      </c>
      <c r="AO17" s="12">
        <v>0</v>
      </c>
      <c r="AP17" s="52">
        <v>5</v>
      </c>
      <c r="AQ17" s="12">
        <v>0</v>
      </c>
      <c r="AR17" s="12">
        <v>0</v>
      </c>
      <c r="AS17" s="12">
        <v>0</v>
      </c>
      <c r="AU17" s="49">
        <v>4.2083333333357587</v>
      </c>
      <c r="AV17" s="52">
        <v>34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D17" s="48">
        <v>0.91666666666424135</v>
      </c>
      <c r="BE17" s="52">
        <v>21</v>
      </c>
      <c r="BF17" s="52">
        <v>2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 x14ac:dyDescent="0.3">
      <c r="B18" s="48">
        <v>14</v>
      </c>
      <c r="C18" s="52">
        <v>38</v>
      </c>
      <c r="D18" s="52">
        <v>3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46"/>
      <c r="K18" s="49">
        <v>14</v>
      </c>
      <c r="L18" s="28">
        <v>0</v>
      </c>
      <c r="M18" s="52">
        <v>1</v>
      </c>
      <c r="N18" s="52">
        <v>25</v>
      </c>
      <c r="O18" s="52">
        <v>1</v>
      </c>
      <c r="P18" s="28">
        <v>0</v>
      </c>
      <c r="Q18" s="28">
        <v>0</v>
      </c>
      <c r="R18" s="28">
        <v>0</v>
      </c>
      <c r="S18" s="31"/>
      <c r="T18" s="48">
        <v>14</v>
      </c>
      <c r="U18" s="12">
        <v>0</v>
      </c>
      <c r="V18" s="12">
        <v>0</v>
      </c>
      <c r="W18" s="12">
        <v>0</v>
      </c>
      <c r="X18" s="52">
        <v>1</v>
      </c>
      <c r="Y18" s="52">
        <v>36</v>
      </c>
      <c r="Z18" s="12">
        <v>0</v>
      </c>
      <c r="AA18" s="12">
        <v>0</v>
      </c>
      <c r="AC18" s="48">
        <v>4.5208333333357587</v>
      </c>
      <c r="AD18" s="52">
        <v>28</v>
      </c>
      <c r="AE18" s="12">
        <v>0</v>
      </c>
      <c r="AF18" s="12">
        <v>0</v>
      </c>
      <c r="AG18" s="52">
        <v>8</v>
      </c>
      <c r="AH18" s="52">
        <v>8</v>
      </c>
      <c r="AI18" s="12">
        <v>0</v>
      </c>
      <c r="AJ18" s="12">
        <v>0</v>
      </c>
      <c r="AL18" s="48">
        <v>4.5</v>
      </c>
      <c r="AM18" s="52">
        <v>3</v>
      </c>
      <c r="AN18" s="12">
        <v>0</v>
      </c>
      <c r="AO18" s="12">
        <v>0</v>
      </c>
      <c r="AP18" s="52">
        <v>5</v>
      </c>
      <c r="AQ18" s="12">
        <v>0</v>
      </c>
      <c r="AR18" s="12">
        <v>0</v>
      </c>
      <c r="AS18" s="12">
        <v>0</v>
      </c>
      <c r="AU18" s="49">
        <v>4.6458333333357587</v>
      </c>
      <c r="AV18" s="52">
        <v>34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D18" s="48">
        <v>0.95833333333575865</v>
      </c>
      <c r="BE18" s="52">
        <v>1</v>
      </c>
      <c r="BF18" s="52">
        <v>2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 x14ac:dyDescent="0.3">
      <c r="B19" s="49">
        <v>15</v>
      </c>
      <c r="C19" s="12">
        <v>0</v>
      </c>
      <c r="D19" s="52">
        <v>2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46"/>
      <c r="K19" s="49">
        <v>15</v>
      </c>
      <c r="L19" s="28">
        <v>0</v>
      </c>
      <c r="M19" s="28">
        <v>0</v>
      </c>
      <c r="N19" s="52">
        <v>22</v>
      </c>
      <c r="O19" s="52">
        <v>4</v>
      </c>
      <c r="P19" s="28">
        <v>0</v>
      </c>
      <c r="Q19" s="28">
        <v>0</v>
      </c>
      <c r="R19" s="28">
        <v>0</v>
      </c>
      <c r="S19" s="31"/>
      <c r="T19" s="48">
        <v>15</v>
      </c>
      <c r="U19" s="12">
        <v>0</v>
      </c>
      <c r="V19" s="12">
        <v>0</v>
      </c>
      <c r="W19" s="12">
        <v>0</v>
      </c>
      <c r="X19" s="52">
        <v>1</v>
      </c>
      <c r="Y19" s="52">
        <v>36</v>
      </c>
      <c r="Z19" s="12">
        <v>0</v>
      </c>
      <c r="AA19" s="12">
        <v>0</v>
      </c>
      <c r="AC19" s="48">
        <v>4.9583333333357587</v>
      </c>
      <c r="AD19" s="12">
        <v>0</v>
      </c>
      <c r="AE19" s="12">
        <v>0</v>
      </c>
      <c r="AF19" s="12">
        <v>0</v>
      </c>
      <c r="AG19" s="52">
        <v>4</v>
      </c>
      <c r="AH19" s="52">
        <v>12</v>
      </c>
      <c r="AI19" s="12">
        <v>0</v>
      </c>
      <c r="AJ19" s="12">
        <v>0</v>
      </c>
      <c r="AL19" s="48">
        <v>5</v>
      </c>
      <c r="AM19" s="52">
        <v>1</v>
      </c>
      <c r="AN19" s="12">
        <v>0</v>
      </c>
      <c r="AO19" s="12">
        <v>0</v>
      </c>
      <c r="AP19" s="52">
        <v>4</v>
      </c>
      <c r="AQ19" s="12">
        <v>0</v>
      </c>
      <c r="AR19" s="12">
        <v>0</v>
      </c>
      <c r="AS19" s="12">
        <v>0</v>
      </c>
      <c r="AU19" s="49">
        <v>4.9791666666715173</v>
      </c>
      <c r="AV19" s="12">
        <v>3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D19" s="48">
        <v>1.0416666666642413</v>
      </c>
      <c r="BE19" s="12">
        <v>0</v>
      </c>
      <c r="BF19" s="52">
        <v>2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 x14ac:dyDescent="0.3">
      <c r="B20" s="49">
        <v>16</v>
      </c>
      <c r="C20" s="12">
        <v>0</v>
      </c>
      <c r="D20" s="52">
        <v>2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46"/>
      <c r="K20" s="49">
        <v>16</v>
      </c>
      <c r="L20" s="28">
        <v>0</v>
      </c>
      <c r="M20" s="28">
        <v>0</v>
      </c>
      <c r="N20" s="52">
        <v>13</v>
      </c>
      <c r="O20" s="52">
        <v>12</v>
      </c>
      <c r="P20" s="28">
        <v>0</v>
      </c>
      <c r="Q20" s="28">
        <v>0</v>
      </c>
      <c r="R20" s="28">
        <v>0</v>
      </c>
      <c r="S20" s="31"/>
      <c r="T20" s="48">
        <v>16</v>
      </c>
      <c r="U20" s="12">
        <v>0</v>
      </c>
      <c r="V20" s="12">
        <v>0</v>
      </c>
      <c r="W20" s="12">
        <v>0</v>
      </c>
      <c r="X20" s="12">
        <v>0</v>
      </c>
      <c r="Y20" s="52">
        <v>37</v>
      </c>
      <c r="Z20" s="12">
        <v>0</v>
      </c>
      <c r="AA20" s="12">
        <v>0</v>
      </c>
      <c r="AC20" s="48">
        <v>5.2916666666642413</v>
      </c>
      <c r="AD20" s="12">
        <v>0</v>
      </c>
      <c r="AE20" s="12">
        <v>0</v>
      </c>
      <c r="AF20" s="12">
        <v>0</v>
      </c>
      <c r="AG20" s="12">
        <v>0</v>
      </c>
      <c r="AH20" s="52">
        <v>16</v>
      </c>
      <c r="AI20" s="12">
        <v>0</v>
      </c>
      <c r="AJ20" s="12">
        <v>0</v>
      </c>
      <c r="AL20" s="48">
        <v>5.2916666666642413</v>
      </c>
      <c r="AM20" s="52">
        <v>1</v>
      </c>
      <c r="AN20" s="12">
        <v>0</v>
      </c>
      <c r="AO20" s="12">
        <v>0</v>
      </c>
      <c r="AP20" s="52">
        <v>3</v>
      </c>
      <c r="AQ20" s="52">
        <v>1</v>
      </c>
      <c r="AR20" s="12">
        <v>0</v>
      </c>
      <c r="AS20" s="12">
        <v>0</v>
      </c>
      <c r="AU20" s="49">
        <v>5.1875</v>
      </c>
      <c r="AV20" s="12">
        <v>3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D20" s="48">
        <v>1.0833333333357587</v>
      </c>
      <c r="BE20" s="12">
        <v>0</v>
      </c>
      <c r="BF20" s="52">
        <v>2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 x14ac:dyDescent="0.3">
      <c r="B21" s="49">
        <v>17</v>
      </c>
      <c r="C21" s="12">
        <v>0</v>
      </c>
      <c r="D21" s="52">
        <v>1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46"/>
      <c r="K21" s="49">
        <v>17</v>
      </c>
      <c r="L21" s="28">
        <v>0</v>
      </c>
      <c r="M21" s="28">
        <v>0</v>
      </c>
      <c r="N21" s="52">
        <v>7</v>
      </c>
      <c r="O21" s="52">
        <v>18</v>
      </c>
      <c r="P21" s="28">
        <v>0</v>
      </c>
      <c r="Q21" s="28">
        <v>0</v>
      </c>
      <c r="R21" s="28">
        <v>0</v>
      </c>
      <c r="S21" s="31"/>
      <c r="T21" s="48">
        <v>17</v>
      </c>
      <c r="U21" s="12">
        <v>0</v>
      </c>
      <c r="V21" s="12">
        <v>0</v>
      </c>
      <c r="W21" s="12">
        <v>0</v>
      </c>
      <c r="X21" s="12">
        <v>0</v>
      </c>
      <c r="Y21" s="52">
        <v>37</v>
      </c>
      <c r="Z21" s="12">
        <v>0</v>
      </c>
      <c r="AA21" s="12">
        <v>0</v>
      </c>
      <c r="AC21" s="48">
        <v>5.5208333333357587</v>
      </c>
      <c r="AD21" s="12">
        <v>0</v>
      </c>
      <c r="AE21" s="12">
        <v>0</v>
      </c>
      <c r="AF21" s="12">
        <v>0</v>
      </c>
      <c r="AG21" s="12">
        <v>0</v>
      </c>
      <c r="AH21" s="52">
        <v>16</v>
      </c>
      <c r="AI21" s="12">
        <v>0</v>
      </c>
      <c r="AJ21" s="12">
        <v>0</v>
      </c>
      <c r="AL21" s="48">
        <v>5.5</v>
      </c>
      <c r="AM21" s="52">
        <v>1</v>
      </c>
      <c r="AN21" s="12">
        <v>0</v>
      </c>
      <c r="AO21" s="12">
        <v>0</v>
      </c>
      <c r="AP21" s="52">
        <v>1</v>
      </c>
      <c r="AQ21" s="52">
        <v>1</v>
      </c>
      <c r="AR21" s="12">
        <v>0</v>
      </c>
      <c r="AS21" s="12">
        <v>0</v>
      </c>
      <c r="AU21" s="49">
        <v>5.6666666666715173</v>
      </c>
      <c r="AV21" s="12">
        <v>3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D21" s="48">
        <v>1.1666666666642413</v>
      </c>
      <c r="BE21" s="12">
        <v>0</v>
      </c>
      <c r="BF21" s="52">
        <v>2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 x14ac:dyDescent="0.3">
      <c r="B22" s="49">
        <v>18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K22" s="49">
        <v>18</v>
      </c>
      <c r="L22" s="28">
        <v>0</v>
      </c>
      <c r="M22" s="28">
        <v>0</v>
      </c>
      <c r="N22" s="52">
        <v>4</v>
      </c>
      <c r="O22" s="52">
        <v>20</v>
      </c>
      <c r="P22" s="28">
        <v>0</v>
      </c>
      <c r="Q22" s="28">
        <v>0</v>
      </c>
      <c r="R22" s="28">
        <v>0</v>
      </c>
      <c r="S22" s="31"/>
      <c r="T22" s="48">
        <v>18</v>
      </c>
      <c r="U22" s="12">
        <v>0</v>
      </c>
      <c r="V22" s="12">
        <v>0</v>
      </c>
      <c r="W22" s="12">
        <v>0</v>
      </c>
      <c r="X22" s="12">
        <v>0</v>
      </c>
      <c r="Y22" s="52">
        <v>37</v>
      </c>
      <c r="Z22" s="12">
        <v>0</v>
      </c>
      <c r="AA22" s="12">
        <v>0</v>
      </c>
      <c r="AC22" s="48">
        <v>5.9583333333357587</v>
      </c>
      <c r="AD22" s="12">
        <v>0</v>
      </c>
      <c r="AE22" s="12">
        <v>0</v>
      </c>
      <c r="AF22" s="12">
        <v>0</v>
      </c>
      <c r="AG22" s="12">
        <v>0</v>
      </c>
      <c r="AH22" s="52">
        <v>16</v>
      </c>
      <c r="AI22" s="12">
        <v>0</v>
      </c>
      <c r="AJ22" s="12">
        <v>0</v>
      </c>
      <c r="AL22" s="48">
        <v>6</v>
      </c>
      <c r="AM22" s="12">
        <v>0</v>
      </c>
      <c r="AN22" s="12">
        <v>0</v>
      </c>
      <c r="AO22" s="12">
        <v>0</v>
      </c>
      <c r="AP22" s="52">
        <v>1</v>
      </c>
      <c r="AQ22" s="52">
        <v>1</v>
      </c>
      <c r="AR22" s="12">
        <v>0</v>
      </c>
      <c r="AS22" s="12">
        <v>0</v>
      </c>
      <c r="AU22" s="49">
        <v>5.9791666666715173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D22" s="48">
        <v>1.2083333333357587</v>
      </c>
      <c r="BE22" s="12">
        <v>0</v>
      </c>
      <c r="BF22" s="52">
        <v>2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 x14ac:dyDescent="0.3">
      <c r="B23" s="6"/>
      <c r="C23" s="12"/>
      <c r="D23" s="12"/>
      <c r="E23" s="12"/>
      <c r="F23" s="12"/>
      <c r="G23" s="12"/>
      <c r="H23" s="12"/>
      <c r="I23" s="12"/>
      <c r="K23" s="49">
        <v>19</v>
      </c>
      <c r="L23" s="28">
        <v>0</v>
      </c>
      <c r="M23" s="28">
        <v>0</v>
      </c>
      <c r="N23" s="52">
        <v>2</v>
      </c>
      <c r="O23" s="52">
        <v>21</v>
      </c>
      <c r="P23" s="28">
        <v>0</v>
      </c>
      <c r="Q23" s="28">
        <v>0</v>
      </c>
      <c r="R23" s="28">
        <v>0</v>
      </c>
      <c r="S23" s="31"/>
      <c r="T23" s="48">
        <v>19</v>
      </c>
      <c r="U23" s="12">
        <v>0</v>
      </c>
      <c r="V23" s="12">
        <v>0</v>
      </c>
      <c r="W23" s="12">
        <v>0</v>
      </c>
      <c r="X23" s="12">
        <v>0</v>
      </c>
      <c r="Y23" s="52">
        <v>37</v>
      </c>
      <c r="Z23" s="12">
        <v>0</v>
      </c>
      <c r="AA23" s="12">
        <v>0</v>
      </c>
      <c r="AC23" s="48">
        <v>6.2708333333357587</v>
      </c>
      <c r="AD23" s="12">
        <v>0</v>
      </c>
      <c r="AE23" s="12">
        <v>0</v>
      </c>
      <c r="AF23" s="12">
        <v>0</v>
      </c>
      <c r="AG23" s="12">
        <v>0</v>
      </c>
      <c r="AH23" s="52">
        <v>16</v>
      </c>
      <c r="AI23" s="12">
        <v>0</v>
      </c>
      <c r="AJ23" s="12">
        <v>0</v>
      </c>
      <c r="AL23" s="48">
        <v>6.2708333333284827</v>
      </c>
      <c r="AM23" s="12">
        <v>0</v>
      </c>
      <c r="AN23" s="12">
        <v>0</v>
      </c>
      <c r="AO23" s="12">
        <v>0</v>
      </c>
      <c r="AP23" s="52">
        <v>1</v>
      </c>
      <c r="AQ23" s="52">
        <v>1</v>
      </c>
      <c r="AR23" s="12">
        <v>0</v>
      </c>
      <c r="AS23" s="12">
        <v>0</v>
      </c>
      <c r="AU23" s="49">
        <v>6.2291666666715173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D23" s="48">
        <v>1.25</v>
      </c>
      <c r="BE23" s="12">
        <v>0</v>
      </c>
      <c r="BF23" s="52">
        <v>2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 x14ac:dyDescent="0.3">
      <c r="K24" s="49">
        <v>20</v>
      </c>
      <c r="L24" s="28">
        <v>0</v>
      </c>
      <c r="M24" s="28">
        <v>0</v>
      </c>
      <c r="N24" s="52">
        <v>2</v>
      </c>
      <c r="O24" s="52">
        <v>21</v>
      </c>
      <c r="P24" s="28">
        <v>0</v>
      </c>
      <c r="Q24" s="28">
        <v>0</v>
      </c>
      <c r="R24" s="28">
        <v>0</v>
      </c>
      <c r="S24" s="31"/>
      <c r="T24" s="48">
        <v>20</v>
      </c>
      <c r="U24" s="12">
        <v>0</v>
      </c>
      <c r="V24" s="12">
        <v>0</v>
      </c>
      <c r="W24" s="12">
        <v>0</v>
      </c>
      <c r="X24" s="12">
        <v>0</v>
      </c>
      <c r="Y24" s="52">
        <v>30</v>
      </c>
      <c r="Z24" s="52">
        <v>1</v>
      </c>
      <c r="AA24" s="52">
        <v>6</v>
      </c>
      <c r="AC24" s="48">
        <v>6.5208333333357587</v>
      </c>
      <c r="AD24" s="12">
        <v>0</v>
      </c>
      <c r="AE24" s="12">
        <v>0</v>
      </c>
      <c r="AF24" s="12">
        <v>0</v>
      </c>
      <c r="AG24" s="12">
        <v>0</v>
      </c>
      <c r="AH24" s="52">
        <v>16</v>
      </c>
      <c r="AI24" s="12">
        <v>0</v>
      </c>
      <c r="AJ24" s="12">
        <v>0</v>
      </c>
      <c r="AL24" s="48">
        <v>6.5</v>
      </c>
      <c r="AM24" s="12">
        <v>0</v>
      </c>
      <c r="AN24" s="12">
        <v>0</v>
      </c>
      <c r="AO24" s="12">
        <v>0</v>
      </c>
      <c r="AP24" s="12">
        <v>0</v>
      </c>
      <c r="AQ24" s="52">
        <v>2</v>
      </c>
      <c r="AR24" s="12">
        <v>0</v>
      </c>
      <c r="AS24" s="12">
        <v>0</v>
      </c>
      <c r="AU24" s="49">
        <v>6.6666666666715173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D24" s="48">
        <v>1.6666666666642413</v>
      </c>
      <c r="BE24" s="12">
        <v>0</v>
      </c>
      <c r="BF24" s="52">
        <v>1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 x14ac:dyDescent="0.3">
      <c r="K25" s="49">
        <v>21</v>
      </c>
      <c r="L25" s="28">
        <v>0</v>
      </c>
      <c r="M25" s="28">
        <v>0</v>
      </c>
      <c r="N25" s="28">
        <v>0</v>
      </c>
      <c r="O25" s="52">
        <v>21</v>
      </c>
      <c r="P25" s="52">
        <v>2</v>
      </c>
      <c r="Q25" s="28">
        <v>0</v>
      </c>
      <c r="R25" s="28">
        <v>0</v>
      </c>
      <c r="S25" s="31"/>
      <c r="T25" s="48">
        <v>21</v>
      </c>
      <c r="U25" s="12">
        <v>0</v>
      </c>
      <c r="V25" s="12">
        <v>0</v>
      </c>
      <c r="W25" s="12">
        <v>0</v>
      </c>
      <c r="X25" s="12">
        <v>0</v>
      </c>
      <c r="Y25" s="52">
        <v>27</v>
      </c>
      <c r="Z25" s="52">
        <v>1</v>
      </c>
      <c r="AA25" s="52">
        <v>9</v>
      </c>
      <c r="AC25" s="48">
        <v>6.9791666666642413</v>
      </c>
      <c r="AD25" s="12">
        <v>0</v>
      </c>
      <c r="AE25" s="12">
        <v>0</v>
      </c>
      <c r="AF25" s="12">
        <v>0</v>
      </c>
      <c r="AG25" s="12">
        <v>0</v>
      </c>
      <c r="AH25" s="52">
        <v>16</v>
      </c>
      <c r="AI25" s="12">
        <v>0</v>
      </c>
      <c r="AJ25" s="12">
        <v>0</v>
      </c>
      <c r="AL25" s="48">
        <v>7</v>
      </c>
      <c r="AM25" s="12">
        <v>0</v>
      </c>
      <c r="AN25" s="12">
        <v>0</v>
      </c>
      <c r="AO25" s="12">
        <v>0</v>
      </c>
      <c r="AP25" s="12">
        <v>0</v>
      </c>
      <c r="AQ25" s="52">
        <v>2</v>
      </c>
      <c r="AR25" s="12">
        <v>0</v>
      </c>
      <c r="AS25" s="12">
        <v>0</v>
      </c>
      <c r="AU25" s="49">
        <v>7.0208333333357587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D25" s="48">
        <v>1.7083333333357587</v>
      </c>
      <c r="BE25" s="12">
        <v>0</v>
      </c>
      <c r="BF25" s="52">
        <v>1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</row>
    <row r="26" spans="2:63" x14ac:dyDescent="0.3">
      <c r="K26" s="49">
        <v>22</v>
      </c>
      <c r="L26" s="28">
        <v>0</v>
      </c>
      <c r="M26" s="28">
        <v>0</v>
      </c>
      <c r="N26" s="28">
        <v>0</v>
      </c>
      <c r="O26" s="52">
        <v>21</v>
      </c>
      <c r="P26" s="52">
        <v>2</v>
      </c>
      <c r="Q26" s="28">
        <v>0</v>
      </c>
      <c r="R26" s="28">
        <v>0</v>
      </c>
      <c r="S26" s="31"/>
      <c r="T26" s="48">
        <v>22</v>
      </c>
      <c r="U26" s="12">
        <v>0</v>
      </c>
      <c r="V26" s="12">
        <v>0</v>
      </c>
      <c r="W26" s="12">
        <v>0</v>
      </c>
      <c r="X26" s="12">
        <v>0</v>
      </c>
      <c r="Y26" s="52">
        <v>19</v>
      </c>
      <c r="Z26" s="52">
        <v>5</v>
      </c>
      <c r="AA26" s="52">
        <v>12</v>
      </c>
      <c r="AC26" s="48">
        <v>7.3125</v>
      </c>
      <c r="AD26" s="12">
        <v>0</v>
      </c>
      <c r="AE26" s="12">
        <v>0</v>
      </c>
      <c r="AF26" s="12">
        <v>0</v>
      </c>
      <c r="AG26" s="12">
        <v>0</v>
      </c>
      <c r="AH26" s="52">
        <v>16</v>
      </c>
      <c r="AI26" s="12">
        <v>0</v>
      </c>
      <c r="AJ26" s="12">
        <v>0</v>
      </c>
      <c r="AL26" s="48">
        <v>7.2916666666642413</v>
      </c>
      <c r="AM26" s="12">
        <v>0</v>
      </c>
      <c r="AN26" s="12">
        <v>0</v>
      </c>
      <c r="AO26" s="12">
        <v>0</v>
      </c>
      <c r="AP26" s="12">
        <v>0</v>
      </c>
      <c r="AQ26" s="52">
        <v>2</v>
      </c>
      <c r="AR26" s="12">
        <v>0</v>
      </c>
      <c r="AS26" s="12">
        <v>0</v>
      </c>
      <c r="AU26" s="49">
        <v>7.2291666666715173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D26" s="48">
        <v>1.75</v>
      </c>
      <c r="BE26" s="12">
        <v>0</v>
      </c>
      <c r="BF26" s="52">
        <v>1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</row>
    <row r="27" spans="2:63" x14ac:dyDescent="0.3">
      <c r="K27" s="49">
        <v>23</v>
      </c>
      <c r="L27" s="28">
        <v>0</v>
      </c>
      <c r="M27" s="28">
        <v>0</v>
      </c>
      <c r="N27" s="28">
        <v>0</v>
      </c>
      <c r="O27" s="52">
        <v>16</v>
      </c>
      <c r="P27" s="52">
        <v>7</v>
      </c>
      <c r="Q27" s="28">
        <v>0</v>
      </c>
      <c r="R27" s="28">
        <v>0</v>
      </c>
      <c r="S27" s="31"/>
      <c r="T27" s="48">
        <v>23</v>
      </c>
      <c r="U27" s="12">
        <v>0</v>
      </c>
      <c r="V27" s="12">
        <v>0</v>
      </c>
      <c r="W27" s="12">
        <v>0</v>
      </c>
      <c r="X27" s="12">
        <v>0</v>
      </c>
      <c r="Y27" s="52">
        <v>15</v>
      </c>
      <c r="Z27" s="52">
        <v>6</v>
      </c>
      <c r="AA27" s="52">
        <v>16</v>
      </c>
      <c r="AC27" s="48">
        <v>7.5</v>
      </c>
      <c r="AD27" s="12">
        <v>0</v>
      </c>
      <c r="AE27" s="12">
        <v>0</v>
      </c>
      <c r="AF27" s="12">
        <v>0</v>
      </c>
      <c r="AG27" s="12">
        <v>0</v>
      </c>
      <c r="AH27" s="52">
        <v>16</v>
      </c>
      <c r="AI27" s="12">
        <v>0</v>
      </c>
      <c r="AJ27" s="12">
        <v>0</v>
      </c>
      <c r="AL27" s="48">
        <v>7.5</v>
      </c>
      <c r="AM27" s="12">
        <v>0</v>
      </c>
      <c r="AN27" s="12">
        <v>0</v>
      </c>
      <c r="AO27" s="12">
        <v>0</v>
      </c>
      <c r="AP27" s="12">
        <v>0</v>
      </c>
      <c r="AQ27" s="52">
        <v>2</v>
      </c>
      <c r="AR27" s="12">
        <v>0</v>
      </c>
      <c r="AS27" s="12">
        <v>0</v>
      </c>
      <c r="AU27" s="48">
        <v>7.6875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D27" s="48">
        <v>1.7916666666642413</v>
      </c>
      <c r="BE27" s="12">
        <v>0</v>
      </c>
      <c r="BF27" s="52">
        <v>1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</row>
    <row r="28" spans="2:63" x14ac:dyDescent="0.3">
      <c r="K28" s="49">
        <v>24</v>
      </c>
      <c r="L28" s="28">
        <v>0</v>
      </c>
      <c r="M28" s="28">
        <v>0</v>
      </c>
      <c r="N28" s="28">
        <v>0</v>
      </c>
      <c r="O28" s="52">
        <v>15</v>
      </c>
      <c r="P28" s="52">
        <v>8</v>
      </c>
      <c r="Q28" s="28">
        <v>0</v>
      </c>
      <c r="R28" s="28">
        <v>0</v>
      </c>
      <c r="S28" s="31"/>
      <c r="T28" s="48">
        <v>24</v>
      </c>
      <c r="U28" s="12">
        <v>0</v>
      </c>
      <c r="V28" s="12">
        <v>0</v>
      </c>
      <c r="W28" s="12">
        <v>0</v>
      </c>
      <c r="X28" s="12">
        <v>0</v>
      </c>
      <c r="Y28" s="52">
        <v>11</v>
      </c>
      <c r="Z28" s="52">
        <v>8</v>
      </c>
      <c r="AA28" s="52">
        <v>18</v>
      </c>
      <c r="AC28" s="48">
        <v>7.9375</v>
      </c>
      <c r="AD28" s="12">
        <v>0</v>
      </c>
      <c r="AE28" s="12">
        <v>0</v>
      </c>
      <c r="AF28" s="12">
        <v>0</v>
      </c>
      <c r="AG28" s="12">
        <v>0</v>
      </c>
      <c r="AH28" s="52">
        <v>15</v>
      </c>
      <c r="AI28" s="12">
        <v>0</v>
      </c>
      <c r="AJ28" s="52">
        <v>1</v>
      </c>
      <c r="AL28" s="48">
        <v>8</v>
      </c>
      <c r="AM28" s="12">
        <v>0</v>
      </c>
      <c r="AN28" s="12">
        <v>0</v>
      </c>
      <c r="AO28" s="12">
        <v>0</v>
      </c>
      <c r="AP28" s="12">
        <v>0</v>
      </c>
      <c r="AQ28" s="52">
        <v>2</v>
      </c>
      <c r="AR28" s="12">
        <v>0</v>
      </c>
      <c r="AS28" s="12">
        <v>0</v>
      </c>
      <c r="AU28" s="48">
        <v>7.9791666666715173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D28" s="48">
        <v>1.8333333333357587</v>
      </c>
      <c r="BE28" s="12">
        <v>0</v>
      </c>
      <c r="BF28" s="52">
        <v>1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</row>
    <row r="29" spans="2:63" x14ac:dyDescent="0.3">
      <c r="K29" s="49">
        <v>25</v>
      </c>
      <c r="L29" s="28">
        <v>0</v>
      </c>
      <c r="M29" s="28">
        <v>0</v>
      </c>
      <c r="N29" s="28">
        <v>0</v>
      </c>
      <c r="O29" s="52">
        <v>4</v>
      </c>
      <c r="P29" s="52">
        <v>19</v>
      </c>
      <c r="Q29" s="28">
        <v>0</v>
      </c>
      <c r="R29" s="28">
        <v>0</v>
      </c>
      <c r="S29" s="31"/>
      <c r="T29" s="48">
        <v>25</v>
      </c>
      <c r="U29" s="12">
        <v>0</v>
      </c>
      <c r="V29" s="12">
        <v>0</v>
      </c>
      <c r="W29" s="12">
        <v>0</v>
      </c>
      <c r="X29" s="12">
        <v>0</v>
      </c>
      <c r="Y29" s="52">
        <v>8</v>
      </c>
      <c r="Z29" s="52">
        <v>9</v>
      </c>
      <c r="AA29" s="52">
        <v>20</v>
      </c>
      <c r="AC29" s="48">
        <v>8.2708333333357587</v>
      </c>
      <c r="AD29" s="12">
        <v>0</v>
      </c>
      <c r="AE29" s="12">
        <v>0</v>
      </c>
      <c r="AF29" s="12">
        <v>0</v>
      </c>
      <c r="AG29" s="12">
        <v>0</v>
      </c>
      <c r="AH29" s="52">
        <v>14</v>
      </c>
      <c r="AI29" s="52">
        <v>1</v>
      </c>
      <c r="AJ29" s="52">
        <v>1</v>
      </c>
      <c r="AL29" s="48">
        <v>8.2916666666642413</v>
      </c>
      <c r="AM29" s="12">
        <v>0</v>
      </c>
      <c r="AN29" s="12">
        <v>0</v>
      </c>
      <c r="AO29" s="12">
        <v>0</v>
      </c>
      <c r="AP29" s="12">
        <v>0</v>
      </c>
      <c r="AQ29" s="52">
        <v>2</v>
      </c>
      <c r="AR29" s="12">
        <v>0</v>
      </c>
      <c r="AS29" s="12">
        <v>0</v>
      </c>
      <c r="AU29" s="48">
        <v>8.2291666666715173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D29" s="48">
        <v>1.875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</row>
    <row r="30" spans="2:63" x14ac:dyDescent="0.3">
      <c r="K30" s="49">
        <v>26</v>
      </c>
      <c r="L30" s="28">
        <v>0</v>
      </c>
      <c r="M30" s="28">
        <v>0</v>
      </c>
      <c r="N30" s="28">
        <v>0</v>
      </c>
      <c r="O30" s="28">
        <v>3</v>
      </c>
      <c r="P30" s="52">
        <v>20</v>
      </c>
      <c r="Q30" s="28">
        <v>0</v>
      </c>
      <c r="R30" s="28">
        <v>0</v>
      </c>
      <c r="S30" s="31"/>
      <c r="T30" s="48">
        <v>26</v>
      </c>
      <c r="U30" s="12">
        <v>0</v>
      </c>
      <c r="V30" s="12">
        <v>0</v>
      </c>
      <c r="W30" s="12">
        <v>0</v>
      </c>
      <c r="X30" s="12">
        <v>0</v>
      </c>
      <c r="Y30" s="52">
        <v>7</v>
      </c>
      <c r="Z30" s="52">
        <v>10</v>
      </c>
      <c r="AA30" s="52">
        <v>20</v>
      </c>
      <c r="AC30" s="48">
        <v>8.5208333333357587</v>
      </c>
      <c r="AD30" s="12">
        <v>0</v>
      </c>
      <c r="AE30" s="12">
        <v>0</v>
      </c>
      <c r="AF30" s="12">
        <v>0</v>
      </c>
      <c r="AG30" s="12">
        <v>0</v>
      </c>
      <c r="AH30" s="52">
        <v>14</v>
      </c>
      <c r="AI30" s="52">
        <v>1</v>
      </c>
      <c r="AJ30" s="52">
        <v>1</v>
      </c>
      <c r="AL30" s="48">
        <v>8.5</v>
      </c>
      <c r="AM30" s="12">
        <v>0</v>
      </c>
      <c r="AN30" s="12">
        <v>0</v>
      </c>
      <c r="AO30" s="12">
        <v>0</v>
      </c>
      <c r="AP30" s="12">
        <v>0</v>
      </c>
      <c r="AQ30" s="52">
        <v>2</v>
      </c>
      <c r="AR30" s="12">
        <v>0</v>
      </c>
      <c r="AS30" s="12">
        <v>0</v>
      </c>
      <c r="AU30" s="48">
        <v>8.6875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</row>
    <row r="31" spans="2:63" x14ac:dyDescent="0.3">
      <c r="K31" s="49">
        <v>27</v>
      </c>
      <c r="L31" s="28">
        <v>0</v>
      </c>
      <c r="M31" s="28">
        <v>0</v>
      </c>
      <c r="N31" s="28">
        <v>0</v>
      </c>
      <c r="O31" s="28">
        <v>3</v>
      </c>
      <c r="P31" s="52">
        <v>20</v>
      </c>
      <c r="Q31" s="28">
        <v>0</v>
      </c>
      <c r="R31" s="28">
        <v>0</v>
      </c>
      <c r="S31" s="31"/>
      <c r="T31" s="48">
        <v>27</v>
      </c>
      <c r="U31" s="12">
        <v>0</v>
      </c>
      <c r="V31" s="12">
        <v>0</v>
      </c>
      <c r="W31" s="12">
        <v>0</v>
      </c>
      <c r="X31" s="12">
        <v>0</v>
      </c>
      <c r="Y31" s="52">
        <v>7</v>
      </c>
      <c r="Z31" s="52">
        <v>10</v>
      </c>
      <c r="AA31" s="52">
        <v>20</v>
      </c>
      <c r="AC31" s="48">
        <v>8.9375</v>
      </c>
      <c r="AD31" s="12">
        <v>0</v>
      </c>
      <c r="AE31" s="12">
        <v>0</v>
      </c>
      <c r="AF31" s="12">
        <v>0</v>
      </c>
      <c r="AG31" s="12">
        <v>0</v>
      </c>
      <c r="AH31" s="52">
        <v>3</v>
      </c>
      <c r="AI31" s="52">
        <v>6</v>
      </c>
      <c r="AJ31" s="52">
        <v>7</v>
      </c>
      <c r="AL31" s="48">
        <v>9</v>
      </c>
      <c r="AM31" s="12">
        <v>0</v>
      </c>
      <c r="AN31" s="12">
        <v>0</v>
      </c>
      <c r="AO31" s="12">
        <v>0</v>
      </c>
      <c r="AP31" s="12">
        <v>0</v>
      </c>
      <c r="AQ31" s="52">
        <v>2</v>
      </c>
      <c r="AR31" s="12">
        <v>0</v>
      </c>
      <c r="AS31" s="12">
        <v>0</v>
      </c>
      <c r="AU31" s="48">
        <v>8.9791666666715173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2:63" x14ac:dyDescent="0.3">
      <c r="K32" s="49">
        <v>28</v>
      </c>
      <c r="L32" s="28">
        <v>0</v>
      </c>
      <c r="M32" s="28">
        <v>0</v>
      </c>
      <c r="N32" s="28">
        <v>0</v>
      </c>
      <c r="O32" s="28">
        <v>3</v>
      </c>
      <c r="P32" s="52">
        <v>20</v>
      </c>
      <c r="Q32" s="28">
        <v>0</v>
      </c>
      <c r="R32" s="28">
        <v>0</v>
      </c>
      <c r="S32" s="31"/>
      <c r="T32" s="48">
        <v>28</v>
      </c>
      <c r="U32" s="12">
        <v>0</v>
      </c>
      <c r="V32" s="12">
        <v>0</v>
      </c>
      <c r="W32" s="12">
        <v>0</v>
      </c>
      <c r="X32" s="12">
        <v>0</v>
      </c>
      <c r="Y32" s="52">
        <v>5</v>
      </c>
      <c r="Z32" s="52">
        <v>10</v>
      </c>
      <c r="AA32" s="52">
        <v>20</v>
      </c>
      <c r="AC32" s="48">
        <v>9.2708333333357587</v>
      </c>
      <c r="AD32" s="12">
        <v>0</v>
      </c>
      <c r="AE32" s="12">
        <v>0</v>
      </c>
      <c r="AF32" s="12">
        <v>0</v>
      </c>
      <c r="AG32" s="12">
        <v>0</v>
      </c>
      <c r="AH32" s="52">
        <v>1</v>
      </c>
      <c r="AI32" s="52">
        <v>6</v>
      </c>
      <c r="AJ32" s="52">
        <v>9</v>
      </c>
      <c r="AL32" s="48">
        <v>9.2916666666642413</v>
      </c>
      <c r="AM32" s="12">
        <v>0</v>
      </c>
      <c r="AN32" s="12">
        <v>0</v>
      </c>
      <c r="AO32" s="12">
        <v>0</v>
      </c>
      <c r="AP32" s="12">
        <v>0</v>
      </c>
      <c r="AQ32" s="52">
        <v>2</v>
      </c>
      <c r="AR32" s="12">
        <v>0</v>
      </c>
      <c r="AS32" s="12">
        <v>0</v>
      </c>
      <c r="AU32" s="48">
        <v>9.2291666666715173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1:54" x14ac:dyDescent="0.3">
      <c r="K33" s="49">
        <v>29</v>
      </c>
      <c r="L33" s="28">
        <v>0</v>
      </c>
      <c r="M33" s="28">
        <v>0</v>
      </c>
      <c r="N33" s="28">
        <v>0</v>
      </c>
      <c r="O33" s="28">
        <v>3</v>
      </c>
      <c r="P33" s="52">
        <v>20</v>
      </c>
      <c r="Q33" s="28">
        <v>0</v>
      </c>
      <c r="R33" s="28">
        <v>0</v>
      </c>
      <c r="S33" s="31"/>
      <c r="T33" s="48">
        <v>29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52">
        <v>10</v>
      </c>
      <c r="AA33" s="52">
        <v>20</v>
      </c>
      <c r="AC33" s="48">
        <v>9.5208333333357587</v>
      </c>
      <c r="AD33" s="12">
        <v>0</v>
      </c>
      <c r="AE33" s="12">
        <v>0</v>
      </c>
      <c r="AF33" s="12">
        <v>0</v>
      </c>
      <c r="AG33" s="12">
        <v>0</v>
      </c>
      <c r="AH33" s="52">
        <v>1</v>
      </c>
      <c r="AI33" s="52">
        <v>6</v>
      </c>
      <c r="AJ33" s="52">
        <v>9</v>
      </c>
      <c r="AL33" s="48">
        <v>9.5</v>
      </c>
      <c r="AM33" s="12">
        <v>0</v>
      </c>
      <c r="AN33" s="12">
        <v>0</v>
      </c>
      <c r="AO33" s="12">
        <v>0</v>
      </c>
      <c r="AP33" s="12">
        <v>0</v>
      </c>
      <c r="AQ33" s="52">
        <v>2</v>
      </c>
      <c r="AR33" s="12">
        <v>0</v>
      </c>
      <c r="AS33" s="12">
        <v>0</v>
      </c>
      <c r="AU33" s="48">
        <v>9.6875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1:54" x14ac:dyDescent="0.3">
      <c r="K34" s="49">
        <v>30</v>
      </c>
      <c r="L34" s="28">
        <v>0</v>
      </c>
      <c r="M34" s="28">
        <v>0</v>
      </c>
      <c r="N34" s="28">
        <v>0</v>
      </c>
      <c r="O34" s="28">
        <v>2</v>
      </c>
      <c r="P34" s="52">
        <v>21</v>
      </c>
      <c r="Q34" s="28">
        <v>0</v>
      </c>
      <c r="R34" s="28">
        <v>0</v>
      </c>
      <c r="S34" s="31"/>
      <c r="T34" s="5"/>
      <c r="U34" s="12"/>
      <c r="V34" s="12"/>
      <c r="W34" s="12"/>
      <c r="X34" s="12"/>
      <c r="Y34" s="12"/>
      <c r="AA34" s="12"/>
      <c r="AC34" s="48">
        <v>9.9791666666642413</v>
      </c>
      <c r="AD34" s="12">
        <v>0</v>
      </c>
      <c r="AE34" s="12">
        <v>0</v>
      </c>
      <c r="AF34" s="12">
        <v>0</v>
      </c>
      <c r="AG34" s="12">
        <v>0</v>
      </c>
      <c r="AH34" s="52">
        <v>1</v>
      </c>
      <c r="AI34" s="52">
        <v>6</v>
      </c>
      <c r="AJ34" s="52">
        <v>9</v>
      </c>
      <c r="AL34" s="48">
        <v>10</v>
      </c>
      <c r="AM34" s="12">
        <v>0</v>
      </c>
      <c r="AN34" s="12">
        <v>0</v>
      </c>
      <c r="AO34" s="12">
        <v>0</v>
      </c>
      <c r="AP34" s="12">
        <v>0</v>
      </c>
      <c r="AQ34" s="52">
        <v>2</v>
      </c>
      <c r="AR34" s="12">
        <v>0</v>
      </c>
      <c r="AS34" s="12">
        <v>0</v>
      </c>
      <c r="AU34" s="48">
        <v>9.9791666666715173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1:54" x14ac:dyDescent="0.3">
      <c r="K35" s="49">
        <v>31</v>
      </c>
      <c r="L35" s="28">
        <v>0</v>
      </c>
      <c r="M35" s="28">
        <v>0</v>
      </c>
      <c r="N35" s="28">
        <v>0</v>
      </c>
      <c r="O35" s="28">
        <v>2</v>
      </c>
      <c r="P35" s="52">
        <v>21</v>
      </c>
      <c r="Q35" s="28">
        <v>0</v>
      </c>
      <c r="R35" s="28">
        <v>0</v>
      </c>
      <c r="S35" s="31"/>
      <c r="T35" s="5"/>
      <c r="U35" s="12"/>
      <c r="V35" s="12"/>
      <c r="W35" s="12"/>
      <c r="X35" s="12"/>
      <c r="Y35" s="12"/>
      <c r="Z35" s="12"/>
      <c r="AA35" s="12"/>
      <c r="AC35" s="48">
        <v>10.270833333335759</v>
      </c>
      <c r="AD35" s="12">
        <v>0</v>
      </c>
      <c r="AE35" s="12">
        <v>0</v>
      </c>
      <c r="AF35" s="12">
        <v>0</v>
      </c>
      <c r="AG35" s="12">
        <v>0</v>
      </c>
      <c r="AH35" s="52">
        <v>1</v>
      </c>
      <c r="AI35" s="52">
        <v>6</v>
      </c>
      <c r="AJ35" s="52">
        <v>9</v>
      </c>
      <c r="AL35" s="48">
        <v>10.291666666664241</v>
      </c>
      <c r="AM35" s="12">
        <v>0</v>
      </c>
      <c r="AN35" s="12">
        <v>0</v>
      </c>
      <c r="AO35" s="12">
        <v>0</v>
      </c>
      <c r="AP35" s="12">
        <v>0</v>
      </c>
      <c r="AQ35" s="52">
        <v>2</v>
      </c>
      <c r="AR35" s="12">
        <v>0</v>
      </c>
      <c r="AS35" s="12">
        <v>0</v>
      </c>
      <c r="AU35" s="48">
        <v>10.1875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1:54" x14ac:dyDescent="0.3">
      <c r="K36" s="49">
        <v>32</v>
      </c>
      <c r="L36" s="28">
        <v>0</v>
      </c>
      <c r="M36" s="28">
        <v>0</v>
      </c>
      <c r="N36" s="28">
        <v>0</v>
      </c>
      <c r="O36" s="28">
        <v>0</v>
      </c>
      <c r="P36" s="52">
        <v>23</v>
      </c>
      <c r="Q36" s="28">
        <v>0</v>
      </c>
      <c r="R36" s="28">
        <v>0</v>
      </c>
      <c r="S36" s="31"/>
      <c r="AC36" s="48">
        <v>10.520833333335759</v>
      </c>
      <c r="AD36" s="12">
        <v>0</v>
      </c>
      <c r="AE36" s="12">
        <v>0</v>
      </c>
      <c r="AF36" s="12">
        <v>0</v>
      </c>
      <c r="AG36" s="12">
        <v>0</v>
      </c>
      <c r="AH36" s="52">
        <v>1</v>
      </c>
      <c r="AI36" s="52">
        <v>6</v>
      </c>
      <c r="AJ36" s="52">
        <v>9</v>
      </c>
      <c r="AL36" s="48">
        <v>10.5</v>
      </c>
      <c r="AM36" s="12">
        <v>0</v>
      </c>
      <c r="AN36" s="12">
        <v>0</v>
      </c>
      <c r="AO36" s="12">
        <v>0</v>
      </c>
      <c r="AP36" s="12">
        <v>0</v>
      </c>
      <c r="AQ36" s="52">
        <v>2</v>
      </c>
      <c r="AR36" s="12">
        <v>0</v>
      </c>
      <c r="AS36" s="12">
        <v>0</v>
      </c>
    </row>
    <row r="37" spans="11:54" x14ac:dyDescent="0.3">
      <c r="K37" s="49">
        <v>33</v>
      </c>
      <c r="L37" s="28">
        <v>0</v>
      </c>
      <c r="M37" s="28">
        <v>0</v>
      </c>
      <c r="N37" s="28">
        <v>0</v>
      </c>
      <c r="O37" s="28">
        <v>0</v>
      </c>
      <c r="P37" s="52">
        <v>23</v>
      </c>
      <c r="Q37" s="28">
        <v>0</v>
      </c>
      <c r="R37" s="28">
        <v>0</v>
      </c>
      <c r="S37" s="31"/>
      <c r="AC37" s="48">
        <v>10.979166666664241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52">
        <v>6</v>
      </c>
      <c r="AJ37" s="52">
        <v>9</v>
      </c>
      <c r="AL37" s="48">
        <v>11</v>
      </c>
      <c r="AM37" s="12">
        <v>0</v>
      </c>
      <c r="AN37" s="12">
        <v>0</v>
      </c>
      <c r="AO37" s="12">
        <v>0</v>
      </c>
      <c r="AP37" s="12">
        <v>0</v>
      </c>
      <c r="AQ37" s="52">
        <v>2</v>
      </c>
      <c r="AR37" s="12">
        <v>0</v>
      </c>
      <c r="AS37" s="12">
        <v>0</v>
      </c>
    </row>
    <row r="38" spans="11:54" x14ac:dyDescent="0.3">
      <c r="K38" s="49">
        <v>34</v>
      </c>
      <c r="L38" s="28">
        <v>0</v>
      </c>
      <c r="M38" s="28">
        <v>0</v>
      </c>
      <c r="N38" s="28">
        <v>0</v>
      </c>
      <c r="O38" s="28">
        <v>0</v>
      </c>
      <c r="P38" s="52">
        <v>23</v>
      </c>
      <c r="Q38" s="28">
        <v>0</v>
      </c>
      <c r="R38" s="28">
        <v>0</v>
      </c>
      <c r="S38" s="31"/>
      <c r="AC38" s="5"/>
      <c r="AL38" s="48">
        <v>11.291666666664241</v>
      </c>
      <c r="AM38" s="12">
        <v>0</v>
      </c>
      <c r="AN38" s="12">
        <v>0</v>
      </c>
      <c r="AO38" s="12">
        <v>0</v>
      </c>
      <c r="AP38" s="12">
        <v>0</v>
      </c>
      <c r="AQ38" s="52">
        <v>2</v>
      </c>
      <c r="AR38" s="12">
        <v>0</v>
      </c>
      <c r="AS38" s="12">
        <v>0</v>
      </c>
    </row>
    <row r="39" spans="11:54" x14ac:dyDescent="0.3">
      <c r="K39" s="49">
        <v>35</v>
      </c>
      <c r="L39" s="28">
        <v>0</v>
      </c>
      <c r="M39" s="28">
        <v>0</v>
      </c>
      <c r="N39" s="28">
        <v>0</v>
      </c>
      <c r="O39" s="28">
        <v>0</v>
      </c>
      <c r="P39" s="52">
        <v>23</v>
      </c>
      <c r="Q39" s="28">
        <v>0</v>
      </c>
      <c r="R39" s="28">
        <v>0</v>
      </c>
      <c r="S39" s="31"/>
      <c r="AL39" s="48">
        <v>11.5</v>
      </c>
      <c r="AM39" s="12">
        <v>0</v>
      </c>
      <c r="AN39" s="12">
        <v>0</v>
      </c>
      <c r="AO39" s="12">
        <v>0</v>
      </c>
      <c r="AP39" s="12">
        <v>0</v>
      </c>
      <c r="AQ39" s="52">
        <v>2</v>
      </c>
      <c r="AR39" s="12">
        <v>0</v>
      </c>
      <c r="AS39" s="12">
        <v>0</v>
      </c>
    </row>
    <row r="40" spans="11:54" x14ac:dyDescent="0.3">
      <c r="K40" s="49">
        <v>36</v>
      </c>
      <c r="L40" s="28">
        <v>0</v>
      </c>
      <c r="M40" s="28">
        <v>0</v>
      </c>
      <c r="N40" s="28">
        <v>0</v>
      </c>
      <c r="O40" s="28">
        <v>0</v>
      </c>
      <c r="P40" s="52">
        <v>23</v>
      </c>
      <c r="Q40" s="28">
        <v>0</v>
      </c>
      <c r="R40" s="28">
        <v>0</v>
      </c>
      <c r="S40" s="31"/>
      <c r="AL40" s="48">
        <v>12</v>
      </c>
      <c r="AM40" s="12">
        <v>0</v>
      </c>
      <c r="AN40" s="12">
        <v>0</v>
      </c>
      <c r="AO40" s="12">
        <v>0</v>
      </c>
      <c r="AP40" s="12">
        <v>0</v>
      </c>
      <c r="AQ40" s="52">
        <v>2</v>
      </c>
      <c r="AR40" s="12">
        <v>0</v>
      </c>
      <c r="AS40" s="12">
        <v>0</v>
      </c>
    </row>
    <row r="41" spans="11:54" x14ac:dyDescent="0.3">
      <c r="K41" s="49">
        <v>37</v>
      </c>
      <c r="L41" s="28">
        <v>0</v>
      </c>
      <c r="M41" s="28">
        <v>0</v>
      </c>
      <c r="N41" s="28">
        <v>0</v>
      </c>
      <c r="O41" s="28">
        <v>0</v>
      </c>
      <c r="P41" s="52">
        <v>23</v>
      </c>
      <c r="Q41" s="28">
        <v>0</v>
      </c>
      <c r="R41" s="28">
        <v>0</v>
      </c>
      <c r="S41" s="31"/>
      <c r="AL41" s="48">
        <v>12.291666666664241</v>
      </c>
      <c r="AM41" s="12">
        <v>0</v>
      </c>
      <c r="AN41" s="12">
        <v>0</v>
      </c>
      <c r="AO41" s="12">
        <v>0</v>
      </c>
      <c r="AP41" s="12">
        <v>0</v>
      </c>
      <c r="AQ41" s="52">
        <v>2</v>
      </c>
      <c r="AR41" s="12">
        <v>0</v>
      </c>
      <c r="AS41" s="12">
        <v>0</v>
      </c>
    </row>
    <row r="42" spans="11:54" x14ac:dyDescent="0.3">
      <c r="K42" s="49">
        <v>38</v>
      </c>
      <c r="L42" s="28">
        <v>0</v>
      </c>
      <c r="M42" s="28">
        <v>0</v>
      </c>
      <c r="N42" s="28">
        <v>0</v>
      </c>
      <c r="O42" s="28">
        <v>0</v>
      </c>
      <c r="P42" s="52">
        <v>23</v>
      </c>
      <c r="Q42" s="28">
        <v>0</v>
      </c>
      <c r="R42" s="28">
        <v>0</v>
      </c>
      <c r="S42" s="31"/>
      <c r="AL42" s="48">
        <v>12.5</v>
      </c>
      <c r="AM42" s="12">
        <v>0</v>
      </c>
      <c r="AN42" s="12">
        <v>0</v>
      </c>
      <c r="AO42" s="12">
        <v>0</v>
      </c>
      <c r="AP42" s="12">
        <v>0</v>
      </c>
      <c r="AQ42" s="52">
        <v>2</v>
      </c>
      <c r="AR42" s="12">
        <v>0</v>
      </c>
      <c r="AS42" s="12">
        <v>0</v>
      </c>
    </row>
    <row r="43" spans="11:54" x14ac:dyDescent="0.3">
      <c r="K43" s="49">
        <v>39</v>
      </c>
      <c r="L43" s="28">
        <v>0</v>
      </c>
      <c r="M43" s="28">
        <v>0</v>
      </c>
      <c r="N43" s="28">
        <v>0</v>
      </c>
      <c r="O43" s="28">
        <v>0</v>
      </c>
      <c r="P43" s="52">
        <v>23</v>
      </c>
      <c r="Q43" s="28">
        <v>0</v>
      </c>
      <c r="R43" s="28">
        <v>0</v>
      </c>
      <c r="S43" s="31"/>
      <c r="AL43" s="48">
        <v>13</v>
      </c>
      <c r="AM43" s="12">
        <v>0</v>
      </c>
      <c r="AN43" s="12">
        <v>0</v>
      </c>
      <c r="AO43" s="12">
        <v>0</v>
      </c>
      <c r="AP43" s="12">
        <v>0</v>
      </c>
      <c r="AQ43" s="52">
        <v>2</v>
      </c>
      <c r="AR43" s="12">
        <v>0</v>
      </c>
      <c r="AS43" s="12">
        <v>0</v>
      </c>
    </row>
    <row r="44" spans="11:54" x14ac:dyDescent="0.3">
      <c r="K44" s="49">
        <v>40</v>
      </c>
      <c r="L44" s="28">
        <v>0</v>
      </c>
      <c r="M44" s="28">
        <v>0</v>
      </c>
      <c r="N44" s="28">
        <v>0</v>
      </c>
      <c r="O44" s="28">
        <v>0</v>
      </c>
      <c r="P44" s="52">
        <v>23</v>
      </c>
      <c r="Q44" s="28">
        <v>0</v>
      </c>
      <c r="R44" s="28">
        <v>0</v>
      </c>
      <c r="S44" s="31"/>
      <c r="AL44" s="48">
        <v>13.291666666664241</v>
      </c>
      <c r="AM44" s="12">
        <v>0</v>
      </c>
      <c r="AN44" s="12">
        <v>0</v>
      </c>
      <c r="AO44" s="12">
        <v>0</v>
      </c>
      <c r="AP44" s="12">
        <v>0</v>
      </c>
      <c r="AQ44" s="52">
        <v>2</v>
      </c>
      <c r="AR44" s="12">
        <v>0</v>
      </c>
      <c r="AS44" s="12">
        <v>0</v>
      </c>
    </row>
    <row r="45" spans="11:54" x14ac:dyDescent="0.3">
      <c r="K45" s="49">
        <v>41</v>
      </c>
      <c r="L45" s="28">
        <v>0</v>
      </c>
      <c r="M45" s="28">
        <v>0</v>
      </c>
      <c r="N45" s="28">
        <v>0</v>
      </c>
      <c r="O45" s="28">
        <v>0</v>
      </c>
      <c r="P45" s="52">
        <v>23</v>
      </c>
      <c r="Q45" s="28">
        <v>0</v>
      </c>
      <c r="R45" s="28">
        <v>0</v>
      </c>
      <c r="S45" s="31"/>
      <c r="AL45" s="48">
        <v>13.5</v>
      </c>
      <c r="AM45" s="12">
        <v>0</v>
      </c>
      <c r="AN45" s="12">
        <v>0</v>
      </c>
      <c r="AO45" s="12">
        <v>0</v>
      </c>
      <c r="AP45" s="12">
        <v>0</v>
      </c>
      <c r="AQ45" s="52">
        <v>2</v>
      </c>
      <c r="AR45" s="12">
        <v>0</v>
      </c>
      <c r="AS45" s="12">
        <v>0</v>
      </c>
    </row>
    <row r="46" spans="11:54" x14ac:dyDescent="0.3">
      <c r="K46" s="49">
        <v>42</v>
      </c>
      <c r="L46" s="28">
        <v>0</v>
      </c>
      <c r="M46" s="28">
        <v>0</v>
      </c>
      <c r="N46" s="28">
        <v>0</v>
      </c>
      <c r="O46" s="28">
        <v>0</v>
      </c>
      <c r="P46" s="52">
        <v>22</v>
      </c>
      <c r="Q46" s="52">
        <v>1</v>
      </c>
      <c r="R46" s="28">
        <v>0</v>
      </c>
      <c r="S46" s="31"/>
      <c r="AL46" s="48">
        <v>14</v>
      </c>
      <c r="AM46" s="12">
        <v>0</v>
      </c>
      <c r="AN46" s="12">
        <v>0</v>
      </c>
      <c r="AO46" s="12">
        <v>0</v>
      </c>
      <c r="AP46" s="12">
        <v>0</v>
      </c>
      <c r="AQ46" s="52">
        <v>2</v>
      </c>
      <c r="AR46" s="12">
        <v>0</v>
      </c>
      <c r="AS46" s="12">
        <v>0</v>
      </c>
    </row>
    <row r="47" spans="11:54" x14ac:dyDescent="0.3">
      <c r="K47" s="49">
        <v>43</v>
      </c>
      <c r="L47" s="28">
        <v>0</v>
      </c>
      <c r="M47" s="28">
        <v>0</v>
      </c>
      <c r="N47" s="28">
        <v>0</v>
      </c>
      <c r="O47" s="28">
        <v>0</v>
      </c>
      <c r="P47" s="52">
        <v>22</v>
      </c>
      <c r="Q47" s="52">
        <v>1</v>
      </c>
      <c r="R47" s="28">
        <v>0</v>
      </c>
      <c r="S47" s="31"/>
      <c r="AL47" s="48">
        <v>14.291666666664241</v>
      </c>
      <c r="AM47" s="12">
        <v>0</v>
      </c>
      <c r="AN47" s="12">
        <v>0</v>
      </c>
      <c r="AO47" s="12">
        <v>0</v>
      </c>
      <c r="AP47" s="12">
        <v>0</v>
      </c>
      <c r="AQ47" s="52">
        <v>2</v>
      </c>
      <c r="AR47" s="12">
        <v>0</v>
      </c>
      <c r="AS47" s="12">
        <v>0</v>
      </c>
    </row>
    <row r="48" spans="11:54" x14ac:dyDescent="0.3">
      <c r="K48" s="49">
        <v>44</v>
      </c>
      <c r="L48" s="28">
        <v>0</v>
      </c>
      <c r="M48" s="28">
        <v>0</v>
      </c>
      <c r="N48" s="28">
        <v>0</v>
      </c>
      <c r="O48" s="28">
        <v>0</v>
      </c>
      <c r="P48" s="52">
        <v>22</v>
      </c>
      <c r="Q48" s="52">
        <v>1</v>
      </c>
      <c r="R48" s="28">
        <v>0</v>
      </c>
      <c r="S48" s="31"/>
      <c r="AL48" s="48">
        <v>14.5</v>
      </c>
      <c r="AM48" s="12">
        <v>0</v>
      </c>
      <c r="AN48" s="12">
        <v>0</v>
      </c>
      <c r="AO48" s="12">
        <v>0</v>
      </c>
      <c r="AP48" s="12">
        <v>0</v>
      </c>
      <c r="AQ48" s="52">
        <v>2</v>
      </c>
      <c r="AR48" s="12">
        <v>0</v>
      </c>
      <c r="AS48" s="12">
        <v>0</v>
      </c>
    </row>
    <row r="49" spans="2:63" x14ac:dyDescent="0.3">
      <c r="K49" s="49">
        <v>45</v>
      </c>
      <c r="L49" s="28">
        <v>0</v>
      </c>
      <c r="M49" s="28">
        <v>0</v>
      </c>
      <c r="N49" s="28">
        <v>0</v>
      </c>
      <c r="O49" s="28">
        <v>0</v>
      </c>
      <c r="P49" s="52">
        <v>20</v>
      </c>
      <c r="Q49" s="52">
        <v>2</v>
      </c>
      <c r="R49" s="52">
        <v>1</v>
      </c>
      <c r="S49" s="31"/>
      <c r="AL49" s="48">
        <v>15</v>
      </c>
      <c r="AM49" s="12">
        <v>0</v>
      </c>
      <c r="AN49" s="12">
        <v>0</v>
      </c>
      <c r="AO49" s="12">
        <v>0</v>
      </c>
      <c r="AP49" s="12">
        <v>0</v>
      </c>
      <c r="AQ49" s="52">
        <v>2</v>
      </c>
      <c r="AR49" s="12">
        <v>0</v>
      </c>
      <c r="AS49" s="12">
        <v>0</v>
      </c>
    </row>
    <row r="50" spans="2:63" x14ac:dyDescent="0.3">
      <c r="K50" s="49">
        <v>46</v>
      </c>
      <c r="L50" s="28">
        <v>0</v>
      </c>
      <c r="M50" s="28">
        <v>0</v>
      </c>
      <c r="N50" s="28">
        <v>0</v>
      </c>
      <c r="O50" s="28">
        <v>0</v>
      </c>
      <c r="P50" s="52">
        <v>20</v>
      </c>
      <c r="Q50" s="52">
        <v>2</v>
      </c>
      <c r="R50" s="52">
        <v>1</v>
      </c>
      <c r="S50" s="31"/>
      <c r="AL50" s="5"/>
      <c r="AM50" s="12"/>
      <c r="AN50" s="12"/>
      <c r="AO50" s="12"/>
      <c r="AP50" s="12"/>
      <c r="AQ50" s="12"/>
      <c r="AR50" s="12"/>
      <c r="AS50" s="12"/>
    </row>
    <row r="51" spans="2:63" x14ac:dyDescent="0.3">
      <c r="K51" s="49">
        <v>47</v>
      </c>
      <c r="L51" s="28">
        <v>0</v>
      </c>
      <c r="M51" s="28">
        <v>0</v>
      </c>
      <c r="N51" s="28">
        <v>0</v>
      </c>
      <c r="O51" s="28">
        <v>0</v>
      </c>
      <c r="P51" s="52">
        <v>20</v>
      </c>
      <c r="Q51" s="52">
        <v>2</v>
      </c>
      <c r="R51" s="52">
        <v>1</v>
      </c>
      <c r="S51" s="31"/>
    </row>
    <row r="52" spans="2:63" x14ac:dyDescent="0.3">
      <c r="K52" s="49">
        <v>48</v>
      </c>
      <c r="L52" s="28">
        <v>0</v>
      </c>
      <c r="M52" s="28">
        <v>0</v>
      </c>
      <c r="N52" s="28">
        <v>0</v>
      </c>
      <c r="O52" s="28">
        <v>0</v>
      </c>
      <c r="P52" s="52">
        <v>20</v>
      </c>
      <c r="Q52" s="52">
        <v>2</v>
      </c>
      <c r="R52" s="52">
        <v>1</v>
      </c>
      <c r="S52" s="31"/>
    </row>
    <row r="53" spans="2:63" x14ac:dyDescent="0.3">
      <c r="K53" s="49">
        <v>49</v>
      </c>
      <c r="L53" s="28">
        <v>0</v>
      </c>
      <c r="M53" s="28">
        <v>0</v>
      </c>
      <c r="N53" s="28">
        <v>0</v>
      </c>
      <c r="O53" s="28">
        <v>0</v>
      </c>
      <c r="P53" s="52">
        <v>13</v>
      </c>
      <c r="Q53" s="52">
        <v>6</v>
      </c>
      <c r="R53" s="52">
        <v>4</v>
      </c>
      <c r="S53" s="31"/>
    </row>
    <row r="54" spans="2:63" x14ac:dyDescent="0.3">
      <c r="K54" s="49">
        <v>50</v>
      </c>
      <c r="L54" s="28">
        <v>0</v>
      </c>
      <c r="M54" s="28">
        <v>0</v>
      </c>
      <c r="N54" s="28">
        <v>0</v>
      </c>
      <c r="O54" s="28">
        <v>0</v>
      </c>
      <c r="P54" s="52">
        <v>4</v>
      </c>
      <c r="Q54" s="52">
        <v>10</v>
      </c>
      <c r="R54" s="52">
        <v>9</v>
      </c>
      <c r="S54" s="31"/>
    </row>
    <row r="55" spans="2:63" x14ac:dyDescent="0.3">
      <c r="K55" s="49">
        <v>51</v>
      </c>
      <c r="L55" s="28">
        <v>0</v>
      </c>
      <c r="M55" s="28">
        <v>0</v>
      </c>
      <c r="N55" s="28">
        <v>0</v>
      </c>
      <c r="O55" s="28">
        <v>0</v>
      </c>
      <c r="P55" s="28">
        <v>2</v>
      </c>
      <c r="Q55" s="52">
        <v>11</v>
      </c>
      <c r="R55" s="52">
        <v>10</v>
      </c>
      <c r="S55" s="31"/>
    </row>
    <row r="56" spans="2:63" x14ac:dyDescent="0.3">
      <c r="K56" s="49">
        <v>52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52">
        <v>11</v>
      </c>
      <c r="R56" s="52">
        <v>12</v>
      </c>
      <c r="S56" s="31"/>
    </row>
    <row r="60" spans="2:63" x14ac:dyDescent="0.3">
      <c r="B60" s="11"/>
      <c r="C60" s="88" t="s">
        <v>72</v>
      </c>
      <c r="D60" s="88"/>
      <c r="E60" s="88"/>
      <c r="F60" s="88"/>
      <c r="G60" s="88"/>
      <c r="H60" s="88"/>
      <c r="I60" s="88"/>
      <c r="K60" s="11"/>
      <c r="L60" s="88" t="s">
        <v>73</v>
      </c>
      <c r="M60" s="88"/>
      <c r="N60" s="88"/>
      <c r="O60" s="88"/>
      <c r="P60" s="88"/>
      <c r="Q60" s="88"/>
      <c r="R60" s="88"/>
      <c r="T60" s="11"/>
      <c r="U60" s="88" t="s">
        <v>74</v>
      </c>
      <c r="V60" s="88"/>
      <c r="W60" s="88"/>
      <c r="X60" s="88"/>
      <c r="Y60" s="88"/>
      <c r="Z60" s="88"/>
      <c r="AA60" s="88"/>
      <c r="AC60" s="11"/>
      <c r="AD60" s="88" t="s">
        <v>75</v>
      </c>
      <c r="AE60" s="88"/>
      <c r="AF60" s="88"/>
      <c r="AG60" s="88"/>
      <c r="AH60" s="88"/>
      <c r="AI60" s="88"/>
      <c r="AJ60" s="88"/>
      <c r="AL60" s="11"/>
      <c r="AM60" s="88" t="s">
        <v>76</v>
      </c>
      <c r="AN60" s="88"/>
      <c r="AO60" s="88"/>
      <c r="AP60" s="88"/>
      <c r="AQ60" s="88"/>
      <c r="AR60" s="88"/>
      <c r="AS60" s="88"/>
      <c r="AU60" s="11"/>
      <c r="AV60" s="88" t="s">
        <v>77</v>
      </c>
      <c r="AW60" s="88"/>
      <c r="AX60" s="88"/>
      <c r="AY60" s="88"/>
      <c r="AZ60" s="88"/>
      <c r="BA60" s="88"/>
      <c r="BB60" s="88"/>
      <c r="BD60" s="11"/>
      <c r="BE60" s="88" t="s">
        <v>78</v>
      </c>
      <c r="BF60" s="88"/>
      <c r="BG60" s="88"/>
      <c r="BH60" s="88"/>
      <c r="BI60" s="88"/>
      <c r="BJ60" s="88"/>
      <c r="BK60" s="88"/>
    </row>
    <row r="61" spans="2:63" x14ac:dyDescent="0.3">
      <c r="B61" s="50" t="s">
        <v>25</v>
      </c>
      <c r="C61" s="51" t="s">
        <v>9</v>
      </c>
      <c r="D61" s="51" t="s">
        <v>5</v>
      </c>
      <c r="E61" s="51" t="s">
        <v>8</v>
      </c>
      <c r="F61" s="51" t="s">
        <v>10</v>
      </c>
      <c r="G61" s="51" t="s">
        <v>11</v>
      </c>
      <c r="H61" s="51" t="s">
        <v>13</v>
      </c>
      <c r="I61" s="51" t="s">
        <v>14</v>
      </c>
      <c r="K61" s="50" t="s">
        <v>25</v>
      </c>
      <c r="L61" s="51" t="s">
        <v>9</v>
      </c>
      <c r="M61" s="51" t="s">
        <v>5</v>
      </c>
      <c r="N61" s="51" t="s">
        <v>8</v>
      </c>
      <c r="O61" s="51" t="s">
        <v>10</v>
      </c>
      <c r="P61" s="51" t="s">
        <v>11</v>
      </c>
      <c r="Q61" s="51" t="s">
        <v>13</v>
      </c>
      <c r="R61" s="51" t="s">
        <v>14</v>
      </c>
      <c r="T61" s="50" t="s">
        <v>25</v>
      </c>
      <c r="U61" s="51" t="s">
        <v>9</v>
      </c>
      <c r="V61" s="51" t="s">
        <v>5</v>
      </c>
      <c r="W61" s="51" t="s">
        <v>8</v>
      </c>
      <c r="X61" s="51" t="s">
        <v>10</v>
      </c>
      <c r="Y61" s="51" t="s">
        <v>11</v>
      </c>
      <c r="Z61" s="51" t="s">
        <v>13</v>
      </c>
      <c r="AA61" s="51" t="s">
        <v>14</v>
      </c>
      <c r="AC61" s="50" t="s">
        <v>25</v>
      </c>
      <c r="AD61" s="51" t="s">
        <v>9</v>
      </c>
      <c r="AE61" s="51" t="s">
        <v>5</v>
      </c>
      <c r="AF61" s="51" t="s">
        <v>8</v>
      </c>
      <c r="AG61" s="51" t="s">
        <v>10</v>
      </c>
      <c r="AH61" s="51" t="s">
        <v>11</v>
      </c>
      <c r="AI61" s="51" t="s">
        <v>13</v>
      </c>
      <c r="AJ61" s="51" t="s">
        <v>14</v>
      </c>
      <c r="AL61" s="50" t="s">
        <v>25</v>
      </c>
      <c r="AM61" s="51" t="s">
        <v>9</v>
      </c>
      <c r="AN61" s="51" t="s">
        <v>5</v>
      </c>
      <c r="AO61" s="51" t="s">
        <v>8</v>
      </c>
      <c r="AP61" s="51" t="s">
        <v>10</v>
      </c>
      <c r="AQ61" s="51" t="s">
        <v>11</v>
      </c>
      <c r="AR61" s="51" t="s">
        <v>13</v>
      </c>
      <c r="AS61" s="51" t="s">
        <v>14</v>
      </c>
      <c r="AU61" s="50" t="s">
        <v>25</v>
      </c>
      <c r="AV61" s="51" t="s">
        <v>9</v>
      </c>
      <c r="AW61" s="51" t="s">
        <v>5</v>
      </c>
      <c r="AX61" s="51" t="s">
        <v>8</v>
      </c>
      <c r="AY61" s="51" t="s">
        <v>10</v>
      </c>
      <c r="AZ61" s="51" t="s">
        <v>11</v>
      </c>
      <c r="BA61" s="51" t="s">
        <v>13</v>
      </c>
      <c r="BB61" s="51" t="s">
        <v>14</v>
      </c>
      <c r="BD61" s="50" t="s">
        <v>25</v>
      </c>
      <c r="BE61" s="51" t="s">
        <v>9</v>
      </c>
      <c r="BF61" s="51" t="s">
        <v>5</v>
      </c>
      <c r="BG61" s="51" t="s">
        <v>8</v>
      </c>
      <c r="BH61" s="51" t="s">
        <v>10</v>
      </c>
      <c r="BI61" s="51" t="s">
        <v>11</v>
      </c>
      <c r="BJ61" s="51" t="s">
        <v>13</v>
      </c>
      <c r="BK61" s="51" t="s">
        <v>14</v>
      </c>
    </row>
    <row r="62" spans="2:63" x14ac:dyDescent="0.3">
      <c r="B62" s="48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K62" s="49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T62" s="48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C62" s="48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L62" s="48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U62" s="48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D62" s="58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</row>
    <row r="63" spans="2:63" x14ac:dyDescent="0.3">
      <c r="B63" s="48">
        <v>1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K63" s="49">
        <v>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T63" s="48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C63" s="48">
        <v>0.25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L63" s="48">
        <v>0.25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U63" s="48">
        <v>0.1875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D63" s="48">
        <v>4.1666666664241347E-2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2:63" x14ac:dyDescent="0.3">
      <c r="B64" s="48">
        <v>2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K64" s="49">
        <v>2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T64" s="48">
        <v>2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C64" s="48">
        <v>0.5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L64" s="48">
        <v>0.5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U64" s="48">
        <v>0.64583333333575865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D64" s="48">
        <v>8.3333333335758653E-2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</row>
    <row r="65" spans="2:63" x14ac:dyDescent="0.3">
      <c r="B65" s="48">
        <v>3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K65" s="49">
        <v>3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T65" s="48">
        <v>3</v>
      </c>
      <c r="U65" s="12">
        <v>0</v>
      </c>
      <c r="V65" s="12">
        <v>2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C65" s="48">
        <v>1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L65" s="48">
        <v>0.97916666666424135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U65" s="48">
        <v>1</v>
      </c>
      <c r="AV65" s="12">
        <v>0</v>
      </c>
      <c r="AW65" s="52">
        <v>3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D65" s="48">
        <v>0.125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</row>
    <row r="66" spans="2:63" x14ac:dyDescent="0.3">
      <c r="B66" s="48">
        <v>4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K66" s="49">
        <v>4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T66" s="48">
        <v>4</v>
      </c>
      <c r="U66" s="52">
        <v>1</v>
      </c>
      <c r="V66" s="52">
        <v>4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C66" s="48">
        <v>1.2916666666642413</v>
      </c>
      <c r="AD66" s="12">
        <v>0</v>
      </c>
      <c r="AE66" s="52">
        <v>2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L66" s="48">
        <v>1.2916666666642413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U66" s="48">
        <v>1.2083333333357587</v>
      </c>
      <c r="AV66" s="12">
        <v>0</v>
      </c>
      <c r="AW66" s="52">
        <v>9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D66" s="48">
        <v>0.16666666666424135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</row>
    <row r="67" spans="2:63" x14ac:dyDescent="0.3">
      <c r="B67" s="48">
        <v>5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K67" s="49">
        <v>5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T67" s="48">
        <v>5</v>
      </c>
      <c r="U67" s="52">
        <v>1</v>
      </c>
      <c r="V67" s="52">
        <v>5</v>
      </c>
      <c r="W67" s="52">
        <v>2</v>
      </c>
      <c r="X67" s="12">
        <v>0</v>
      </c>
      <c r="Y67" s="12">
        <v>0</v>
      </c>
      <c r="Z67" s="12">
        <v>0</v>
      </c>
      <c r="AA67" s="12">
        <v>0</v>
      </c>
      <c r="AC67" s="48">
        <v>1.5208333333357587</v>
      </c>
      <c r="AD67" s="12">
        <v>0</v>
      </c>
      <c r="AE67" s="52">
        <v>4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L67" s="48">
        <v>1.5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U67" s="48">
        <v>1.625</v>
      </c>
      <c r="AV67" s="12">
        <v>0</v>
      </c>
      <c r="AW67" s="52">
        <v>13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D67" s="48">
        <v>0.20833333333575865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</row>
    <row r="68" spans="2:63" x14ac:dyDescent="0.3">
      <c r="B68" s="48">
        <v>6</v>
      </c>
      <c r="C68" s="12">
        <v>0</v>
      </c>
      <c r="D68" s="52">
        <v>2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K68" s="49">
        <v>6</v>
      </c>
      <c r="L68" s="2">
        <v>0</v>
      </c>
      <c r="M68" s="59">
        <v>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T68" s="48">
        <v>6</v>
      </c>
      <c r="U68" s="52">
        <v>1</v>
      </c>
      <c r="V68" s="52">
        <v>5</v>
      </c>
      <c r="W68" s="52">
        <v>5</v>
      </c>
      <c r="X68" s="12">
        <v>0</v>
      </c>
      <c r="Y68" s="12">
        <v>0</v>
      </c>
      <c r="Z68" s="12">
        <v>0</v>
      </c>
      <c r="AA68" s="12">
        <v>0</v>
      </c>
      <c r="AC68" s="48">
        <v>1.9375</v>
      </c>
      <c r="AD68" s="12">
        <v>0</v>
      </c>
      <c r="AE68" s="52">
        <v>6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L68" s="48">
        <v>2</v>
      </c>
      <c r="AM68" s="12">
        <v>0</v>
      </c>
      <c r="AN68" s="52">
        <v>2</v>
      </c>
      <c r="AO68" s="52">
        <v>3</v>
      </c>
      <c r="AP68" s="12">
        <v>0</v>
      </c>
      <c r="AQ68" s="12">
        <v>0</v>
      </c>
      <c r="AR68" s="12">
        <v>0</v>
      </c>
      <c r="AS68" s="12">
        <v>0</v>
      </c>
      <c r="AU68" s="48">
        <v>2</v>
      </c>
      <c r="AV68" s="12">
        <v>0</v>
      </c>
      <c r="AW68" s="52">
        <v>15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D68" s="48">
        <v>0.25</v>
      </c>
      <c r="BE68" s="52">
        <v>8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</row>
    <row r="69" spans="2:63" x14ac:dyDescent="0.3">
      <c r="B69" s="48">
        <v>7</v>
      </c>
      <c r="C69" s="12">
        <v>0</v>
      </c>
      <c r="D69" s="52">
        <v>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K69" s="49">
        <v>7</v>
      </c>
      <c r="L69" s="2">
        <v>0</v>
      </c>
      <c r="M69" s="59">
        <v>8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T69" s="48">
        <v>7</v>
      </c>
      <c r="U69" s="52">
        <v>1</v>
      </c>
      <c r="V69" s="52">
        <v>5</v>
      </c>
      <c r="W69" s="52">
        <v>7</v>
      </c>
      <c r="X69" s="12">
        <v>0</v>
      </c>
      <c r="Y69" s="12">
        <v>0</v>
      </c>
      <c r="Z69" s="12">
        <v>0</v>
      </c>
      <c r="AA69" s="12">
        <v>0</v>
      </c>
      <c r="AC69" s="48">
        <v>2.2916666666642413</v>
      </c>
      <c r="AD69" s="12">
        <v>0</v>
      </c>
      <c r="AE69" s="52">
        <v>6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L69" s="48">
        <v>2.2708333333284827</v>
      </c>
      <c r="AM69" s="12">
        <v>0</v>
      </c>
      <c r="AN69" s="52">
        <v>6</v>
      </c>
      <c r="AO69" s="52">
        <v>3</v>
      </c>
      <c r="AP69" s="12">
        <v>0</v>
      </c>
      <c r="AQ69" s="12">
        <v>0</v>
      </c>
      <c r="AR69" s="12">
        <v>0</v>
      </c>
      <c r="AS69" s="12">
        <v>0</v>
      </c>
      <c r="AU69" s="48">
        <v>2.25</v>
      </c>
      <c r="AV69" s="12">
        <v>0</v>
      </c>
      <c r="AW69" s="52">
        <v>16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D69" s="48">
        <v>0.29166666666424135</v>
      </c>
      <c r="BE69" s="52">
        <v>23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</row>
    <row r="70" spans="2:63" x14ac:dyDescent="0.3">
      <c r="B70" s="48">
        <v>8</v>
      </c>
      <c r="C70" s="12">
        <v>0</v>
      </c>
      <c r="D70" s="52">
        <v>4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K70" s="49">
        <v>8</v>
      </c>
      <c r="L70" s="2">
        <v>0</v>
      </c>
      <c r="M70" s="59">
        <v>11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T70" s="48">
        <v>8</v>
      </c>
      <c r="U70" s="52">
        <v>1</v>
      </c>
      <c r="V70" s="52">
        <v>5</v>
      </c>
      <c r="W70" s="52">
        <v>7</v>
      </c>
      <c r="X70" s="12">
        <v>0</v>
      </c>
      <c r="Y70" s="12">
        <v>0</v>
      </c>
      <c r="Z70" s="12">
        <v>0</v>
      </c>
      <c r="AA70" s="12">
        <v>0</v>
      </c>
      <c r="AC70" s="48">
        <v>2.5</v>
      </c>
      <c r="AD70" s="12">
        <v>0</v>
      </c>
      <c r="AE70" s="52">
        <v>6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L70" s="48">
        <v>2.5</v>
      </c>
      <c r="AM70" s="12">
        <v>0</v>
      </c>
      <c r="AN70" s="52">
        <v>11</v>
      </c>
      <c r="AO70" s="52">
        <v>5</v>
      </c>
      <c r="AP70" s="12">
        <v>0</v>
      </c>
      <c r="AQ70" s="12">
        <v>0</v>
      </c>
      <c r="AR70" s="12">
        <v>0</v>
      </c>
      <c r="AS70" s="12">
        <v>0</v>
      </c>
      <c r="AU70" s="48">
        <v>2.6458333333357587</v>
      </c>
      <c r="AV70" s="12">
        <v>0</v>
      </c>
      <c r="AW70" s="52">
        <v>16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D70" s="48">
        <v>0.70833333333575865</v>
      </c>
      <c r="BE70" s="52">
        <v>23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</row>
    <row r="71" spans="2:63" x14ac:dyDescent="0.3">
      <c r="B71" s="48">
        <v>9</v>
      </c>
      <c r="C71" s="12">
        <v>0</v>
      </c>
      <c r="D71" s="52">
        <v>5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K71" s="49">
        <v>9</v>
      </c>
      <c r="L71" s="2">
        <v>0</v>
      </c>
      <c r="M71" s="59">
        <v>11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T71" s="48">
        <v>9</v>
      </c>
      <c r="U71" s="52">
        <v>1</v>
      </c>
      <c r="V71" s="52">
        <v>5</v>
      </c>
      <c r="W71" s="52">
        <v>7</v>
      </c>
      <c r="X71" s="12">
        <v>0</v>
      </c>
      <c r="Y71" s="12">
        <v>0</v>
      </c>
      <c r="Z71" s="12">
        <v>0</v>
      </c>
      <c r="AA71" s="12">
        <v>0</v>
      </c>
      <c r="AC71" s="48">
        <v>2.9791666666642413</v>
      </c>
      <c r="AD71" s="12">
        <v>0</v>
      </c>
      <c r="AE71" s="52">
        <v>6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L71" s="48">
        <v>2.9583333333284827</v>
      </c>
      <c r="AM71" s="12">
        <v>0</v>
      </c>
      <c r="AN71" s="52">
        <v>12</v>
      </c>
      <c r="AO71" s="52">
        <v>8</v>
      </c>
      <c r="AP71" s="12">
        <v>0</v>
      </c>
      <c r="AQ71" s="12">
        <v>0</v>
      </c>
      <c r="AR71" s="12">
        <v>0</v>
      </c>
      <c r="AS71" s="12">
        <v>0</v>
      </c>
      <c r="AU71" s="48">
        <v>2.9791666666715173</v>
      </c>
      <c r="AV71" s="12">
        <v>0</v>
      </c>
      <c r="AW71" s="52">
        <v>16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D71" s="48">
        <v>0.75</v>
      </c>
      <c r="BE71" s="52">
        <v>23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</row>
    <row r="72" spans="2:63" x14ac:dyDescent="0.3">
      <c r="B72" s="48">
        <v>10</v>
      </c>
      <c r="C72" s="12">
        <v>0</v>
      </c>
      <c r="D72" s="52">
        <v>5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K72" s="49">
        <v>10</v>
      </c>
      <c r="L72" s="2">
        <v>0</v>
      </c>
      <c r="M72" s="59">
        <v>11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T72" s="48">
        <v>10</v>
      </c>
      <c r="U72" s="52">
        <v>1</v>
      </c>
      <c r="V72" s="52">
        <v>5</v>
      </c>
      <c r="W72" s="52">
        <v>7</v>
      </c>
      <c r="X72" s="12">
        <v>0</v>
      </c>
      <c r="Y72" s="12">
        <v>0</v>
      </c>
      <c r="Z72" s="12">
        <v>0</v>
      </c>
      <c r="AA72" s="12">
        <v>0</v>
      </c>
      <c r="AC72" s="48">
        <v>3.2916666666642413</v>
      </c>
      <c r="AD72" s="12">
        <v>0</v>
      </c>
      <c r="AE72" s="52">
        <v>6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L72" s="48">
        <v>3.2708333333284827</v>
      </c>
      <c r="AM72" s="52">
        <v>2</v>
      </c>
      <c r="AN72" s="52">
        <v>13</v>
      </c>
      <c r="AO72" s="52">
        <v>10</v>
      </c>
      <c r="AP72" s="52">
        <v>1</v>
      </c>
      <c r="AQ72" s="12">
        <v>0</v>
      </c>
      <c r="AR72" s="12">
        <v>0</v>
      </c>
      <c r="AS72" s="12">
        <v>0</v>
      </c>
      <c r="AU72" s="49">
        <v>3.2083333333357587</v>
      </c>
      <c r="AV72" s="12">
        <v>0</v>
      </c>
      <c r="AW72" s="52">
        <v>16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D72" s="48">
        <v>0.79166666666424135</v>
      </c>
      <c r="BE72" s="52">
        <v>27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</row>
    <row r="73" spans="2:63" x14ac:dyDescent="0.3">
      <c r="B73" s="48">
        <v>11</v>
      </c>
      <c r="C73" s="12">
        <v>0</v>
      </c>
      <c r="D73" s="52">
        <v>7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K73" s="49">
        <v>11</v>
      </c>
      <c r="L73" s="2">
        <v>0</v>
      </c>
      <c r="M73" s="59">
        <v>11</v>
      </c>
      <c r="N73" s="59">
        <v>1</v>
      </c>
      <c r="O73" s="2">
        <v>0</v>
      </c>
      <c r="P73" s="2">
        <v>0</v>
      </c>
      <c r="Q73" s="2">
        <v>0</v>
      </c>
      <c r="R73" s="2">
        <v>0</v>
      </c>
      <c r="T73" s="48">
        <v>11</v>
      </c>
      <c r="U73" s="52">
        <v>1</v>
      </c>
      <c r="V73" s="52">
        <v>5</v>
      </c>
      <c r="W73" s="52">
        <v>7</v>
      </c>
      <c r="X73" s="12">
        <v>0</v>
      </c>
      <c r="Y73" s="12">
        <v>0</v>
      </c>
      <c r="Z73" s="12">
        <v>0</v>
      </c>
      <c r="AA73" s="12">
        <v>0</v>
      </c>
      <c r="AC73" s="48">
        <v>3.5</v>
      </c>
      <c r="AD73" s="12">
        <v>0</v>
      </c>
      <c r="AE73" s="52">
        <v>6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L73" s="48">
        <v>3.4791666666642413</v>
      </c>
      <c r="AM73" s="52">
        <v>15</v>
      </c>
      <c r="AN73" s="52">
        <v>15</v>
      </c>
      <c r="AO73" s="52">
        <v>11</v>
      </c>
      <c r="AP73" s="52">
        <v>2</v>
      </c>
      <c r="AQ73" s="12">
        <v>0</v>
      </c>
      <c r="AR73" s="12">
        <v>0</v>
      </c>
      <c r="AS73" s="12">
        <v>0</v>
      </c>
      <c r="AU73" s="49">
        <v>3.6458333333357587</v>
      </c>
      <c r="AV73" s="12">
        <v>0</v>
      </c>
      <c r="AW73" s="52">
        <v>16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D73" s="48">
        <v>0.83333333333575865</v>
      </c>
      <c r="BE73" s="52">
        <v>27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</row>
    <row r="74" spans="2:63" x14ac:dyDescent="0.3">
      <c r="B74" s="48">
        <v>12</v>
      </c>
      <c r="C74" s="12">
        <v>0</v>
      </c>
      <c r="D74" s="52">
        <v>8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K74" s="49">
        <v>12</v>
      </c>
      <c r="L74" s="59">
        <v>9</v>
      </c>
      <c r="M74" s="59">
        <v>11</v>
      </c>
      <c r="N74" s="59">
        <v>2</v>
      </c>
      <c r="O74" s="2">
        <v>0</v>
      </c>
      <c r="P74" s="2">
        <v>0</v>
      </c>
      <c r="Q74" s="2">
        <v>0</v>
      </c>
      <c r="R74" s="2">
        <v>0</v>
      </c>
      <c r="T74" s="48">
        <v>12</v>
      </c>
      <c r="U74" s="52">
        <v>1</v>
      </c>
      <c r="V74" s="52">
        <v>5</v>
      </c>
      <c r="W74" s="52">
        <v>7</v>
      </c>
      <c r="X74" s="12">
        <v>0</v>
      </c>
      <c r="Y74" s="12">
        <v>0</v>
      </c>
      <c r="Z74" s="12">
        <v>0</v>
      </c>
      <c r="AA74" s="12">
        <v>0</v>
      </c>
      <c r="AC74" s="48">
        <v>3.9583333333357587</v>
      </c>
      <c r="AD74" s="12">
        <v>0</v>
      </c>
      <c r="AE74" s="52">
        <v>6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L74" s="48">
        <v>3.9791666666642413</v>
      </c>
      <c r="AM74" s="52">
        <v>15</v>
      </c>
      <c r="AN74" s="52">
        <v>15</v>
      </c>
      <c r="AO74" s="52">
        <v>11</v>
      </c>
      <c r="AP74" s="52">
        <v>3</v>
      </c>
      <c r="AQ74" s="12">
        <v>0</v>
      </c>
      <c r="AR74" s="12">
        <v>0</v>
      </c>
      <c r="AS74" s="12">
        <v>0</v>
      </c>
      <c r="AU74" s="49">
        <v>4</v>
      </c>
      <c r="AV74" s="12">
        <v>0</v>
      </c>
      <c r="AW74" s="52">
        <v>16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D74" s="48">
        <v>0.875</v>
      </c>
      <c r="BE74" s="52">
        <v>27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</row>
    <row r="75" spans="2:63" x14ac:dyDescent="0.3">
      <c r="B75" s="48">
        <v>13</v>
      </c>
      <c r="C75" s="12">
        <v>0</v>
      </c>
      <c r="D75" s="52">
        <v>9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K75" s="49">
        <v>13</v>
      </c>
      <c r="L75" s="59">
        <v>9</v>
      </c>
      <c r="M75" s="59">
        <v>11</v>
      </c>
      <c r="N75" s="59">
        <v>3</v>
      </c>
      <c r="O75" s="2">
        <v>0</v>
      </c>
      <c r="P75" s="2">
        <v>0</v>
      </c>
      <c r="Q75" s="2">
        <v>0</v>
      </c>
      <c r="R75" s="2">
        <v>0</v>
      </c>
      <c r="T75" s="48">
        <v>13</v>
      </c>
      <c r="U75" s="52">
        <v>1</v>
      </c>
      <c r="V75" s="52">
        <v>5</v>
      </c>
      <c r="W75" s="52">
        <v>7</v>
      </c>
      <c r="X75" s="12">
        <v>0</v>
      </c>
      <c r="Y75" s="12">
        <v>0</v>
      </c>
      <c r="Z75" s="12">
        <v>0</v>
      </c>
      <c r="AA75" s="12">
        <v>0</v>
      </c>
      <c r="AC75" s="48">
        <v>4.2708333333357587</v>
      </c>
      <c r="AD75" s="12">
        <v>0</v>
      </c>
      <c r="AE75" s="52">
        <v>6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L75" s="48">
        <v>4.2916666666642413</v>
      </c>
      <c r="AM75" s="52">
        <v>15</v>
      </c>
      <c r="AN75" s="52">
        <v>15</v>
      </c>
      <c r="AO75" s="52">
        <v>11</v>
      </c>
      <c r="AP75" s="52">
        <v>3</v>
      </c>
      <c r="AQ75" s="12">
        <v>0</v>
      </c>
      <c r="AR75" s="12">
        <v>0</v>
      </c>
      <c r="AS75" s="12">
        <v>0</v>
      </c>
      <c r="AU75" s="49">
        <v>4.2083333333357587</v>
      </c>
      <c r="AV75" s="12">
        <v>0</v>
      </c>
      <c r="AW75" s="52">
        <v>16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D75" s="48">
        <v>0.91666666666424135</v>
      </c>
      <c r="BE75" s="52">
        <v>47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</row>
    <row r="76" spans="2:63" x14ac:dyDescent="0.3">
      <c r="B76" s="48">
        <v>14</v>
      </c>
      <c r="C76" s="52">
        <v>38</v>
      </c>
      <c r="D76" s="52">
        <v>10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K76" s="49">
        <v>14</v>
      </c>
      <c r="L76" s="59">
        <v>9</v>
      </c>
      <c r="M76" s="59">
        <v>11</v>
      </c>
      <c r="N76" s="59">
        <v>4</v>
      </c>
      <c r="O76" s="2">
        <v>0</v>
      </c>
      <c r="P76" s="2">
        <v>0</v>
      </c>
      <c r="Q76" s="2">
        <v>0</v>
      </c>
      <c r="R76" s="2">
        <v>0</v>
      </c>
      <c r="T76" s="48">
        <v>14</v>
      </c>
      <c r="U76" s="52">
        <v>1</v>
      </c>
      <c r="V76" s="52">
        <v>5</v>
      </c>
      <c r="W76" s="52">
        <v>7</v>
      </c>
      <c r="X76" s="12">
        <v>0</v>
      </c>
      <c r="Y76" s="12">
        <v>0</v>
      </c>
      <c r="Z76" s="12">
        <v>0</v>
      </c>
      <c r="AA76" s="12">
        <v>0</v>
      </c>
      <c r="AC76" s="48">
        <v>4.5208333333357587</v>
      </c>
      <c r="AD76" s="52">
        <v>28</v>
      </c>
      <c r="AE76" s="52">
        <v>6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L76" s="48">
        <v>4.5</v>
      </c>
      <c r="AM76" s="52">
        <v>17</v>
      </c>
      <c r="AN76" s="52">
        <v>15</v>
      </c>
      <c r="AO76" s="52">
        <v>11</v>
      </c>
      <c r="AP76" s="52">
        <v>4</v>
      </c>
      <c r="AQ76" s="12">
        <v>0</v>
      </c>
      <c r="AR76" s="12">
        <v>0</v>
      </c>
      <c r="AS76" s="12">
        <v>0</v>
      </c>
      <c r="AU76" s="49">
        <v>4.6458333333357587</v>
      </c>
      <c r="AV76" s="52">
        <v>31</v>
      </c>
      <c r="AW76" s="52">
        <v>16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D76" s="48">
        <v>0.95833333333575865</v>
      </c>
      <c r="BE76" s="52">
        <v>48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2:63" x14ac:dyDescent="0.3">
      <c r="B77" s="49">
        <v>15</v>
      </c>
      <c r="C77" s="52">
        <v>38</v>
      </c>
      <c r="D77" s="52">
        <v>10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K77" s="49">
        <v>15</v>
      </c>
      <c r="L77" s="59">
        <v>9</v>
      </c>
      <c r="M77" s="59">
        <v>11</v>
      </c>
      <c r="N77" s="59">
        <v>5</v>
      </c>
      <c r="O77" s="2">
        <v>0</v>
      </c>
      <c r="P77" s="2">
        <v>0</v>
      </c>
      <c r="Q77" s="2">
        <v>0</v>
      </c>
      <c r="R77" s="2">
        <v>0</v>
      </c>
      <c r="T77" s="48">
        <v>15</v>
      </c>
      <c r="U77" s="52">
        <v>1</v>
      </c>
      <c r="V77" s="52">
        <v>5</v>
      </c>
      <c r="W77" s="52">
        <v>7</v>
      </c>
      <c r="X77" s="12">
        <v>0</v>
      </c>
      <c r="Y77" s="12">
        <v>0</v>
      </c>
      <c r="Z77" s="12">
        <v>0</v>
      </c>
      <c r="AA77" s="12">
        <v>0</v>
      </c>
      <c r="AC77" s="48">
        <v>4.9583333333357587</v>
      </c>
      <c r="AD77" s="52">
        <v>28</v>
      </c>
      <c r="AE77" s="52">
        <v>6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L77" s="48">
        <v>5</v>
      </c>
      <c r="AM77" s="52">
        <v>17</v>
      </c>
      <c r="AN77" s="52">
        <v>15</v>
      </c>
      <c r="AO77" s="52">
        <v>11</v>
      </c>
      <c r="AP77" s="52">
        <v>4</v>
      </c>
      <c r="AQ77" s="12">
        <v>0</v>
      </c>
      <c r="AR77" s="12">
        <v>0</v>
      </c>
      <c r="AS77" s="12">
        <v>0</v>
      </c>
      <c r="AU77" s="49">
        <v>4.9791666666715173</v>
      </c>
      <c r="AV77" s="52">
        <v>31</v>
      </c>
      <c r="AW77" s="52">
        <v>16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D77" s="48">
        <v>1.0416666666642413</v>
      </c>
      <c r="BE77" s="52">
        <v>48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</row>
    <row r="78" spans="2:63" x14ac:dyDescent="0.3">
      <c r="B78" s="49">
        <v>16</v>
      </c>
      <c r="C78" s="52">
        <v>38</v>
      </c>
      <c r="D78" s="52">
        <v>11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K78" s="49">
        <v>16</v>
      </c>
      <c r="L78" s="59">
        <v>9</v>
      </c>
      <c r="M78" s="59">
        <v>11</v>
      </c>
      <c r="N78" s="59">
        <v>5</v>
      </c>
      <c r="O78" s="2">
        <v>0</v>
      </c>
      <c r="P78" s="2">
        <v>0</v>
      </c>
      <c r="Q78" s="2">
        <v>0</v>
      </c>
      <c r="R78" s="2">
        <v>0</v>
      </c>
      <c r="T78" s="48">
        <v>16</v>
      </c>
      <c r="U78" s="52">
        <v>1</v>
      </c>
      <c r="V78" s="52">
        <v>5</v>
      </c>
      <c r="W78" s="52">
        <v>7</v>
      </c>
      <c r="X78" s="12">
        <v>0</v>
      </c>
      <c r="Y78" s="12">
        <v>0</v>
      </c>
      <c r="Z78" s="12">
        <v>0</v>
      </c>
      <c r="AA78" s="12">
        <v>0</v>
      </c>
      <c r="AC78" s="48">
        <v>5.2916666666642413</v>
      </c>
      <c r="AD78" s="52">
        <v>28</v>
      </c>
      <c r="AE78" s="52">
        <v>6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L78" s="48">
        <v>5.2916666666642413</v>
      </c>
      <c r="AM78" s="52">
        <v>17</v>
      </c>
      <c r="AN78" s="52">
        <v>15</v>
      </c>
      <c r="AO78" s="52">
        <v>11</v>
      </c>
      <c r="AP78" s="52">
        <v>6</v>
      </c>
      <c r="AQ78" s="12">
        <v>0</v>
      </c>
      <c r="AR78" s="12">
        <v>0</v>
      </c>
      <c r="AS78" s="12">
        <v>0</v>
      </c>
      <c r="AU78" s="49">
        <v>5.1875</v>
      </c>
      <c r="AV78" s="52">
        <v>31</v>
      </c>
      <c r="AW78" s="52">
        <v>16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D78" s="48">
        <v>1.0833333333357587</v>
      </c>
      <c r="BE78" s="52">
        <v>48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</row>
    <row r="79" spans="2:63" x14ac:dyDescent="0.3">
      <c r="B79" s="49">
        <v>17</v>
      </c>
      <c r="C79" s="52">
        <v>38</v>
      </c>
      <c r="D79" s="52">
        <v>12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K79" s="49">
        <v>17</v>
      </c>
      <c r="L79" s="59">
        <v>9</v>
      </c>
      <c r="M79" s="59">
        <v>11</v>
      </c>
      <c r="N79" s="59">
        <v>6</v>
      </c>
      <c r="O79" s="2">
        <v>0</v>
      </c>
      <c r="P79" s="2">
        <v>0</v>
      </c>
      <c r="Q79" s="2">
        <v>0</v>
      </c>
      <c r="R79" s="2">
        <v>0</v>
      </c>
      <c r="T79" s="48">
        <v>17</v>
      </c>
      <c r="U79" s="52">
        <v>1</v>
      </c>
      <c r="V79" s="52">
        <v>5</v>
      </c>
      <c r="W79" s="52">
        <v>7</v>
      </c>
      <c r="X79" s="12">
        <v>0</v>
      </c>
      <c r="Y79" s="12">
        <v>0</v>
      </c>
      <c r="Z79" s="12">
        <v>0</v>
      </c>
      <c r="AA79" s="12">
        <v>0</v>
      </c>
      <c r="AC79" s="48">
        <v>5.5208333333357587</v>
      </c>
      <c r="AD79" s="52">
        <v>28</v>
      </c>
      <c r="AE79" s="52">
        <v>6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L79" s="48">
        <v>5.5</v>
      </c>
      <c r="AM79" s="52">
        <v>18</v>
      </c>
      <c r="AN79" s="52">
        <v>15</v>
      </c>
      <c r="AO79" s="52">
        <v>11</v>
      </c>
      <c r="AP79" s="52">
        <v>6</v>
      </c>
      <c r="AQ79" s="12">
        <v>0</v>
      </c>
      <c r="AR79" s="12">
        <v>0</v>
      </c>
      <c r="AS79" s="12">
        <v>0</v>
      </c>
      <c r="AU79" s="49">
        <v>5.6666666666715173</v>
      </c>
      <c r="AV79" s="52">
        <v>34</v>
      </c>
      <c r="AW79" s="52">
        <v>16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D79" s="48">
        <v>1.1666666666642413</v>
      </c>
      <c r="BE79" s="52">
        <v>48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</row>
    <row r="80" spans="2:63" x14ac:dyDescent="0.3">
      <c r="B80" s="49">
        <v>18</v>
      </c>
      <c r="C80" s="52">
        <v>38</v>
      </c>
      <c r="D80" s="52">
        <v>12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K80" s="49">
        <v>18</v>
      </c>
      <c r="L80" s="59">
        <v>9</v>
      </c>
      <c r="M80" s="59">
        <v>11</v>
      </c>
      <c r="N80" s="59">
        <v>7</v>
      </c>
      <c r="O80" s="2">
        <v>0</v>
      </c>
      <c r="P80" s="2">
        <v>0</v>
      </c>
      <c r="Q80" s="2">
        <v>0</v>
      </c>
      <c r="R80" s="2">
        <v>0</v>
      </c>
      <c r="T80" s="48">
        <v>18</v>
      </c>
      <c r="U80" s="52">
        <v>1</v>
      </c>
      <c r="V80" s="52">
        <v>5</v>
      </c>
      <c r="W80" s="52">
        <v>7</v>
      </c>
      <c r="X80" s="12">
        <v>0</v>
      </c>
      <c r="Y80" s="12">
        <v>0</v>
      </c>
      <c r="Z80" s="12">
        <v>0</v>
      </c>
      <c r="AA80" s="12">
        <v>0</v>
      </c>
      <c r="AC80" s="48">
        <v>5.9583333333357587</v>
      </c>
      <c r="AD80" s="52">
        <v>28</v>
      </c>
      <c r="AE80" s="52">
        <v>6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L80" s="48">
        <v>6</v>
      </c>
      <c r="AM80" s="52">
        <v>18</v>
      </c>
      <c r="AN80" s="52">
        <v>15</v>
      </c>
      <c r="AO80" s="52">
        <v>11</v>
      </c>
      <c r="AP80" s="52">
        <v>6</v>
      </c>
      <c r="AQ80" s="12">
        <v>0</v>
      </c>
      <c r="AR80" s="12">
        <v>0</v>
      </c>
      <c r="AS80" s="12">
        <v>0</v>
      </c>
      <c r="AU80" s="49">
        <v>5.9791666666715173</v>
      </c>
      <c r="AV80" s="52">
        <v>34</v>
      </c>
      <c r="AW80" s="52">
        <v>16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D80" s="48">
        <v>1.2083333333357587</v>
      </c>
      <c r="BE80" s="52">
        <v>48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</row>
    <row r="81" spans="11:63" x14ac:dyDescent="0.3">
      <c r="K81" s="49">
        <v>19</v>
      </c>
      <c r="L81" s="59">
        <v>9</v>
      </c>
      <c r="M81" s="59">
        <v>11</v>
      </c>
      <c r="N81" s="59">
        <v>7</v>
      </c>
      <c r="O81" s="2">
        <v>0</v>
      </c>
      <c r="P81" s="2">
        <v>0</v>
      </c>
      <c r="Q81" s="2">
        <v>0</v>
      </c>
      <c r="R81" s="2">
        <v>0</v>
      </c>
      <c r="T81" s="48">
        <v>19</v>
      </c>
      <c r="U81" s="52">
        <v>1</v>
      </c>
      <c r="V81" s="52">
        <v>5</v>
      </c>
      <c r="W81" s="52">
        <v>7</v>
      </c>
      <c r="X81" s="12">
        <v>0</v>
      </c>
      <c r="Y81" s="12">
        <v>0</v>
      </c>
      <c r="Z81" s="12">
        <v>0</v>
      </c>
      <c r="AA81" s="12">
        <v>0</v>
      </c>
      <c r="AC81" s="48">
        <v>6.2708333333357587</v>
      </c>
      <c r="AD81" s="52">
        <v>28</v>
      </c>
      <c r="AE81" s="52">
        <v>6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L81" s="48">
        <v>6.2708333333284827</v>
      </c>
      <c r="AM81" s="52">
        <v>18</v>
      </c>
      <c r="AN81" s="52">
        <v>15</v>
      </c>
      <c r="AO81" s="52">
        <v>11</v>
      </c>
      <c r="AP81" s="52">
        <v>6</v>
      </c>
      <c r="AQ81" s="12">
        <v>0</v>
      </c>
      <c r="AR81" s="12">
        <v>0</v>
      </c>
      <c r="AS81" s="12">
        <v>0</v>
      </c>
      <c r="AU81" s="49">
        <v>6.2291666666715173</v>
      </c>
      <c r="AV81" s="52">
        <v>34</v>
      </c>
      <c r="AW81" s="52">
        <v>16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D81" s="48">
        <v>1.25</v>
      </c>
      <c r="BE81" s="52">
        <v>48</v>
      </c>
      <c r="BF81" s="52">
        <v>1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</row>
    <row r="82" spans="11:63" x14ac:dyDescent="0.3">
      <c r="K82" s="49">
        <v>20</v>
      </c>
      <c r="L82" s="59">
        <v>9</v>
      </c>
      <c r="M82" s="59">
        <v>11</v>
      </c>
      <c r="N82" s="59">
        <v>7</v>
      </c>
      <c r="O82" s="2">
        <v>0</v>
      </c>
      <c r="P82" s="2">
        <v>0</v>
      </c>
      <c r="Q82" s="2">
        <v>0</v>
      </c>
      <c r="R82" s="2">
        <v>0</v>
      </c>
      <c r="T82" s="48">
        <v>20</v>
      </c>
      <c r="U82" s="52">
        <v>1</v>
      </c>
      <c r="V82" s="52">
        <v>5</v>
      </c>
      <c r="W82" s="52">
        <v>7</v>
      </c>
      <c r="X82" s="12">
        <v>0</v>
      </c>
      <c r="Y82" s="12">
        <v>0</v>
      </c>
      <c r="Z82" s="12">
        <v>0</v>
      </c>
      <c r="AA82" s="12">
        <v>0</v>
      </c>
      <c r="AC82" s="48">
        <v>6.5208333333357587</v>
      </c>
      <c r="AD82" s="52">
        <v>28</v>
      </c>
      <c r="AE82" s="52">
        <v>6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L82" s="48">
        <v>6.5</v>
      </c>
      <c r="AM82" s="52">
        <v>18</v>
      </c>
      <c r="AN82" s="52">
        <v>15</v>
      </c>
      <c r="AO82" s="52">
        <v>11</v>
      </c>
      <c r="AP82" s="52">
        <v>6</v>
      </c>
      <c r="AQ82" s="12">
        <v>0</v>
      </c>
      <c r="AR82" s="12">
        <v>0</v>
      </c>
      <c r="AS82" s="12">
        <v>0</v>
      </c>
      <c r="AU82" s="49">
        <v>6.6666666666715173</v>
      </c>
      <c r="AV82" s="52">
        <v>34</v>
      </c>
      <c r="AW82" s="52">
        <v>16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D82" s="48">
        <v>1.6666666666642413</v>
      </c>
      <c r="BE82" s="52">
        <v>48</v>
      </c>
      <c r="BF82" s="52">
        <v>1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</row>
    <row r="83" spans="11:63" x14ac:dyDescent="0.3">
      <c r="K83" s="49">
        <v>21</v>
      </c>
      <c r="L83" s="59">
        <v>9</v>
      </c>
      <c r="M83" s="59">
        <v>11</v>
      </c>
      <c r="N83" s="59">
        <v>7</v>
      </c>
      <c r="O83" s="2">
        <v>0</v>
      </c>
      <c r="P83" s="2">
        <v>0</v>
      </c>
      <c r="Q83" s="2">
        <v>0</v>
      </c>
      <c r="R83" s="2">
        <v>0</v>
      </c>
      <c r="T83" s="48">
        <v>21</v>
      </c>
      <c r="U83" s="52">
        <v>1</v>
      </c>
      <c r="V83" s="52">
        <v>5</v>
      </c>
      <c r="W83" s="52">
        <v>7</v>
      </c>
      <c r="X83" s="12">
        <v>0</v>
      </c>
      <c r="Y83" s="12">
        <v>0</v>
      </c>
      <c r="Z83" s="12">
        <v>0</v>
      </c>
      <c r="AA83" s="12">
        <v>0</v>
      </c>
      <c r="AC83" s="48">
        <v>6.9791666666642413</v>
      </c>
      <c r="AD83" s="52">
        <v>28</v>
      </c>
      <c r="AE83" s="52">
        <v>6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L83" s="48">
        <v>7</v>
      </c>
      <c r="AM83" s="52">
        <v>18</v>
      </c>
      <c r="AN83" s="52">
        <v>15</v>
      </c>
      <c r="AO83" s="52">
        <v>11</v>
      </c>
      <c r="AP83" s="52">
        <v>6</v>
      </c>
      <c r="AQ83" s="12">
        <v>0</v>
      </c>
      <c r="AR83" s="12">
        <v>0</v>
      </c>
      <c r="AS83" s="12">
        <v>0</v>
      </c>
      <c r="AU83" s="49">
        <v>7.0208333333357587</v>
      </c>
      <c r="AV83" s="52">
        <v>34</v>
      </c>
      <c r="AW83" s="52">
        <v>16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D83" s="48">
        <v>1.7083333333357587</v>
      </c>
      <c r="BE83" s="52">
        <v>48</v>
      </c>
      <c r="BF83" s="52">
        <v>1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</row>
    <row r="84" spans="11:63" x14ac:dyDescent="0.3">
      <c r="K84" s="49">
        <v>22</v>
      </c>
      <c r="L84" s="59">
        <v>9</v>
      </c>
      <c r="M84" s="59">
        <v>11</v>
      </c>
      <c r="N84" s="59">
        <v>7</v>
      </c>
      <c r="O84" s="2">
        <v>0</v>
      </c>
      <c r="P84" s="2">
        <v>0</v>
      </c>
      <c r="Q84" s="2">
        <v>0</v>
      </c>
      <c r="R84" s="2">
        <v>0</v>
      </c>
      <c r="T84" s="48">
        <v>22</v>
      </c>
      <c r="U84" s="52">
        <v>1</v>
      </c>
      <c r="V84" s="52">
        <v>5</v>
      </c>
      <c r="W84" s="52">
        <v>7</v>
      </c>
      <c r="X84" s="12">
        <v>0</v>
      </c>
      <c r="Y84" s="12">
        <v>0</v>
      </c>
      <c r="Z84" s="12">
        <v>0</v>
      </c>
      <c r="AA84" s="12">
        <v>0</v>
      </c>
      <c r="AC84" s="48">
        <v>7.3125</v>
      </c>
      <c r="AD84" s="52">
        <v>28</v>
      </c>
      <c r="AE84" s="52">
        <v>6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L84" s="48">
        <v>7.2916666666642413</v>
      </c>
      <c r="AM84" s="52">
        <v>18</v>
      </c>
      <c r="AN84" s="52">
        <v>15</v>
      </c>
      <c r="AO84" s="52">
        <v>11</v>
      </c>
      <c r="AP84" s="52">
        <v>6</v>
      </c>
      <c r="AQ84" s="12">
        <v>0</v>
      </c>
      <c r="AR84" s="12">
        <v>0</v>
      </c>
      <c r="AS84" s="12">
        <v>0</v>
      </c>
      <c r="AU84" s="49">
        <v>7.2291666666715173</v>
      </c>
      <c r="AV84" s="52">
        <v>34</v>
      </c>
      <c r="AW84" s="52">
        <v>16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D84" s="48">
        <v>1.75</v>
      </c>
      <c r="BE84" s="52">
        <v>48</v>
      </c>
      <c r="BF84" s="52">
        <v>1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</row>
    <row r="85" spans="11:63" x14ac:dyDescent="0.3">
      <c r="K85" s="49">
        <v>23</v>
      </c>
      <c r="L85" s="59">
        <v>9</v>
      </c>
      <c r="M85" s="59">
        <v>11</v>
      </c>
      <c r="N85" s="59">
        <v>7</v>
      </c>
      <c r="O85" s="2">
        <v>0</v>
      </c>
      <c r="P85" s="2">
        <v>0</v>
      </c>
      <c r="Q85" s="2">
        <v>0</v>
      </c>
      <c r="R85" s="2">
        <v>0</v>
      </c>
      <c r="T85" s="48">
        <v>23</v>
      </c>
      <c r="U85" s="52">
        <v>1</v>
      </c>
      <c r="V85" s="52">
        <v>5</v>
      </c>
      <c r="W85" s="52">
        <v>7</v>
      </c>
      <c r="X85" s="12">
        <v>0</v>
      </c>
      <c r="Y85" s="12">
        <v>0</v>
      </c>
      <c r="Z85" s="12">
        <v>0</v>
      </c>
      <c r="AA85" s="12">
        <v>0</v>
      </c>
      <c r="AC85" s="48">
        <v>7.5</v>
      </c>
      <c r="AD85" s="52">
        <v>28</v>
      </c>
      <c r="AE85" s="52">
        <v>6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L85" s="48">
        <v>7.5</v>
      </c>
      <c r="AM85" s="52">
        <v>18</v>
      </c>
      <c r="AN85" s="52">
        <v>15</v>
      </c>
      <c r="AO85" s="52">
        <v>11</v>
      </c>
      <c r="AP85" s="52">
        <v>6</v>
      </c>
      <c r="AQ85" s="12">
        <v>0</v>
      </c>
      <c r="AR85" s="12">
        <v>0</v>
      </c>
      <c r="AS85" s="12">
        <v>0</v>
      </c>
      <c r="AU85" s="48">
        <v>7.6875</v>
      </c>
      <c r="AV85" s="52">
        <v>34</v>
      </c>
      <c r="AW85" s="52">
        <v>16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D85" s="48">
        <v>1.7916666666642413</v>
      </c>
      <c r="BE85" s="52">
        <v>48</v>
      </c>
      <c r="BF85" s="52">
        <v>1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</row>
    <row r="86" spans="11:63" x14ac:dyDescent="0.3">
      <c r="K86" s="49">
        <v>24</v>
      </c>
      <c r="L86" s="59">
        <v>9</v>
      </c>
      <c r="M86" s="59">
        <v>11</v>
      </c>
      <c r="N86" s="59">
        <v>7</v>
      </c>
      <c r="O86" s="2">
        <v>0</v>
      </c>
      <c r="P86" s="2">
        <v>0</v>
      </c>
      <c r="Q86" s="2">
        <v>0</v>
      </c>
      <c r="R86" s="2">
        <v>0</v>
      </c>
      <c r="T86" s="48">
        <v>24</v>
      </c>
      <c r="U86" s="52">
        <v>1</v>
      </c>
      <c r="V86" s="52">
        <v>5</v>
      </c>
      <c r="W86" s="52">
        <v>7</v>
      </c>
      <c r="X86" s="12">
        <v>0</v>
      </c>
      <c r="Y86" s="12">
        <v>0</v>
      </c>
      <c r="Z86" s="12">
        <v>0</v>
      </c>
      <c r="AA86" s="12">
        <v>0</v>
      </c>
      <c r="AC86" s="48">
        <v>7.9375</v>
      </c>
      <c r="AD86" s="52">
        <v>28</v>
      </c>
      <c r="AE86" s="52">
        <v>6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L86" s="48">
        <v>8</v>
      </c>
      <c r="AM86" s="52">
        <v>18</v>
      </c>
      <c r="AN86" s="52">
        <v>15</v>
      </c>
      <c r="AO86" s="52">
        <v>11</v>
      </c>
      <c r="AP86" s="52">
        <v>6</v>
      </c>
      <c r="AQ86" s="12">
        <v>0</v>
      </c>
      <c r="AR86" s="12">
        <v>0</v>
      </c>
      <c r="AS86" s="12">
        <v>0</v>
      </c>
      <c r="AU86" s="48">
        <v>7.9791666666715173</v>
      </c>
      <c r="AV86" s="52">
        <v>34</v>
      </c>
      <c r="AW86" s="52">
        <v>16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D86" s="48">
        <v>1.8333333333357587</v>
      </c>
      <c r="BE86" s="52">
        <v>48</v>
      </c>
      <c r="BF86" s="52">
        <v>2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</row>
    <row r="87" spans="11:63" x14ac:dyDescent="0.3">
      <c r="K87" s="49">
        <v>25</v>
      </c>
      <c r="L87" s="59">
        <v>9</v>
      </c>
      <c r="M87" s="59">
        <v>11</v>
      </c>
      <c r="N87" s="59">
        <v>7</v>
      </c>
      <c r="O87" s="2">
        <v>0</v>
      </c>
      <c r="P87" s="2">
        <v>0</v>
      </c>
      <c r="Q87" s="2">
        <v>0</v>
      </c>
      <c r="R87" s="2">
        <v>0</v>
      </c>
      <c r="T87" s="48">
        <v>25</v>
      </c>
      <c r="U87" s="52">
        <v>1</v>
      </c>
      <c r="V87" s="52">
        <v>5</v>
      </c>
      <c r="W87" s="52">
        <v>7</v>
      </c>
      <c r="X87" s="12">
        <v>0</v>
      </c>
      <c r="Y87" s="12">
        <v>0</v>
      </c>
      <c r="Z87" s="12">
        <v>0</v>
      </c>
      <c r="AA87" s="12">
        <v>0</v>
      </c>
      <c r="AC87" s="48">
        <v>8.2708333333357587</v>
      </c>
      <c r="AD87" s="52">
        <v>28</v>
      </c>
      <c r="AE87" s="52">
        <v>6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L87" s="48">
        <v>8.2916666666642413</v>
      </c>
      <c r="AM87" s="52">
        <v>18</v>
      </c>
      <c r="AN87" s="52">
        <v>15</v>
      </c>
      <c r="AO87" s="52">
        <v>11</v>
      </c>
      <c r="AP87" s="52">
        <v>6</v>
      </c>
      <c r="AQ87" s="12">
        <v>0</v>
      </c>
      <c r="AR87" s="12">
        <v>0</v>
      </c>
      <c r="AS87" s="12">
        <v>0</v>
      </c>
      <c r="AU87" s="48">
        <v>8.2291666666715173</v>
      </c>
      <c r="AV87" s="52">
        <v>34</v>
      </c>
      <c r="AW87" s="52">
        <v>16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D87" s="48">
        <v>1.875</v>
      </c>
      <c r="BE87" s="52">
        <v>48</v>
      </c>
      <c r="BF87" s="52">
        <v>2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</row>
    <row r="88" spans="11:63" x14ac:dyDescent="0.3">
      <c r="K88" s="49">
        <v>26</v>
      </c>
      <c r="L88" s="59">
        <v>9</v>
      </c>
      <c r="M88" s="59">
        <v>11</v>
      </c>
      <c r="N88" s="59">
        <v>7</v>
      </c>
      <c r="O88" s="2">
        <v>0</v>
      </c>
      <c r="P88" s="2">
        <v>0</v>
      </c>
      <c r="Q88" s="2">
        <v>0</v>
      </c>
      <c r="R88" s="2">
        <v>0</v>
      </c>
      <c r="T88" s="48">
        <v>26</v>
      </c>
      <c r="U88" s="52">
        <v>1</v>
      </c>
      <c r="V88" s="52">
        <v>5</v>
      </c>
      <c r="W88" s="52">
        <v>7</v>
      </c>
      <c r="X88" s="12">
        <v>0</v>
      </c>
      <c r="Y88" s="12">
        <v>0</v>
      </c>
      <c r="Z88" s="12">
        <v>0</v>
      </c>
      <c r="AA88" s="12">
        <v>0</v>
      </c>
      <c r="AC88" s="48">
        <v>8.5208333333357587</v>
      </c>
      <c r="AD88" s="52">
        <v>28</v>
      </c>
      <c r="AE88" s="52">
        <v>6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L88" s="48">
        <v>8.5</v>
      </c>
      <c r="AM88" s="52">
        <v>18</v>
      </c>
      <c r="AN88" s="52">
        <v>15</v>
      </c>
      <c r="AO88" s="52">
        <v>11</v>
      </c>
      <c r="AP88" s="52">
        <v>6</v>
      </c>
      <c r="AQ88" s="12">
        <v>0</v>
      </c>
      <c r="AR88" s="12">
        <v>0</v>
      </c>
      <c r="AS88" s="12">
        <v>0</v>
      </c>
      <c r="AU88" s="48">
        <v>8.6875</v>
      </c>
      <c r="AV88" s="52">
        <v>34</v>
      </c>
      <c r="AW88" s="52">
        <v>16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</row>
    <row r="89" spans="11:63" x14ac:dyDescent="0.3">
      <c r="K89" s="49">
        <v>27</v>
      </c>
      <c r="L89" s="59">
        <v>9</v>
      </c>
      <c r="M89" s="59">
        <v>11</v>
      </c>
      <c r="N89" s="59">
        <v>7</v>
      </c>
      <c r="O89" s="2">
        <v>0</v>
      </c>
      <c r="P89" s="2">
        <v>0</v>
      </c>
      <c r="Q89" s="2">
        <v>0</v>
      </c>
      <c r="R89" s="2">
        <v>0</v>
      </c>
      <c r="T89" s="48">
        <v>27</v>
      </c>
      <c r="U89" s="52">
        <v>1</v>
      </c>
      <c r="V89" s="52">
        <v>5</v>
      </c>
      <c r="W89" s="52">
        <v>7</v>
      </c>
      <c r="X89" s="12">
        <v>0</v>
      </c>
      <c r="Y89" s="52">
        <v>2</v>
      </c>
      <c r="Z89" s="12">
        <v>0</v>
      </c>
      <c r="AA89" s="12">
        <v>0</v>
      </c>
      <c r="AC89" s="48">
        <v>8.9375</v>
      </c>
      <c r="AD89" s="52">
        <v>28</v>
      </c>
      <c r="AE89" s="52">
        <v>6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L89" s="48">
        <v>9</v>
      </c>
      <c r="AM89" s="52">
        <v>18</v>
      </c>
      <c r="AN89" s="52">
        <v>15</v>
      </c>
      <c r="AO89" s="52">
        <v>11</v>
      </c>
      <c r="AP89" s="52">
        <v>6</v>
      </c>
      <c r="AQ89" s="12">
        <v>0</v>
      </c>
      <c r="AR89" s="12">
        <v>0</v>
      </c>
      <c r="AS89" s="12">
        <v>0</v>
      </c>
      <c r="AU89" s="48">
        <v>8.9791666666715173</v>
      </c>
      <c r="AV89" s="52">
        <v>34</v>
      </c>
      <c r="AW89" s="52">
        <v>16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</row>
    <row r="90" spans="11:63" x14ac:dyDescent="0.3">
      <c r="K90" s="49">
        <v>28</v>
      </c>
      <c r="L90" s="59">
        <v>9</v>
      </c>
      <c r="M90" s="59">
        <v>11</v>
      </c>
      <c r="N90" s="59">
        <v>7</v>
      </c>
      <c r="O90" s="2">
        <v>0</v>
      </c>
      <c r="P90" s="2">
        <v>0</v>
      </c>
      <c r="Q90" s="2">
        <v>0</v>
      </c>
      <c r="R90" s="2">
        <v>0</v>
      </c>
      <c r="T90" s="48">
        <v>28</v>
      </c>
      <c r="U90" s="52">
        <v>1</v>
      </c>
      <c r="V90" s="52">
        <v>5</v>
      </c>
      <c r="W90" s="52">
        <v>7</v>
      </c>
      <c r="X90" s="12">
        <v>0</v>
      </c>
      <c r="Y90" s="52">
        <v>7</v>
      </c>
      <c r="Z90" s="12">
        <v>0</v>
      </c>
      <c r="AA90" s="12">
        <v>0</v>
      </c>
      <c r="AC90" s="48">
        <v>9.2708333333357587</v>
      </c>
      <c r="AD90" s="52">
        <v>28</v>
      </c>
      <c r="AE90" s="52">
        <v>6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L90" s="48">
        <v>9.2916666666642413</v>
      </c>
      <c r="AM90" s="52">
        <v>18</v>
      </c>
      <c r="AN90" s="52">
        <v>15</v>
      </c>
      <c r="AO90" s="52">
        <v>11</v>
      </c>
      <c r="AP90" s="52">
        <v>6</v>
      </c>
      <c r="AQ90" s="12">
        <v>0</v>
      </c>
      <c r="AR90" s="12">
        <v>0</v>
      </c>
      <c r="AS90" s="12">
        <v>0</v>
      </c>
      <c r="AU90" s="48">
        <v>9.2291666666715173</v>
      </c>
      <c r="AV90" s="52">
        <v>34</v>
      </c>
      <c r="AW90" s="52">
        <v>16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</row>
    <row r="91" spans="11:63" x14ac:dyDescent="0.3">
      <c r="K91" s="49">
        <v>29</v>
      </c>
      <c r="L91" s="59">
        <v>9</v>
      </c>
      <c r="M91" s="59">
        <v>11</v>
      </c>
      <c r="N91" s="59">
        <v>7</v>
      </c>
      <c r="O91" s="2">
        <v>0</v>
      </c>
      <c r="P91" s="2">
        <v>0</v>
      </c>
      <c r="Q91" s="2">
        <v>0</v>
      </c>
      <c r="R91" s="2">
        <v>0</v>
      </c>
      <c r="T91" s="48">
        <v>29</v>
      </c>
      <c r="U91" s="52">
        <v>1</v>
      </c>
      <c r="V91" s="52">
        <v>5</v>
      </c>
      <c r="W91" s="52">
        <v>7</v>
      </c>
      <c r="X91" s="12">
        <v>0</v>
      </c>
      <c r="Y91" s="52">
        <v>7</v>
      </c>
      <c r="Z91" s="12">
        <v>0</v>
      </c>
      <c r="AA91" s="12">
        <v>0</v>
      </c>
      <c r="AC91" s="48">
        <v>9.5208333333357587</v>
      </c>
      <c r="AD91" s="52">
        <v>28</v>
      </c>
      <c r="AE91" s="52">
        <v>6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L91" s="48">
        <v>9.5</v>
      </c>
      <c r="AM91" s="52">
        <v>18</v>
      </c>
      <c r="AN91" s="52">
        <v>15</v>
      </c>
      <c r="AO91" s="52">
        <v>11</v>
      </c>
      <c r="AP91" s="52">
        <v>6</v>
      </c>
      <c r="AQ91" s="12">
        <v>0</v>
      </c>
      <c r="AR91" s="12">
        <v>0</v>
      </c>
      <c r="AS91" s="12">
        <v>0</v>
      </c>
      <c r="AU91" s="48">
        <v>9.6875</v>
      </c>
      <c r="AV91" s="52">
        <v>34</v>
      </c>
      <c r="AW91" s="52">
        <v>16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</row>
    <row r="92" spans="11:63" x14ac:dyDescent="0.3">
      <c r="K92" s="49">
        <v>30</v>
      </c>
      <c r="L92" s="59">
        <v>9</v>
      </c>
      <c r="M92" s="59">
        <v>11</v>
      </c>
      <c r="N92" s="59">
        <v>7</v>
      </c>
      <c r="O92" s="2">
        <v>0</v>
      </c>
      <c r="P92" s="2">
        <v>0</v>
      </c>
      <c r="Q92" s="2">
        <v>0</v>
      </c>
      <c r="R92" s="2">
        <v>0</v>
      </c>
      <c r="AC92" s="48">
        <v>9.9791666666642413</v>
      </c>
      <c r="AD92" s="52">
        <v>28</v>
      </c>
      <c r="AE92" s="52">
        <v>6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L92" s="48">
        <v>10</v>
      </c>
      <c r="AM92" s="52">
        <v>18</v>
      </c>
      <c r="AN92" s="52">
        <v>15</v>
      </c>
      <c r="AO92" s="52">
        <v>11</v>
      </c>
      <c r="AP92" s="52">
        <v>6</v>
      </c>
      <c r="AQ92" s="12">
        <v>0</v>
      </c>
      <c r="AR92" s="12">
        <v>0</v>
      </c>
      <c r="AS92" s="12">
        <v>0</v>
      </c>
      <c r="AU92" s="48">
        <v>9.9791666666715173</v>
      </c>
      <c r="AV92" s="52">
        <v>34</v>
      </c>
      <c r="AW92" s="52">
        <v>16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</row>
    <row r="93" spans="11:63" x14ac:dyDescent="0.3">
      <c r="K93" s="49">
        <v>31</v>
      </c>
      <c r="L93" s="59">
        <v>9</v>
      </c>
      <c r="M93" s="59">
        <v>11</v>
      </c>
      <c r="N93" s="59">
        <v>7</v>
      </c>
      <c r="O93" s="2">
        <v>0</v>
      </c>
      <c r="P93" s="2">
        <v>0</v>
      </c>
      <c r="Q93" s="2">
        <v>0</v>
      </c>
      <c r="R93" s="2">
        <v>0</v>
      </c>
      <c r="AC93" s="48">
        <v>10.270833333335759</v>
      </c>
      <c r="AD93" s="52">
        <v>28</v>
      </c>
      <c r="AE93" s="52">
        <v>6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L93" s="48">
        <v>10.291666666664241</v>
      </c>
      <c r="AM93" s="52">
        <v>18</v>
      </c>
      <c r="AN93" s="52">
        <v>15</v>
      </c>
      <c r="AO93" s="52">
        <v>11</v>
      </c>
      <c r="AP93" s="52">
        <v>6</v>
      </c>
      <c r="AQ93" s="12">
        <v>0</v>
      </c>
      <c r="AR93" s="12">
        <v>0</v>
      </c>
      <c r="AS93" s="12">
        <v>0</v>
      </c>
      <c r="AU93" s="48">
        <v>10.1875</v>
      </c>
      <c r="AV93" s="52">
        <v>34</v>
      </c>
      <c r="AW93" s="52">
        <v>16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</row>
    <row r="94" spans="11:63" x14ac:dyDescent="0.3">
      <c r="K94" s="49">
        <v>32</v>
      </c>
      <c r="L94" s="59">
        <v>9</v>
      </c>
      <c r="M94" s="59">
        <v>11</v>
      </c>
      <c r="N94" s="59">
        <v>7</v>
      </c>
      <c r="O94" s="2">
        <v>0</v>
      </c>
      <c r="P94" s="2">
        <v>0</v>
      </c>
      <c r="Q94" s="2">
        <v>0</v>
      </c>
      <c r="R94" s="2">
        <v>0</v>
      </c>
      <c r="AC94" s="48">
        <v>10.520833333335759</v>
      </c>
      <c r="AD94" s="52">
        <v>28</v>
      </c>
      <c r="AE94" s="52">
        <v>6</v>
      </c>
      <c r="AF94" s="12">
        <v>0</v>
      </c>
      <c r="AG94" s="12">
        <v>0</v>
      </c>
      <c r="AH94" s="52">
        <v>1</v>
      </c>
      <c r="AI94" s="12">
        <v>0</v>
      </c>
      <c r="AJ94" s="12">
        <v>0</v>
      </c>
      <c r="AL94" s="48">
        <v>10.5</v>
      </c>
      <c r="AM94" s="52">
        <v>18</v>
      </c>
      <c r="AN94" s="52">
        <v>15</v>
      </c>
      <c r="AO94" s="52">
        <v>11</v>
      </c>
      <c r="AP94" s="52">
        <v>6</v>
      </c>
      <c r="AQ94" s="12">
        <v>0</v>
      </c>
      <c r="AR94" s="12">
        <v>0</v>
      </c>
      <c r="AS94" s="12">
        <v>0</v>
      </c>
    </row>
    <row r="95" spans="11:63" x14ac:dyDescent="0.3">
      <c r="K95" s="49">
        <v>33</v>
      </c>
      <c r="L95" s="59">
        <v>9</v>
      </c>
      <c r="M95" s="59">
        <v>11</v>
      </c>
      <c r="N95" s="59">
        <v>7</v>
      </c>
      <c r="O95" s="2">
        <v>0</v>
      </c>
      <c r="P95" s="2">
        <v>0</v>
      </c>
      <c r="Q95" s="2">
        <v>0</v>
      </c>
      <c r="R95" s="2">
        <v>0</v>
      </c>
      <c r="AC95" s="48">
        <v>10.979166666664241</v>
      </c>
      <c r="AD95" s="52">
        <v>28</v>
      </c>
      <c r="AE95" s="52">
        <v>6</v>
      </c>
      <c r="AF95" s="12">
        <v>0</v>
      </c>
      <c r="AG95" s="12">
        <v>0</v>
      </c>
      <c r="AH95" s="52">
        <v>1</v>
      </c>
      <c r="AI95" s="12">
        <v>0</v>
      </c>
      <c r="AJ95" s="12">
        <v>0</v>
      </c>
      <c r="AL95" s="48">
        <v>11</v>
      </c>
      <c r="AM95" s="52">
        <v>18</v>
      </c>
      <c r="AN95" s="52">
        <v>15</v>
      </c>
      <c r="AO95" s="52">
        <v>11</v>
      </c>
      <c r="AP95" s="52">
        <v>6</v>
      </c>
      <c r="AQ95" s="12">
        <v>0</v>
      </c>
      <c r="AR95" s="12">
        <v>0</v>
      </c>
      <c r="AS95" s="12">
        <v>0</v>
      </c>
    </row>
    <row r="96" spans="11:63" x14ac:dyDescent="0.3">
      <c r="K96" s="49">
        <v>34</v>
      </c>
      <c r="L96" s="59">
        <v>9</v>
      </c>
      <c r="M96" s="59">
        <v>11</v>
      </c>
      <c r="N96" s="59">
        <v>7</v>
      </c>
      <c r="O96" s="2">
        <v>0</v>
      </c>
      <c r="P96" s="2">
        <v>0</v>
      </c>
      <c r="Q96" s="2">
        <v>0</v>
      </c>
      <c r="R96" s="2">
        <v>0</v>
      </c>
      <c r="AL96" s="48">
        <v>11.291666666664241</v>
      </c>
      <c r="AM96" s="52">
        <v>18</v>
      </c>
      <c r="AN96" s="52">
        <v>15</v>
      </c>
      <c r="AO96" s="52">
        <v>11</v>
      </c>
      <c r="AP96" s="52">
        <v>6</v>
      </c>
      <c r="AQ96" s="12">
        <v>0</v>
      </c>
      <c r="AR96" s="12">
        <v>0</v>
      </c>
      <c r="AS96" s="12">
        <v>0</v>
      </c>
    </row>
    <row r="97" spans="11:45" x14ac:dyDescent="0.3">
      <c r="K97" s="49">
        <v>35</v>
      </c>
      <c r="L97" s="59">
        <v>9</v>
      </c>
      <c r="M97" s="59">
        <v>11</v>
      </c>
      <c r="N97" s="59">
        <v>7</v>
      </c>
      <c r="O97" s="2">
        <v>0</v>
      </c>
      <c r="P97" s="2">
        <v>0</v>
      </c>
      <c r="Q97" s="2">
        <v>0</v>
      </c>
      <c r="R97" s="2">
        <v>0</v>
      </c>
      <c r="AL97" s="48">
        <v>11.5</v>
      </c>
      <c r="AM97" s="52">
        <v>18</v>
      </c>
      <c r="AN97" s="52">
        <v>15</v>
      </c>
      <c r="AO97" s="52">
        <v>11</v>
      </c>
      <c r="AP97" s="52">
        <v>6</v>
      </c>
      <c r="AQ97" s="12">
        <v>0</v>
      </c>
      <c r="AR97" s="12">
        <v>0</v>
      </c>
      <c r="AS97" s="12">
        <v>0</v>
      </c>
    </row>
    <row r="98" spans="11:45" x14ac:dyDescent="0.3">
      <c r="K98" s="49">
        <v>36</v>
      </c>
      <c r="L98" s="59">
        <v>9</v>
      </c>
      <c r="M98" s="59">
        <v>11</v>
      </c>
      <c r="N98" s="59">
        <v>7</v>
      </c>
      <c r="O98" s="2">
        <v>0</v>
      </c>
      <c r="P98" s="2">
        <v>0</v>
      </c>
      <c r="Q98" s="2">
        <v>0</v>
      </c>
      <c r="R98" s="2">
        <v>0</v>
      </c>
      <c r="AL98" s="48">
        <v>12</v>
      </c>
      <c r="AM98" s="52">
        <v>18</v>
      </c>
      <c r="AN98" s="52">
        <v>15</v>
      </c>
      <c r="AO98" s="52">
        <v>11</v>
      </c>
      <c r="AP98" s="52">
        <v>6</v>
      </c>
      <c r="AQ98" s="12">
        <v>0</v>
      </c>
      <c r="AR98" s="12">
        <v>0</v>
      </c>
      <c r="AS98" s="12">
        <v>0</v>
      </c>
    </row>
    <row r="99" spans="11:45" x14ac:dyDescent="0.3">
      <c r="K99" s="49">
        <v>37</v>
      </c>
      <c r="L99" s="59">
        <v>9</v>
      </c>
      <c r="M99" s="59">
        <v>11</v>
      </c>
      <c r="N99" s="59">
        <v>7</v>
      </c>
      <c r="O99" s="2">
        <v>0</v>
      </c>
      <c r="P99" s="2">
        <v>0</v>
      </c>
      <c r="Q99" s="2">
        <v>0</v>
      </c>
      <c r="R99" s="2">
        <v>0</v>
      </c>
      <c r="AL99" s="48">
        <v>12.291666666664241</v>
      </c>
      <c r="AM99" s="52">
        <v>18</v>
      </c>
      <c r="AN99" s="52">
        <v>15</v>
      </c>
      <c r="AO99" s="52">
        <v>11</v>
      </c>
      <c r="AP99" s="52">
        <v>6</v>
      </c>
      <c r="AQ99" s="12">
        <v>0</v>
      </c>
      <c r="AR99" s="12">
        <v>0</v>
      </c>
      <c r="AS99" s="12">
        <v>0</v>
      </c>
    </row>
    <row r="100" spans="11:45" x14ac:dyDescent="0.3">
      <c r="K100" s="49">
        <v>38</v>
      </c>
      <c r="L100" s="59">
        <v>9</v>
      </c>
      <c r="M100" s="59">
        <v>11</v>
      </c>
      <c r="N100" s="59">
        <v>7</v>
      </c>
      <c r="O100" s="2">
        <v>0</v>
      </c>
      <c r="P100" s="2">
        <v>0</v>
      </c>
      <c r="Q100" s="2">
        <v>0</v>
      </c>
      <c r="R100" s="2">
        <v>0</v>
      </c>
      <c r="AL100" s="48">
        <v>12.5</v>
      </c>
      <c r="AM100" s="52">
        <v>18</v>
      </c>
      <c r="AN100" s="52">
        <v>15</v>
      </c>
      <c r="AO100" s="52">
        <v>11</v>
      </c>
      <c r="AP100" s="52">
        <v>6</v>
      </c>
      <c r="AQ100" s="12">
        <v>0</v>
      </c>
      <c r="AR100" s="12">
        <v>0</v>
      </c>
      <c r="AS100" s="12">
        <v>0</v>
      </c>
    </row>
    <row r="101" spans="11:45" x14ac:dyDescent="0.3">
      <c r="K101" s="49">
        <v>39</v>
      </c>
      <c r="L101" s="59">
        <v>9</v>
      </c>
      <c r="M101" s="59">
        <v>11</v>
      </c>
      <c r="N101" s="59">
        <v>7</v>
      </c>
      <c r="O101" s="2">
        <v>0</v>
      </c>
      <c r="P101" s="2">
        <v>0</v>
      </c>
      <c r="Q101" s="2">
        <v>0</v>
      </c>
      <c r="R101" s="2">
        <v>0</v>
      </c>
      <c r="AL101" s="48">
        <v>13</v>
      </c>
      <c r="AM101" s="52">
        <v>18</v>
      </c>
      <c r="AN101" s="52">
        <v>15</v>
      </c>
      <c r="AO101" s="52">
        <v>11</v>
      </c>
      <c r="AP101" s="52">
        <v>6</v>
      </c>
      <c r="AQ101" s="12">
        <v>0</v>
      </c>
      <c r="AR101" s="12">
        <v>0</v>
      </c>
      <c r="AS101" s="12">
        <v>0</v>
      </c>
    </row>
    <row r="102" spans="11:45" x14ac:dyDescent="0.3">
      <c r="K102" s="49">
        <v>40</v>
      </c>
      <c r="L102" s="59">
        <v>9</v>
      </c>
      <c r="M102" s="59">
        <v>11</v>
      </c>
      <c r="N102" s="59">
        <v>7</v>
      </c>
      <c r="O102" s="2">
        <v>0</v>
      </c>
      <c r="P102" s="2">
        <v>0</v>
      </c>
      <c r="Q102" s="2">
        <v>0</v>
      </c>
      <c r="R102" s="2">
        <v>0</v>
      </c>
      <c r="AL102" s="48">
        <v>13.291666666664241</v>
      </c>
      <c r="AM102" s="52">
        <v>18</v>
      </c>
      <c r="AN102" s="52">
        <v>15</v>
      </c>
      <c r="AO102" s="52">
        <v>11</v>
      </c>
      <c r="AP102" s="52">
        <v>6</v>
      </c>
      <c r="AQ102" s="12">
        <v>0</v>
      </c>
      <c r="AR102" s="12">
        <v>0</v>
      </c>
      <c r="AS102" s="12">
        <v>0</v>
      </c>
    </row>
    <row r="103" spans="11:45" x14ac:dyDescent="0.3">
      <c r="K103" s="49">
        <v>41</v>
      </c>
      <c r="L103" s="59">
        <v>9</v>
      </c>
      <c r="M103" s="59">
        <v>11</v>
      </c>
      <c r="N103" s="59">
        <v>7</v>
      </c>
      <c r="O103" s="2">
        <v>0</v>
      </c>
      <c r="P103" s="2">
        <v>0</v>
      </c>
      <c r="Q103" s="2">
        <v>0</v>
      </c>
      <c r="R103" s="2">
        <v>0</v>
      </c>
      <c r="AL103" s="48">
        <v>13.5</v>
      </c>
      <c r="AM103" s="52">
        <v>18</v>
      </c>
      <c r="AN103" s="52">
        <v>15</v>
      </c>
      <c r="AO103" s="52">
        <v>11</v>
      </c>
      <c r="AP103" s="52">
        <v>6</v>
      </c>
      <c r="AQ103" s="12">
        <v>0</v>
      </c>
      <c r="AR103" s="12">
        <v>0</v>
      </c>
      <c r="AS103" s="12">
        <v>0</v>
      </c>
    </row>
    <row r="104" spans="11:45" x14ac:dyDescent="0.3">
      <c r="K104" s="49">
        <v>42</v>
      </c>
      <c r="L104" s="59">
        <v>9</v>
      </c>
      <c r="M104" s="59">
        <v>11</v>
      </c>
      <c r="N104" s="59">
        <v>7</v>
      </c>
      <c r="O104" s="2">
        <v>0</v>
      </c>
      <c r="P104" s="2">
        <v>0</v>
      </c>
      <c r="Q104" s="2">
        <v>0</v>
      </c>
      <c r="R104" s="2">
        <v>0</v>
      </c>
      <c r="AL104" s="48">
        <v>14</v>
      </c>
      <c r="AM104" s="52">
        <v>18</v>
      </c>
      <c r="AN104" s="52">
        <v>15</v>
      </c>
      <c r="AO104" s="52">
        <v>11</v>
      </c>
      <c r="AP104" s="52">
        <v>6</v>
      </c>
      <c r="AQ104" s="12">
        <v>0</v>
      </c>
      <c r="AR104" s="12">
        <v>0</v>
      </c>
      <c r="AS104" s="12">
        <v>0</v>
      </c>
    </row>
    <row r="105" spans="11:45" x14ac:dyDescent="0.3">
      <c r="K105" s="49">
        <v>43</v>
      </c>
      <c r="L105" s="59">
        <v>9</v>
      </c>
      <c r="M105" s="59">
        <v>11</v>
      </c>
      <c r="N105" s="59">
        <v>7</v>
      </c>
      <c r="O105" s="2">
        <v>0</v>
      </c>
      <c r="P105" s="2">
        <v>0</v>
      </c>
      <c r="Q105" s="2">
        <v>0</v>
      </c>
      <c r="R105" s="2">
        <v>0</v>
      </c>
      <c r="AL105" s="48">
        <v>14.291666666664241</v>
      </c>
      <c r="AM105" s="52">
        <v>18</v>
      </c>
      <c r="AN105" s="52">
        <v>15</v>
      </c>
      <c r="AO105" s="52">
        <v>11</v>
      </c>
      <c r="AP105" s="52">
        <v>6</v>
      </c>
      <c r="AQ105" s="12">
        <v>0</v>
      </c>
      <c r="AR105" s="12">
        <v>0</v>
      </c>
      <c r="AS105" s="12">
        <v>0</v>
      </c>
    </row>
    <row r="106" spans="11:45" x14ac:dyDescent="0.3">
      <c r="K106" s="49">
        <v>44</v>
      </c>
      <c r="L106" s="59">
        <v>9</v>
      </c>
      <c r="M106" s="59">
        <v>11</v>
      </c>
      <c r="N106" s="59">
        <v>7</v>
      </c>
      <c r="O106" s="2">
        <v>0</v>
      </c>
      <c r="P106" s="2">
        <v>0</v>
      </c>
      <c r="Q106" s="2">
        <v>0</v>
      </c>
      <c r="R106" s="2">
        <v>0</v>
      </c>
      <c r="AL106" s="48">
        <v>14.5</v>
      </c>
      <c r="AM106" s="52">
        <v>18</v>
      </c>
      <c r="AN106" s="52">
        <v>15</v>
      </c>
      <c r="AO106" s="52">
        <v>11</v>
      </c>
      <c r="AP106" s="52">
        <v>6</v>
      </c>
      <c r="AQ106" s="12">
        <v>0</v>
      </c>
      <c r="AR106" s="12">
        <v>0</v>
      </c>
      <c r="AS106" s="12">
        <v>0</v>
      </c>
    </row>
    <row r="107" spans="11:45" x14ac:dyDescent="0.3">
      <c r="K107" s="49">
        <v>45</v>
      </c>
      <c r="L107" s="59">
        <v>9</v>
      </c>
      <c r="M107" s="59">
        <v>11</v>
      </c>
      <c r="N107" s="59">
        <v>7</v>
      </c>
      <c r="O107" s="2">
        <v>0</v>
      </c>
      <c r="P107" s="2">
        <v>0</v>
      </c>
      <c r="Q107" s="2">
        <v>0</v>
      </c>
      <c r="R107" s="2">
        <v>0</v>
      </c>
      <c r="AL107" s="48">
        <v>15</v>
      </c>
      <c r="AM107" s="52">
        <v>18</v>
      </c>
      <c r="AN107" s="52">
        <v>15</v>
      </c>
      <c r="AO107" s="52">
        <v>11</v>
      </c>
      <c r="AP107" s="52">
        <v>6</v>
      </c>
      <c r="AQ107" s="52">
        <v>2</v>
      </c>
      <c r="AR107" s="12">
        <v>0</v>
      </c>
      <c r="AS107" s="12">
        <v>0</v>
      </c>
    </row>
    <row r="108" spans="11:45" x14ac:dyDescent="0.3">
      <c r="K108" s="49">
        <v>46</v>
      </c>
      <c r="L108" s="59">
        <v>9</v>
      </c>
      <c r="M108" s="59">
        <v>11</v>
      </c>
      <c r="N108" s="59">
        <v>7</v>
      </c>
      <c r="O108" s="2">
        <v>0</v>
      </c>
      <c r="P108" s="2">
        <v>0</v>
      </c>
      <c r="Q108" s="2">
        <v>0</v>
      </c>
      <c r="R108" s="2">
        <v>0</v>
      </c>
    </row>
    <row r="109" spans="11:45" x14ac:dyDescent="0.3">
      <c r="K109" s="49">
        <v>47</v>
      </c>
      <c r="L109" s="59">
        <v>9</v>
      </c>
      <c r="M109" s="59">
        <v>11</v>
      </c>
      <c r="N109" s="59">
        <v>7</v>
      </c>
      <c r="O109" s="2">
        <v>0</v>
      </c>
      <c r="P109" s="2">
        <v>0</v>
      </c>
      <c r="Q109" s="2">
        <v>0</v>
      </c>
      <c r="R109" s="2">
        <v>0</v>
      </c>
    </row>
    <row r="110" spans="11:45" x14ac:dyDescent="0.3">
      <c r="K110" s="49">
        <v>48</v>
      </c>
      <c r="L110" s="59">
        <v>9</v>
      </c>
      <c r="M110" s="59">
        <v>11</v>
      </c>
      <c r="N110" s="59">
        <v>7</v>
      </c>
      <c r="O110" s="2">
        <v>0</v>
      </c>
      <c r="P110" s="2">
        <v>0</v>
      </c>
      <c r="Q110" s="2">
        <v>0</v>
      </c>
      <c r="R110" s="2">
        <v>0</v>
      </c>
    </row>
    <row r="111" spans="11:45" x14ac:dyDescent="0.3">
      <c r="K111" s="49">
        <v>49</v>
      </c>
      <c r="L111" s="59">
        <v>9</v>
      </c>
      <c r="M111" s="59">
        <v>11</v>
      </c>
      <c r="N111" s="59">
        <v>7</v>
      </c>
      <c r="O111" s="2">
        <v>0</v>
      </c>
      <c r="P111" s="2">
        <v>0</v>
      </c>
      <c r="Q111" s="2">
        <v>0</v>
      </c>
      <c r="R111" s="2">
        <v>0</v>
      </c>
    </row>
    <row r="112" spans="11:45" x14ac:dyDescent="0.3">
      <c r="K112" s="49">
        <v>50</v>
      </c>
      <c r="L112" s="59">
        <v>9</v>
      </c>
      <c r="M112" s="59">
        <v>11</v>
      </c>
      <c r="N112" s="59">
        <v>7</v>
      </c>
      <c r="O112" s="2">
        <v>0</v>
      </c>
      <c r="P112" s="2">
        <v>0</v>
      </c>
      <c r="Q112" s="2">
        <v>0</v>
      </c>
      <c r="R112" s="2">
        <v>0</v>
      </c>
    </row>
    <row r="113" spans="11:18" x14ac:dyDescent="0.3">
      <c r="K113" s="49">
        <v>51</v>
      </c>
      <c r="L113" s="59">
        <v>9</v>
      </c>
      <c r="M113" s="59">
        <v>11</v>
      </c>
      <c r="N113" s="59">
        <v>7</v>
      </c>
      <c r="O113" s="2">
        <v>0</v>
      </c>
      <c r="P113" s="2">
        <v>0</v>
      </c>
      <c r="Q113" s="2">
        <v>0</v>
      </c>
      <c r="R113" s="2">
        <v>0</v>
      </c>
    </row>
    <row r="114" spans="11:18" x14ac:dyDescent="0.3">
      <c r="K114" s="49">
        <v>52</v>
      </c>
      <c r="L114" s="59">
        <v>9</v>
      </c>
      <c r="M114" s="59">
        <v>11</v>
      </c>
      <c r="N114" s="59">
        <v>7</v>
      </c>
      <c r="O114" s="2">
        <v>0</v>
      </c>
      <c r="P114" s="2">
        <v>0</v>
      </c>
      <c r="Q114" s="2">
        <v>0</v>
      </c>
      <c r="R114" s="2">
        <v>0</v>
      </c>
    </row>
  </sheetData>
  <mergeCells count="14">
    <mergeCell ref="AV2:BB2"/>
    <mergeCell ref="BE2:BK2"/>
    <mergeCell ref="C60:I60"/>
    <mergeCell ref="L60:R60"/>
    <mergeCell ref="BE60:BK60"/>
    <mergeCell ref="AV60:BB60"/>
    <mergeCell ref="U60:AA60"/>
    <mergeCell ref="AD60:AJ60"/>
    <mergeCell ref="AM60:AS60"/>
    <mergeCell ref="C2:I2"/>
    <mergeCell ref="L2:R2"/>
    <mergeCell ref="U2:AA2"/>
    <mergeCell ref="AD2:AJ2"/>
    <mergeCell ref="AM2:A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7B3B-9BA4-445E-927D-BAB35233E0E3}">
  <dimension ref="A1:BQ65"/>
  <sheetViews>
    <sheetView zoomScale="55" zoomScaleNormal="55" workbookViewId="0">
      <selection activeCell="Z40" sqref="Z40"/>
    </sheetView>
  </sheetViews>
  <sheetFormatPr defaultRowHeight="14.4" x14ac:dyDescent="0.3"/>
  <cols>
    <col min="1" max="2" width="8.88671875" style="1"/>
    <col min="3" max="3" width="14.21875" style="1" bestFit="1" customWidth="1"/>
    <col min="4" max="4" width="13.21875" style="1" bestFit="1" customWidth="1"/>
    <col min="5" max="5" width="20.33203125" style="1" bestFit="1" customWidth="1"/>
    <col min="6" max="6" width="9.77734375" style="7" bestFit="1" customWidth="1"/>
    <col min="7" max="13" width="9.77734375" style="7" customWidth="1"/>
    <col min="14" max="14" width="10" style="7" bestFit="1" customWidth="1"/>
    <col min="15" max="19" width="9.77734375" style="7" customWidth="1"/>
    <col min="20" max="16384" width="8.88671875" style="1"/>
  </cols>
  <sheetData>
    <row r="1" spans="1:69" ht="14.4" customHeight="1" x14ac:dyDescent="0.3">
      <c r="G1" s="29" t="s">
        <v>15</v>
      </c>
      <c r="H1" s="29"/>
      <c r="I1" s="29"/>
      <c r="J1" s="29"/>
      <c r="K1" s="29"/>
      <c r="L1" s="29"/>
      <c r="M1" s="29"/>
      <c r="N1" s="21"/>
      <c r="O1" s="89" t="s">
        <v>16</v>
      </c>
      <c r="P1" s="89"/>
      <c r="Q1" s="89"/>
      <c r="R1" s="89"/>
      <c r="S1" s="89"/>
      <c r="T1" s="90" t="s">
        <v>12</v>
      </c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</row>
    <row r="2" spans="1:69" ht="14.4" customHeight="1" x14ac:dyDescent="0.3">
      <c r="A2" s="8" t="s">
        <v>0</v>
      </c>
      <c r="B2" s="9" t="s">
        <v>6</v>
      </c>
      <c r="C2" s="10" t="s">
        <v>1</v>
      </c>
      <c r="D2" s="10" t="s">
        <v>2</v>
      </c>
      <c r="E2" s="10" t="s">
        <v>7</v>
      </c>
      <c r="F2" s="11" t="s">
        <v>3</v>
      </c>
      <c r="G2" s="14" t="s">
        <v>9</v>
      </c>
      <c r="H2" s="15" t="s">
        <v>5</v>
      </c>
      <c r="I2" s="16" t="s">
        <v>8</v>
      </c>
      <c r="J2" s="17" t="s">
        <v>10</v>
      </c>
      <c r="K2" s="18" t="s">
        <v>11</v>
      </c>
      <c r="L2" s="19" t="s">
        <v>13</v>
      </c>
      <c r="M2" s="20" t="s">
        <v>14</v>
      </c>
      <c r="N2" s="11" t="s">
        <v>3</v>
      </c>
      <c r="O2" s="14" t="s">
        <v>9</v>
      </c>
      <c r="P2" s="15" t="s">
        <v>5</v>
      </c>
      <c r="Q2" s="16" t="s">
        <v>8</v>
      </c>
      <c r="R2" s="17" t="s">
        <v>10</v>
      </c>
      <c r="S2" s="18" t="s">
        <v>11</v>
      </c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</row>
    <row r="3" spans="1:69" x14ac:dyDescent="0.3">
      <c r="A3" s="2">
        <v>84</v>
      </c>
      <c r="B3" s="2">
        <v>1</v>
      </c>
      <c r="C3" s="3">
        <v>44645.708333333336</v>
      </c>
      <c r="D3" s="4">
        <v>0</v>
      </c>
      <c r="E3" s="4">
        <v>0</v>
      </c>
      <c r="F3" s="5">
        <v>0</v>
      </c>
      <c r="G3" s="13">
        <f>COUNTIF(T3:BQ3, "E")</f>
        <v>50</v>
      </c>
      <c r="H3" s="13">
        <f t="shared" ref="H3:H21" si="0">COUNTIF(T3:BQ3, "L1")</f>
        <v>0</v>
      </c>
      <c r="I3" s="13">
        <f>COUNTIF(T3:BQ3, "L2")</f>
        <v>0</v>
      </c>
      <c r="J3" s="13">
        <f>COUNTIF(T3:BQ3,"L3")</f>
        <v>0</v>
      </c>
      <c r="K3" s="13">
        <f>COUNTIF(T3:BQ3, "L2")</f>
        <v>0</v>
      </c>
      <c r="L3" s="13">
        <f t="shared" ref="L3:L21" si="1">COUNTIF(T3:BQ3, "AM")</f>
        <v>0</v>
      </c>
      <c r="M3" s="13">
        <f>COUNTIF(T3:BQ3, "AF")</f>
        <v>0</v>
      </c>
      <c r="N3" s="5">
        <v>0</v>
      </c>
      <c r="O3" s="13">
        <f t="shared" ref="O3:O21" si="2">COUNTIF(T3:BQ3, "E_D")</f>
        <v>0</v>
      </c>
      <c r="P3" s="13">
        <f t="shared" ref="P3:P21" si="3">COUNTIF(T3:BQ3, "L1_D")</f>
        <v>0</v>
      </c>
      <c r="Q3" s="13">
        <f>COUNTIF(T3:BQ3, "L2_D")</f>
        <v>0</v>
      </c>
      <c r="R3" s="13">
        <f>COUNTIF($T3:$BQ3, "L3_D")</f>
        <v>0</v>
      </c>
      <c r="S3" s="13">
        <f>COUNTIF($T3:$BQ3, "P_D")</f>
        <v>0</v>
      </c>
      <c r="T3" s="13" t="s">
        <v>4</v>
      </c>
      <c r="U3" s="13" t="s">
        <v>4</v>
      </c>
      <c r="V3" s="13" t="s">
        <v>4</v>
      </c>
      <c r="W3" s="13" t="s">
        <v>4</v>
      </c>
      <c r="X3" s="13" t="s">
        <v>4</v>
      </c>
      <c r="Y3" s="13" t="s">
        <v>4</v>
      </c>
      <c r="Z3" s="13" t="s">
        <v>4</v>
      </c>
      <c r="AA3" s="13" t="s">
        <v>4</v>
      </c>
      <c r="AB3" s="13" t="s">
        <v>4</v>
      </c>
      <c r="AC3" s="13" t="s">
        <v>4</v>
      </c>
      <c r="AD3" s="13" t="s">
        <v>4</v>
      </c>
      <c r="AE3" s="13" t="s">
        <v>4</v>
      </c>
      <c r="AF3" s="13" t="s">
        <v>4</v>
      </c>
      <c r="AG3" s="13" t="s">
        <v>4</v>
      </c>
      <c r="AH3" s="13" t="s">
        <v>4</v>
      </c>
      <c r="AI3" s="13" t="s">
        <v>4</v>
      </c>
      <c r="AJ3" s="13" t="s">
        <v>4</v>
      </c>
      <c r="AK3" s="13" t="s">
        <v>4</v>
      </c>
      <c r="AL3" s="13" t="s">
        <v>4</v>
      </c>
      <c r="AM3" s="13" t="s">
        <v>4</v>
      </c>
      <c r="AN3" s="13" t="s">
        <v>4</v>
      </c>
      <c r="AO3" s="13" t="s">
        <v>4</v>
      </c>
      <c r="AP3" s="13" t="s">
        <v>4</v>
      </c>
      <c r="AQ3" s="13" t="s">
        <v>4</v>
      </c>
      <c r="AR3" s="13" t="s">
        <v>4</v>
      </c>
      <c r="AS3" s="13" t="s">
        <v>4</v>
      </c>
      <c r="AT3" s="13" t="s">
        <v>4</v>
      </c>
      <c r="AU3" s="13" t="s">
        <v>4</v>
      </c>
      <c r="AV3" s="13" t="s">
        <v>4</v>
      </c>
      <c r="AW3" s="13" t="s">
        <v>4</v>
      </c>
      <c r="AX3" s="13" t="s">
        <v>4</v>
      </c>
      <c r="AY3" s="13" t="s">
        <v>4</v>
      </c>
      <c r="AZ3" s="13" t="s">
        <v>4</v>
      </c>
      <c r="BA3" s="13" t="s">
        <v>4</v>
      </c>
      <c r="BB3" s="13" t="s">
        <v>4</v>
      </c>
      <c r="BC3" s="13" t="s">
        <v>4</v>
      </c>
      <c r="BD3" s="13" t="s">
        <v>4</v>
      </c>
      <c r="BE3" s="13" t="s">
        <v>4</v>
      </c>
      <c r="BF3" s="13" t="s">
        <v>4</v>
      </c>
      <c r="BG3" s="13" t="s">
        <v>4</v>
      </c>
      <c r="BH3" s="13" t="s">
        <v>4</v>
      </c>
      <c r="BI3" s="13" t="s">
        <v>4</v>
      </c>
      <c r="BJ3" s="13" t="s">
        <v>4</v>
      </c>
      <c r="BK3" s="13" t="s">
        <v>4</v>
      </c>
      <c r="BL3" s="13" t="s">
        <v>4</v>
      </c>
      <c r="BM3" s="13" t="s">
        <v>4</v>
      </c>
      <c r="BN3" s="13" t="s">
        <v>4</v>
      </c>
      <c r="BO3" s="13" t="s">
        <v>4</v>
      </c>
      <c r="BP3" s="13" t="s">
        <v>4</v>
      </c>
      <c r="BQ3" s="13" t="s">
        <v>4</v>
      </c>
    </row>
    <row r="4" spans="1:69" x14ac:dyDescent="0.3">
      <c r="A4" s="2">
        <f>A3+1</f>
        <v>85</v>
      </c>
      <c r="B4" s="2">
        <v>2</v>
      </c>
      <c r="C4" s="3">
        <v>44646.708333333336</v>
      </c>
      <c r="D4" s="4">
        <v>24</v>
      </c>
      <c r="E4" s="4">
        <f t="shared" ref="E4:E21" si="4">E3+D4</f>
        <v>24</v>
      </c>
      <c r="F4" s="5">
        <f>E4/24</f>
        <v>1</v>
      </c>
      <c r="G4" s="13">
        <f t="shared" ref="G4:G21" si="5">COUNTIF(T4:BQ4, "E")</f>
        <v>50</v>
      </c>
      <c r="H4" s="13">
        <f t="shared" si="0"/>
        <v>0</v>
      </c>
      <c r="I4" s="13">
        <f t="shared" ref="I4:I21" si="6">COUNTIF(T4:BQ4, "L2")</f>
        <v>0</v>
      </c>
      <c r="J4" s="13">
        <f t="shared" ref="J4:J21" si="7">COUNTIF(T4:BQ4,"L3")</f>
        <v>0</v>
      </c>
      <c r="K4" s="13">
        <f t="shared" ref="K4:K21" si="8">COUNTIF(T4:BQ4, "L2")</f>
        <v>0</v>
      </c>
      <c r="L4" s="13">
        <f t="shared" si="1"/>
        <v>0</v>
      </c>
      <c r="M4" s="13">
        <f t="shared" ref="M4:M21" si="9">COUNTIF(T4:BQ4, "AF")</f>
        <v>0</v>
      </c>
      <c r="N4" s="5">
        <v>1</v>
      </c>
      <c r="O4" s="13">
        <f t="shared" si="2"/>
        <v>0</v>
      </c>
      <c r="P4" s="13">
        <f t="shared" si="3"/>
        <v>0</v>
      </c>
      <c r="Q4" s="13">
        <f t="shared" ref="Q4:Q21" si="10">COUNTIF(T4:BQ4, "L2_D")</f>
        <v>0</v>
      </c>
      <c r="R4" s="13">
        <f t="shared" ref="R4:R21" si="11">COUNTIF($T4:$BQ4, "L3_D")</f>
        <v>0</v>
      </c>
      <c r="S4" s="13">
        <f t="shared" ref="S4:S21" si="12">COUNTIF($T4:$BQ4, "P_D")</f>
        <v>0</v>
      </c>
      <c r="T4" s="12" t="s">
        <v>4</v>
      </c>
      <c r="U4" s="12" t="s">
        <v>4</v>
      </c>
      <c r="V4" s="12" t="s">
        <v>4</v>
      </c>
      <c r="W4" s="12" t="s">
        <v>4</v>
      </c>
      <c r="X4" s="12" t="s">
        <v>4</v>
      </c>
      <c r="Y4" s="12" t="s">
        <v>4</v>
      </c>
      <c r="Z4" s="12" t="s">
        <v>4</v>
      </c>
      <c r="AA4" s="12" t="s">
        <v>4</v>
      </c>
      <c r="AB4" s="12" t="s">
        <v>4</v>
      </c>
      <c r="AC4" s="12" t="s">
        <v>4</v>
      </c>
      <c r="AD4" s="12" t="s">
        <v>4</v>
      </c>
      <c r="AE4" s="12" t="s">
        <v>4</v>
      </c>
      <c r="AF4" s="12" t="s">
        <v>4</v>
      </c>
      <c r="AG4" s="12" t="s">
        <v>4</v>
      </c>
      <c r="AH4" s="12" t="s">
        <v>4</v>
      </c>
      <c r="AI4" s="12" t="s">
        <v>4</v>
      </c>
      <c r="AJ4" s="12" t="s">
        <v>4</v>
      </c>
      <c r="AK4" s="12" t="s">
        <v>4</v>
      </c>
      <c r="AL4" s="12" t="s">
        <v>4</v>
      </c>
      <c r="AM4" s="12" t="s">
        <v>4</v>
      </c>
      <c r="AN4" s="12" t="s">
        <v>4</v>
      </c>
      <c r="AO4" s="12" t="s">
        <v>4</v>
      </c>
      <c r="AP4" s="12" t="s">
        <v>4</v>
      </c>
      <c r="AQ4" s="12" t="s">
        <v>4</v>
      </c>
      <c r="AR4" s="12" t="s">
        <v>4</v>
      </c>
      <c r="AS4" s="12" t="s">
        <v>4</v>
      </c>
      <c r="AT4" s="12" t="s">
        <v>4</v>
      </c>
      <c r="AU4" s="12" t="s">
        <v>4</v>
      </c>
      <c r="AV4" s="12" t="s">
        <v>4</v>
      </c>
      <c r="AW4" s="12" t="s">
        <v>4</v>
      </c>
      <c r="AX4" s="12" t="s">
        <v>4</v>
      </c>
      <c r="AY4" s="12" t="s">
        <v>4</v>
      </c>
      <c r="AZ4" s="12" t="s">
        <v>4</v>
      </c>
      <c r="BA4" s="12" t="s">
        <v>4</v>
      </c>
      <c r="BB4" s="12" t="s">
        <v>4</v>
      </c>
      <c r="BC4" s="12" t="s">
        <v>4</v>
      </c>
      <c r="BD4" s="12" t="s">
        <v>4</v>
      </c>
      <c r="BE4" s="12" t="s">
        <v>4</v>
      </c>
      <c r="BF4" s="12" t="s">
        <v>4</v>
      </c>
      <c r="BG4" s="12" t="s">
        <v>4</v>
      </c>
      <c r="BH4" s="12" t="s">
        <v>4</v>
      </c>
      <c r="BI4" s="12" t="s">
        <v>4</v>
      </c>
      <c r="BJ4" s="12" t="s">
        <v>4</v>
      </c>
      <c r="BK4" s="12" t="s">
        <v>4</v>
      </c>
      <c r="BL4" s="12" t="s">
        <v>4</v>
      </c>
      <c r="BM4" s="12" t="s">
        <v>4</v>
      </c>
      <c r="BN4" s="12" t="s">
        <v>4</v>
      </c>
      <c r="BO4" s="12" t="s">
        <v>4</v>
      </c>
      <c r="BP4" s="12" t="s">
        <v>4</v>
      </c>
      <c r="BQ4" s="12" t="s">
        <v>4</v>
      </c>
    </row>
    <row r="5" spans="1:69" x14ac:dyDescent="0.3">
      <c r="A5" s="2">
        <f t="shared" ref="A5:A20" si="13">A4+1</f>
        <v>86</v>
      </c>
      <c r="B5" s="2">
        <v>3</v>
      </c>
      <c r="C5" s="3">
        <v>44647.708333333336</v>
      </c>
      <c r="D5" s="4">
        <v>24</v>
      </c>
      <c r="E5" s="4">
        <f t="shared" si="4"/>
        <v>48</v>
      </c>
      <c r="F5" s="5">
        <f>E5/24</f>
        <v>2</v>
      </c>
      <c r="G5" s="13">
        <f t="shared" si="5"/>
        <v>50</v>
      </c>
      <c r="H5" s="13">
        <f t="shared" si="0"/>
        <v>0</v>
      </c>
      <c r="I5" s="13">
        <f t="shared" si="6"/>
        <v>0</v>
      </c>
      <c r="J5" s="13">
        <f t="shared" si="7"/>
        <v>0</v>
      </c>
      <c r="K5" s="13">
        <f t="shared" si="8"/>
        <v>0</v>
      </c>
      <c r="L5" s="13">
        <f t="shared" si="1"/>
        <v>0</v>
      </c>
      <c r="M5" s="13">
        <f t="shared" si="9"/>
        <v>0</v>
      </c>
      <c r="N5" s="5">
        <v>2</v>
      </c>
      <c r="O5" s="13">
        <f t="shared" si="2"/>
        <v>0</v>
      </c>
      <c r="P5" s="13">
        <f t="shared" si="3"/>
        <v>0</v>
      </c>
      <c r="Q5" s="13">
        <f t="shared" si="10"/>
        <v>0</v>
      </c>
      <c r="R5" s="13">
        <f t="shared" si="11"/>
        <v>0</v>
      </c>
      <c r="S5" s="13">
        <f t="shared" si="12"/>
        <v>0</v>
      </c>
      <c r="T5" s="12" t="s">
        <v>4</v>
      </c>
      <c r="U5" s="12" t="s">
        <v>4</v>
      </c>
      <c r="V5" s="12" t="s">
        <v>4</v>
      </c>
      <c r="W5" s="12" t="s">
        <v>4</v>
      </c>
      <c r="X5" s="12" t="s">
        <v>4</v>
      </c>
      <c r="Y5" s="12" t="s">
        <v>4</v>
      </c>
      <c r="Z5" s="12" t="s">
        <v>4</v>
      </c>
      <c r="AA5" s="12" t="s">
        <v>4</v>
      </c>
      <c r="AB5" s="12" t="s">
        <v>4</v>
      </c>
      <c r="AC5" s="12" t="s">
        <v>4</v>
      </c>
      <c r="AD5" s="12" t="s">
        <v>4</v>
      </c>
      <c r="AE5" s="12" t="s">
        <v>4</v>
      </c>
      <c r="AF5" s="12" t="s">
        <v>4</v>
      </c>
      <c r="AG5" s="12" t="s">
        <v>4</v>
      </c>
      <c r="AH5" s="12" t="s">
        <v>4</v>
      </c>
      <c r="AI5" s="12" t="s">
        <v>4</v>
      </c>
      <c r="AJ5" s="12" t="s">
        <v>4</v>
      </c>
      <c r="AK5" s="12" t="s">
        <v>4</v>
      </c>
      <c r="AL5" s="12" t="s">
        <v>4</v>
      </c>
      <c r="AM5" s="12" t="s">
        <v>4</v>
      </c>
      <c r="AN5" s="12" t="s">
        <v>4</v>
      </c>
      <c r="AO5" s="12" t="s">
        <v>4</v>
      </c>
      <c r="AP5" s="12" t="s">
        <v>4</v>
      </c>
      <c r="AQ5" s="12" t="s">
        <v>4</v>
      </c>
      <c r="AR5" s="12" t="s">
        <v>4</v>
      </c>
      <c r="AS5" s="12" t="s">
        <v>4</v>
      </c>
      <c r="AT5" s="12" t="s">
        <v>4</v>
      </c>
      <c r="AU5" s="12" t="s">
        <v>4</v>
      </c>
      <c r="AV5" s="12" t="s">
        <v>4</v>
      </c>
      <c r="AW5" s="12" t="s">
        <v>4</v>
      </c>
      <c r="AX5" s="12" t="s">
        <v>4</v>
      </c>
      <c r="AY5" s="12" t="s">
        <v>4</v>
      </c>
      <c r="AZ5" s="12" t="s">
        <v>4</v>
      </c>
      <c r="BA5" s="12" t="s">
        <v>4</v>
      </c>
      <c r="BB5" s="12" t="s">
        <v>4</v>
      </c>
      <c r="BC5" s="12" t="s">
        <v>4</v>
      </c>
      <c r="BD5" s="12" t="s">
        <v>4</v>
      </c>
      <c r="BE5" s="12" t="s">
        <v>4</v>
      </c>
      <c r="BF5" s="12" t="s">
        <v>4</v>
      </c>
      <c r="BG5" s="12" t="s">
        <v>4</v>
      </c>
      <c r="BH5" s="12" t="s">
        <v>4</v>
      </c>
      <c r="BI5" s="12" t="s">
        <v>4</v>
      </c>
      <c r="BJ5" s="12" t="s">
        <v>4</v>
      </c>
      <c r="BK5" s="12" t="s">
        <v>4</v>
      </c>
      <c r="BL5" s="12" t="s">
        <v>4</v>
      </c>
      <c r="BM5" s="12" t="s">
        <v>4</v>
      </c>
      <c r="BN5" s="12" t="s">
        <v>4</v>
      </c>
      <c r="BO5" s="12" t="s">
        <v>4</v>
      </c>
      <c r="BP5" s="12" t="s">
        <v>4</v>
      </c>
      <c r="BQ5" s="12" t="s">
        <v>4</v>
      </c>
    </row>
    <row r="6" spans="1:69" x14ac:dyDescent="0.3">
      <c r="A6" s="2">
        <f t="shared" si="13"/>
        <v>87</v>
      </c>
      <c r="B6" s="2">
        <v>4</v>
      </c>
      <c r="C6" s="3">
        <v>44648.708333333336</v>
      </c>
      <c r="D6" s="4">
        <v>24</v>
      </c>
      <c r="E6" s="4">
        <f t="shared" si="4"/>
        <v>72</v>
      </c>
      <c r="F6" s="5">
        <f t="shared" ref="F6:F20" si="14">E6/24</f>
        <v>3</v>
      </c>
      <c r="G6" s="13">
        <f t="shared" si="5"/>
        <v>50</v>
      </c>
      <c r="H6" s="13">
        <f t="shared" si="0"/>
        <v>0</v>
      </c>
      <c r="I6" s="13">
        <f t="shared" si="6"/>
        <v>0</v>
      </c>
      <c r="J6" s="13">
        <f t="shared" si="7"/>
        <v>0</v>
      </c>
      <c r="K6" s="13">
        <f t="shared" si="8"/>
        <v>0</v>
      </c>
      <c r="L6" s="13">
        <f t="shared" si="1"/>
        <v>0</v>
      </c>
      <c r="M6" s="13">
        <f t="shared" si="9"/>
        <v>0</v>
      </c>
      <c r="N6" s="5">
        <v>3</v>
      </c>
      <c r="O6" s="13">
        <f t="shared" si="2"/>
        <v>0</v>
      </c>
      <c r="P6" s="13">
        <f t="shared" si="3"/>
        <v>0</v>
      </c>
      <c r="Q6" s="13">
        <f t="shared" si="10"/>
        <v>0</v>
      </c>
      <c r="R6" s="13">
        <f t="shared" si="11"/>
        <v>0</v>
      </c>
      <c r="S6" s="13">
        <f t="shared" si="12"/>
        <v>0</v>
      </c>
      <c r="T6" s="12" t="s">
        <v>4</v>
      </c>
      <c r="U6" s="12" t="s">
        <v>4</v>
      </c>
      <c r="V6" s="12" t="s">
        <v>4</v>
      </c>
      <c r="W6" s="12" t="s">
        <v>4</v>
      </c>
      <c r="X6" s="12" t="s">
        <v>4</v>
      </c>
      <c r="Y6" s="12" t="s">
        <v>4</v>
      </c>
      <c r="Z6" s="12" t="s">
        <v>4</v>
      </c>
      <c r="AA6" s="12" t="s">
        <v>4</v>
      </c>
      <c r="AB6" s="12" t="s">
        <v>4</v>
      </c>
      <c r="AC6" s="12" t="s">
        <v>4</v>
      </c>
      <c r="AD6" s="12" t="s">
        <v>4</v>
      </c>
      <c r="AE6" s="12" t="s">
        <v>4</v>
      </c>
      <c r="AF6" s="12" t="s">
        <v>4</v>
      </c>
      <c r="AG6" s="12" t="s">
        <v>4</v>
      </c>
      <c r="AH6" s="12" t="s">
        <v>4</v>
      </c>
      <c r="AI6" s="12" t="s">
        <v>4</v>
      </c>
      <c r="AJ6" s="12" t="s">
        <v>4</v>
      </c>
      <c r="AK6" s="12" t="s">
        <v>4</v>
      </c>
      <c r="AL6" s="12" t="s">
        <v>4</v>
      </c>
      <c r="AM6" s="12" t="s">
        <v>4</v>
      </c>
      <c r="AN6" s="12" t="s">
        <v>4</v>
      </c>
      <c r="AO6" s="12" t="s">
        <v>4</v>
      </c>
      <c r="AP6" s="12" t="s">
        <v>4</v>
      </c>
      <c r="AQ6" s="12" t="s">
        <v>4</v>
      </c>
      <c r="AR6" s="12" t="s">
        <v>4</v>
      </c>
      <c r="AS6" s="12" t="s">
        <v>4</v>
      </c>
      <c r="AT6" s="12" t="s">
        <v>4</v>
      </c>
      <c r="AU6" s="12" t="s">
        <v>4</v>
      </c>
      <c r="AV6" s="12" t="s">
        <v>4</v>
      </c>
      <c r="AW6" s="12" t="s">
        <v>4</v>
      </c>
      <c r="AX6" s="12" t="s">
        <v>4</v>
      </c>
      <c r="AY6" s="12" t="s">
        <v>4</v>
      </c>
      <c r="AZ6" s="12" t="s">
        <v>4</v>
      </c>
      <c r="BA6" s="12" t="s">
        <v>4</v>
      </c>
      <c r="BB6" s="12" t="s">
        <v>4</v>
      </c>
      <c r="BC6" s="12" t="s">
        <v>4</v>
      </c>
      <c r="BD6" s="12" t="s">
        <v>4</v>
      </c>
      <c r="BE6" s="12" t="s">
        <v>4</v>
      </c>
      <c r="BF6" s="12" t="s">
        <v>4</v>
      </c>
      <c r="BG6" s="12" t="s">
        <v>4</v>
      </c>
      <c r="BH6" s="12" t="s">
        <v>4</v>
      </c>
      <c r="BI6" s="12" t="s">
        <v>4</v>
      </c>
      <c r="BJ6" s="12" t="s">
        <v>4</v>
      </c>
      <c r="BK6" s="12" t="s">
        <v>4</v>
      </c>
      <c r="BL6" s="12" t="s">
        <v>4</v>
      </c>
      <c r="BM6" s="12" t="s">
        <v>4</v>
      </c>
      <c r="BN6" s="12" t="s">
        <v>4</v>
      </c>
      <c r="BO6" s="12" t="s">
        <v>4</v>
      </c>
      <c r="BP6" s="12" t="s">
        <v>4</v>
      </c>
      <c r="BQ6" s="12" t="s">
        <v>4</v>
      </c>
    </row>
    <row r="7" spans="1:69" x14ac:dyDescent="0.3">
      <c r="A7" s="2">
        <f t="shared" si="13"/>
        <v>88</v>
      </c>
      <c r="B7" s="2">
        <v>5</v>
      </c>
      <c r="C7" s="3">
        <v>44649.708333333336</v>
      </c>
      <c r="D7" s="4">
        <v>24</v>
      </c>
      <c r="E7" s="4">
        <f t="shared" si="4"/>
        <v>96</v>
      </c>
      <c r="F7" s="5">
        <f t="shared" si="14"/>
        <v>4</v>
      </c>
      <c r="G7" s="13">
        <f t="shared" si="5"/>
        <v>50</v>
      </c>
      <c r="H7" s="13">
        <f t="shared" si="0"/>
        <v>0</v>
      </c>
      <c r="I7" s="13">
        <f t="shared" si="6"/>
        <v>0</v>
      </c>
      <c r="J7" s="13">
        <f>COUNTIF(T7:BQ7,"L3")</f>
        <v>0</v>
      </c>
      <c r="K7" s="13">
        <f t="shared" si="8"/>
        <v>0</v>
      </c>
      <c r="L7" s="13">
        <f t="shared" si="1"/>
        <v>0</v>
      </c>
      <c r="M7" s="13">
        <f t="shared" si="9"/>
        <v>0</v>
      </c>
      <c r="N7" s="5">
        <v>4</v>
      </c>
      <c r="O7" s="13">
        <f t="shared" si="2"/>
        <v>0</v>
      </c>
      <c r="P7" s="13">
        <f t="shared" si="3"/>
        <v>0</v>
      </c>
      <c r="Q7" s="13">
        <f t="shared" si="10"/>
        <v>0</v>
      </c>
      <c r="R7" s="13">
        <f t="shared" si="11"/>
        <v>0</v>
      </c>
      <c r="S7" s="13">
        <f t="shared" si="12"/>
        <v>0</v>
      </c>
      <c r="T7" s="12" t="s">
        <v>4</v>
      </c>
      <c r="U7" s="12" t="s">
        <v>4</v>
      </c>
      <c r="V7" s="12" t="s">
        <v>4</v>
      </c>
      <c r="W7" s="12" t="s">
        <v>4</v>
      </c>
      <c r="X7" s="12" t="s">
        <v>4</v>
      </c>
      <c r="Y7" s="12" t="s">
        <v>4</v>
      </c>
      <c r="Z7" s="12" t="s">
        <v>4</v>
      </c>
      <c r="AA7" s="12" t="s">
        <v>4</v>
      </c>
      <c r="AB7" s="12" t="s">
        <v>4</v>
      </c>
      <c r="AC7" s="12" t="s">
        <v>4</v>
      </c>
      <c r="AD7" s="12" t="s">
        <v>4</v>
      </c>
      <c r="AE7" s="12" t="s">
        <v>4</v>
      </c>
      <c r="AF7" s="12" t="s">
        <v>4</v>
      </c>
      <c r="AG7" s="12" t="s">
        <v>4</v>
      </c>
      <c r="AH7" s="12" t="s">
        <v>4</v>
      </c>
      <c r="AI7" s="12" t="s">
        <v>4</v>
      </c>
      <c r="AJ7" s="12" t="s">
        <v>4</v>
      </c>
      <c r="AK7" s="12" t="s">
        <v>4</v>
      </c>
      <c r="AL7" s="12" t="s">
        <v>4</v>
      </c>
      <c r="AM7" s="12" t="s">
        <v>4</v>
      </c>
      <c r="AN7" s="12" t="s">
        <v>4</v>
      </c>
      <c r="AO7" s="12" t="s">
        <v>4</v>
      </c>
      <c r="AP7" s="12" t="s">
        <v>4</v>
      </c>
      <c r="AQ7" s="12" t="s">
        <v>4</v>
      </c>
      <c r="AR7" s="12" t="s">
        <v>4</v>
      </c>
      <c r="AS7" s="12" t="s">
        <v>4</v>
      </c>
      <c r="AT7" s="12" t="s">
        <v>4</v>
      </c>
      <c r="AU7" s="12" t="s">
        <v>4</v>
      </c>
      <c r="AV7" s="12" t="s">
        <v>4</v>
      </c>
      <c r="AW7" s="12" t="s">
        <v>4</v>
      </c>
      <c r="AX7" s="12" t="s">
        <v>4</v>
      </c>
      <c r="AY7" s="12" t="s">
        <v>4</v>
      </c>
      <c r="AZ7" s="12" t="s">
        <v>4</v>
      </c>
      <c r="BA7" s="12" t="s">
        <v>4</v>
      </c>
      <c r="BB7" s="12" t="s">
        <v>4</v>
      </c>
      <c r="BC7" s="12" t="s">
        <v>4</v>
      </c>
      <c r="BD7" s="12" t="s">
        <v>4</v>
      </c>
      <c r="BE7" s="12" t="s">
        <v>4</v>
      </c>
      <c r="BF7" s="12" t="s">
        <v>4</v>
      </c>
      <c r="BG7" s="12" t="s">
        <v>4</v>
      </c>
      <c r="BH7" s="12" t="s">
        <v>4</v>
      </c>
      <c r="BI7" s="12" t="s">
        <v>4</v>
      </c>
      <c r="BJ7" s="12" t="s">
        <v>4</v>
      </c>
      <c r="BK7" s="12" t="s">
        <v>4</v>
      </c>
      <c r="BL7" s="12" t="s">
        <v>4</v>
      </c>
      <c r="BM7" s="12" t="s">
        <v>4</v>
      </c>
      <c r="BN7" s="12" t="s">
        <v>4</v>
      </c>
      <c r="BO7" s="12" t="s">
        <v>4</v>
      </c>
      <c r="BP7" s="12" t="s">
        <v>4</v>
      </c>
      <c r="BQ7" s="12" t="s">
        <v>4</v>
      </c>
    </row>
    <row r="8" spans="1:69" x14ac:dyDescent="0.3">
      <c r="A8" s="2">
        <f t="shared" si="13"/>
        <v>89</v>
      </c>
      <c r="B8" s="2">
        <v>6</v>
      </c>
      <c r="C8" s="3">
        <v>44650.708333333336</v>
      </c>
      <c r="D8" s="4">
        <v>24</v>
      </c>
      <c r="E8" s="4">
        <f t="shared" si="4"/>
        <v>120</v>
      </c>
      <c r="F8" s="5">
        <f>E8/24</f>
        <v>5</v>
      </c>
      <c r="G8" s="13">
        <f t="shared" si="5"/>
        <v>46</v>
      </c>
      <c r="H8" s="13">
        <f t="shared" si="0"/>
        <v>4</v>
      </c>
      <c r="I8" s="13">
        <f t="shared" si="6"/>
        <v>0</v>
      </c>
      <c r="J8" s="13">
        <f t="shared" si="7"/>
        <v>0</v>
      </c>
      <c r="K8" s="13">
        <f t="shared" si="8"/>
        <v>0</v>
      </c>
      <c r="L8" s="13">
        <f t="shared" si="1"/>
        <v>0</v>
      </c>
      <c r="M8" s="13">
        <f t="shared" si="9"/>
        <v>0</v>
      </c>
      <c r="N8" s="5">
        <v>5</v>
      </c>
      <c r="O8" s="13">
        <f t="shared" si="2"/>
        <v>0</v>
      </c>
      <c r="P8" s="13">
        <f t="shared" si="3"/>
        <v>0</v>
      </c>
      <c r="Q8" s="13">
        <f t="shared" si="10"/>
        <v>0</v>
      </c>
      <c r="R8" s="13">
        <f t="shared" si="11"/>
        <v>0</v>
      </c>
      <c r="S8" s="13">
        <f t="shared" si="12"/>
        <v>0</v>
      </c>
      <c r="T8" s="12" t="s">
        <v>5</v>
      </c>
      <c r="U8" s="12" t="s">
        <v>5</v>
      </c>
      <c r="V8" s="12" t="s">
        <v>5</v>
      </c>
      <c r="W8" s="12" t="s">
        <v>5</v>
      </c>
      <c r="X8" s="12" t="s">
        <v>4</v>
      </c>
      <c r="Y8" s="12" t="s">
        <v>4</v>
      </c>
      <c r="Z8" s="12" t="s">
        <v>4</v>
      </c>
      <c r="AA8" s="12" t="s">
        <v>4</v>
      </c>
      <c r="AB8" s="12" t="s">
        <v>4</v>
      </c>
      <c r="AC8" s="12" t="s">
        <v>4</v>
      </c>
      <c r="AD8" s="12" t="s">
        <v>4</v>
      </c>
      <c r="AE8" s="12" t="s">
        <v>4</v>
      </c>
      <c r="AF8" s="12" t="s">
        <v>4</v>
      </c>
      <c r="AG8" s="12" t="s">
        <v>4</v>
      </c>
      <c r="AH8" s="12" t="s">
        <v>4</v>
      </c>
      <c r="AI8" s="12" t="s">
        <v>4</v>
      </c>
      <c r="AJ8" s="12" t="s">
        <v>4</v>
      </c>
      <c r="AK8" s="12" t="s">
        <v>4</v>
      </c>
      <c r="AL8" s="12" t="s">
        <v>4</v>
      </c>
      <c r="AM8" s="12" t="s">
        <v>4</v>
      </c>
      <c r="AN8" s="12" t="s">
        <v>4</v>
      </c>
      <c r="AO8" s="12" t="s">
        <v>4</v>
      </c>
      <c r="AP8" s="12" t="s">
        <v>4</v>
      </c>
      <c r="AQ8" s="12" t="s">
        <v>4</v>
      </c>
      <c r="AR8" s="12" t="s">
        <v>4</v>
      </c>
      <c r="AS8" s="12" t="s">
        <v>4</v>
      </c>
      <c r="AT8" s="12" t="s">
        <v>4</v>
      </c>
      <c r="AU8" s="12" t="s">
        <v>4</v>
      </c>
      <c r="AV8" s="12" t="s">
        <v>4</v>
      </c>
      <c r="AW8" s="12" t="s">
        <v>4</v>
      </c>
      <c r="AX8" s="12" t="s">
        <v>4</v>
      </c>
      <c r="AY8" s="12" t="s">
        <v>4</v>
      </c>
      <c r="AZ8" s="12" t="s">
        <v>4</v>
      </c>
      <c r="BA8" s="12" t="s">
        <v>4</v>
      </c>
      <c r="BB8" s="12" t="s">
        <v>4</v>
      </c>
      <c r="BC8" s="12" t="s">
        <v>4</v>
      </c>
      <c r="BD8" s="12" t="s">
        <v>4</v>
      </c>
      <c r="BE8" s="12" t="s">
        <v>4</v>
      </c>
      <c r="BF8" s="12" t="s">
        <v>4</v>
      </c>
      <c r="BG8" s="12" t="s">
        <v>4</v>
      </c>
      <c r="BH8" s="12" t="s">
        <v>4</v>
      </c>
      <c r="BI8" s="12" t="s">
        <v>4</v>
      </c>
      <c r="BJ8" s="12" t="s">
        <v>4</v>
      </c>
      <c r="BK8" s="12" t="s">
        <v>4</v>
      </c>
      <c r="BL8" s="12" t="s">
        <v>4</v>
      </c>
      <c r="BM8" s="12" t="s">
        <v>4</v>
      </c>
      <c r="BN8" s="12" t="s">
        <v>4</v>
      </c>
      <c r="BO8" s="12" t="s">
        <v>4</v>
      </c>
      <c r="BP8" s="12" t="s">
        <v>4</v>
      </c>
      <c r="BQ8" s="12" t="s">
        <v>4</v>
      </c>
    </row>
    <row r="9" spans="1:69" x14ac:dyDescent="0.3">
      <c r="A9" s="2">
        <f t="shared" si="13"/>
        <v>90</v>
      </c>
      <c r="B9" s="2">
        <v>7</v>
      </c>
      <c r="C9" s="3">
        <v>44651.708333333336</v>
      </c>
      <c r="D9" s="4">
        <v>24</v>
      </c>
      <c r="E9" s="4">
        <f t="shared" si="4"/>
        <v>144</v>
      </c>
      <c r="F9" s="5">
        <f>E9/24</f>
        <v>6</v>
      </c>
      <c r="G9" s="13">
        <f t="shared" si="5"/>
        <v>46</v>
      </c>
      <c r="H9" s="13">
        <f t="shared" si="0"/>
        <v>4</v>
      </c>
      <c r="I9" s="13">
        <f t="shared" si="6"/>
        <v>0</v>
      </c>
      <c r="J9" s="13">
        <f t="shared" si="7"/>
        <v>0</v>
      </c>
      <c r="K9" s="13">
        <f t="shared" si="8"/>
        <v>0</v>
      </c>
      <c r="L9" s="13">
        <f t="shared" si="1"/>
        <v>0</v>
      </c>
      <c r="M9" s="13">
        <f t="shared" si="9"/>
        <v>0</v>
      </c>
      <c r="N9" s="5">
        <v>6</v>
      </c>
      <c r="O9" s="13">
        <f t="shared" si="2"/>
        <v>0</v>
      </c>
      <c r="P9" s="13">
        <f t="shared" si="3"/>
        <v>0</v>
      </c>
      <c r="Q9" s="13">
        <f t="shared" si="10"/>
        <v>0</v>
      </c>
      <c r="R9" s="13">
        <f t="shared" si="11"/>
        <v>0</v>
      </c>
      <c r="S9" s="13">
        <f t="shared" si="12"/>
        <v>0</v>
      </c>
      <c r="T9" s="12" t="s">
        <v>5</v>
      </c>
      <c r="U9" s="12" t="s">
        <v>5</v>
      </c>
      <c r="V9" s="12" t="s">
        <v>5</v>
      </c>
      <c r="W9" s="12" t="s">
        <v>5</v>
      </c>
      <c r="X9" s="12" t="s">
        <v>4</v>
      </c>
      <c r="Y9" s="12" t="s">
        <v>4</v>
      </c>
      <c r="Z9" s="12" t="s">
        <v>4</v>
      </c>
      <c r="AA9" s="12" t="s">
        <v>4</v>
      </c>
      <c r="AB9" s="12" t="s">
        <v>4</v>
      </c>
      <c r="AC9" s="12" t="s">
        <v>4</v>
      </c>
      <c r="AD9" s="12" t="s">
        <v>4</v>
      </c>
      <c r="AE9" s="12" t="s">
        <v>4</v>
      </c>
      <c r="AF9" s="12" t="s">
        <v>4</v>
      </c>
      <c r="AG9" s="12" t="s">
        <v>4</v>
      </c>
      <c r="AH9" s="12" t="s">
        <v>4</v>
      </c>
      <c r="AI9" s="12" t="s">
        <v>4</v>
      </c>
      <c r="AJ9" s="12" t="s">
        <v>4</v>
      </c>
      <c r="AK9" s="12" t="s">
        <v>4</v>
      </c>
      <c r="AL9" s="12" t="s">
        <v>4</v>
      </c>
      <c r="AM9" s="12" t="s">
        <v>4</v>
      </c>
      <c r="AN9" s="12" t="s">
        <v>4</v>
      </c>
      <c r="AO9" s="12" t="s">
        <v>4</v>
      </c>
      <c r="AP9" s="12" t="s">
        <v>4</v>
      </c>
      <c r="AQ9" s="12" t="s">
        <v>4</v>
      </c>
      <c r="AR9" s="12" t="s">
        <v>4</v>
      </c>
      <c r="AS9" s="12" t="s">
        <v>4</v>
      </c>
      <c r="AT9" s="12" t="s">
        <v>4</v>
      </c>
      <c r="AU9" s="12" t="s">
        <v>4</v>
      </c>
      <c r="AV9" s="12" t="s">
        <v>4</v>
      </c>
      <c r="AW9" s="12" t="s">
        <v>4</v>
      </c>
      <c r="AX9" s="12" t="s">
        <v>4</v>
      </c>
      <c r="AY9" s="12" t="s">
        <v>4</v>
      </c>
      <c r="AZ9" s="12" t="s">
        <v>4</v>
      </c>
      <c r="BA9" s="12" t="s">
        <v>4</v>
      </c>
      <c r="BB9" s="12" t="s">
        <v>4</v>
      </c>
      <c r="BC9" s="12" t="s">
        <v>4</v>
      </c>
      <c r="BD9" s="12" t="s">
        <v>4</v>
      </c>
      <c r="BE9" s="12" t="s">
        <v>4</v>
      </c>
      <c r="BF9" s="12" t="s">
        <v>4</v>
      </c>
      <c r="BG9" s="12" t="s">
        <v>4</v>
      </c>
      <c r="BH9" s="12" t="s">
        <v>4</v>
      </c>
      <c r="BI9" s="12" t="s">
        <v>4</v>
      </c>
      <c r="BJ9" s="12" t="s">
        <v>4</v>
      </c>
      <c r="BK9" s="12" t="s">
        <v>4</v>
      </c>
      <c r="BL9" s="12" t="s">
        <v>4</v>
      </c>
      <c r="BM9" s="12" t="s">
        <v>4</v>
      </c>
      <c r="BN9" s="12" t="s">
        <v>4</v>
      </c>
      <c r="BO9" s="12" t="s">
        <v>4</v>
      </c>
      <c r="BP9" s="12" t="s">
        <v>4</v>
      </c>
      <c r="BQ9" s="12" t="s">
        <v>4</v>
      </c>
    </row>
    <row r="10" spans="1:69" x14ac:dyDescent="0.3">
      <c r="A10" s="2">
        <f t="shared" si="13"/>
        <v>91</v>
      </c>
      <c r="B10" s="2">
        <v>8</v>
      </c>
      <c r="C10" s="3">
        <v>44652.708333333336</v>
      </c>
      <c r="D10" s="4">
        <v>24</v>
      </c>
      <c r="E10" s="4">
        <f t="shared" si="4"/>
        <v>168</v>
      </c>
      <c r="F10" s="5">
        <f>E10/24</f>
        <v>7</v>
      </c>
      <c r="G10" s="13">
        <f t="shared" si="5"/>
        <v>46</v>
      </c>
      <c r="H10" s="13">
        <f t="shared" si="0"/>
        <v>2</v>
      </c>
      <c r="I10" s="13">
        <f t="shared" si="6"/>
        <v>0</v>
      </c>
      <c r="J10" s="13">
        <f t="shared" si="7"/>
        <v>0</v>
      </c>
      <c r="K10" s="13">
        <f t="shared" si="8"/>
        <v>0</v>
      </c>
      <c r="L10" s="13">
        <f t="shared" si="1"/>
        <v>0</v>
      </c>
      <c r="M10" s="13">
        <f t="shared" si="9"/>
        <v>0</v>
      </c>
      <c r="N10" s="5">
        <v>7</v>
      </c>
      <c r="O10" s="13">
        <f t="shared" si="2"/>
        <v>0</v>
      </c>
      <c r="P10" s="13">
        <f>COUNTIF(T10:BQ10, "L1_D")</f>
        <v>2</v>
      </c>
      <c r="Q10" s="13">
        <f t="shared" si="10"/>
        <v>0</v>
      </c>
      <c r="R10" s="13">
        <f t="shared" si="11"/>
        <v>0</v>
      </c>
      <c r="S10" s="13">
        <f t="shared" si="12"/>
        <v>0</v>
      </c>
      <c r="T10" s="12" t="s">
        <v>5</v>
      </c>
      <c r="U10" s="28" t="s">
        <v>18</v>
      </c>
      <c r="V10" s="12" t="s">
        <v>5</v>
      </c>
      <c r="W10" s="28" t="s">
        <v>18</v>
      </c>
      <c r="X10" s="12" t="s">
        <v>4</v>
      </c>
      <c r="Y10" s="12" t="s">
        <v>4</v>
      </c>
      <c r="Z10" s="12" t="s">
        <v>4</v>
      </c>
      <c r="AA10" s="12" t="s">
        <v>4</v>
      </c>
      <c r="AB10" s="12" t="s">
        <v>4</v>
      </c>
      <c r="AC10" s="12" t="s">
        <v>4</v>
      </c>
      <c r="AD10" s="12" t="s">
        <v>4</v>
      </c>
      <c r="AE10" s="12" t="s">
        <v>4</v>
      </c>
      <c r="AF10" s="12" t="s">
        <v>4</v>
      </c>
      <c r="AG10" s="12" t="s">
        <v>4</v>
      </c>
      <c r="AH10" s="12" t="s">
        <v>4</v>
      </c>
      <c r="AI10" s="12" t="s">
        <v>4</v>
      </c>
      <c r="AJ10" s="12" t="s">
        <v>4</v>
      </c>
      <c r="AK10" s="12" t="s">
        <v>4</v>
      </c>
      <c r="AL10" s="12" t="s">
        <v>4</v>
      </c>
      <c r="AM10" s="12" t="s">
        <v>4</v>
      </c>
      <c r="AN10" s="12" t="s">
        <v>4</v>
      </c>
      <c r="AO10" s="12" t="s">
        <v>4</v>
      </c>
      <c r="AP10" s="12" t="s">
        <v>4</v>
      </c>
      <c r="AQ10" s="12" t="s">
        <v>4</v>
      </c>
      <c r="AR10" s="12" t="s">
        <v>4</v>
      </c>
      <c r="AS10" s="12" t="s">
        <v>4</v>
      </c>
      <c r="AT10" s="12" t="s">
        <v>4</v>
      </c>
      <c r="AU10" s="12" t="s">
        <v>4</v>
      </c>
      <c r="AV10" s="12" t="s">
        <v>4</v>
      </c>
      <c r="AW10" s="12" t="s">
        <v>4</v>
      </c>
      <c r="AX10" s="12" t="s">
        <v>4</v>
      </c>
      <c r="AY10" s="12" t="s">
        <v>4</v>
      </c>
      <c r="AZ10" s="12" t="s">
        <v>4</v>
      </c>
      <c r="BA10" s="12" t="s">
        <v>4</v>
      </c>
      <c r="BB10" s="12" t="s">
        <v>4</v>
      </c>
      <c r="BC10" s="12" t="s">
        <v>4</v>
      </c>
      <c r="BD10" s="12" t="s">
        <v>4</v>
      </c>
      <c r="BE10" s="12" t="s">
        <v>4</v>
      </c>
      <c r="BF10" s="12" t="s">
        <v>4</v>
      </c>
      <c r="BG10" s="12" t="s">
        <v>4</v>
      </c>
      <c r="BH10" s="12" t="s">
        <v>4</v>
      </c>
      <c r="BI10" s="12" t="s">
        <v>4</v>
      </c>
      <c r="BJ10" s="12" t="s">
        <v>4</v>
      </c>
      <c r="BK10" s="12" t="s">
        <v>4</v>
      </c>
      <c r="BL10" s="12" t="s">
        <v>4</v>
      </c>
      <c r="BM10" s="12" t="s">
        <v>4</v>
      </c>
      <c r="BN10" s="12" t="s">
        <v>4</v>
      </c>
      <c r="BO10" s="12" t="s">
        <v>4</v>
      </c>
      <c r="BP10" s="12" t="s">
        <v>4</v>
      </c>
      <c r="BQ10" s="12" t="s">
        <v>4</v>
      </c>
    </row>
    <row r="11" spans="1:69" x14ac:dyDescent="0.3">
      <c r="A11" s="2">
        <f t="shared" si="13"/>
        <v>92</v>
      </c>
      <c r="B11" s="2">
        <v>9</v>
      </c>
      <c r="C11" s="3">
        <v>44653.708333333336</v>
      </c>
      <c r="D11" s="4">
        <v>24</v>
      </c>
      <c r="E11" s="4">
        <f t="shared" si="4"/>
        <v>192</v>
      </c>
      <c r="F11" s="5">
        <f t="shared" si="14"/>
        <v>8</v>
      </c>
      <c r="G11" s="13">
        <f t="shared" si="5"/>
        <v>46</v>
      </c>
      <c r="H11" s="13">
        <f t="shared" si="0"/>
        <v>1</v>
      </c>
      <c r="I11" s="13">
        <f t="shared" si="6"/>
        <v>0</v>
      </c>
      <c r="J11" s="13">
        <f t="shared" si="7"/>
        <v>0</v>
      </c>
      <c r="K11" s="13">
        <f t="shared" si="8"/>
        <v>0</v>
      </c>
      <c r="L11" s="13">
        <f t="shared" si="1"/>
        <v>0</v>
      </c>
      <c r="M11" s="13">
        <f t="shared" si="9"/>
        <v>0</v>
      </c>
      <c r="N11" s="5">
        <v>8</v>
      </c>
      <c r="O11" s="13">
        <f t="shared" si="2"/>
        <v>0</v>
      </c>
      <c r="P11" s="13">
        <f t="shared" si="3"/>
        <v>3</v>
      </c>
      <c r="Q11" s="13">
        <f t="shared" si="10"/>
        <v>0</v>
      </c>
      <c r="R11" s="13">
        <f t="shared" si="11"/>
        <v>0</v>
      </c>
      <c r="S11" s="13">
        <f t="shared" si="12"/>
        <v>0</v>
      </c>
      <c r="T11" s="12" t="s">
        <v>5</v>
      </c>
      <c r="U11" s="28" t="s">
        <v>18</v>
      </c>
      <c r="V11" s="28" t="s">
        <v>18</v>
      </c>
      <c r="W11" s="28" t="s">
        <v>18</v>
      </c>
      <c r="X11" s="12" t="s">
        <v>4</v>
      </c>
      <c r="Y11" s="12" t="s">
        <v>4</v>
      </c>
      <c r="Z11" s="12" t="s">
        <v>4</v>
      </c>
      <c r="AA11" s="12" t="s">
        <v>4</v>
      </c>
      <c r="AB11" s="12" t="s">
        <v>4</v>
      </c>
      <c r="AC11" s="12" t="s">
        <v>4</v>
      </c>
      <c r="AD11" s="12" t="s">
        <v>4</v>
      </c>
      <c r="AE11" s="12" t="s">
        <v>4</v>
      </c>
      <c r="AF11" s="12" t="s">
        <v>4</v>
      </c>
      <c r="AG11" s="12" t="s">
        <v>4</v>
      </c>
      <c r="AH11" s="12" t="s">
        <v>4</v>
      </c>
      <c r="AI11" s="12" t="s">
        <v>4</v>
      </c>
      <c r="AJ11" s="12" t="s">
        <v>4</v>
      </c>
      <c r="AK11" s="12" t="s">
        <v>4</v>
      </c>
      <c r="AL11" s="12" t="s">
        <v>4</v>
      </c>
      <c r="AM11" s="12" t="s">
        <v>4</v>
      </c>
      <c r="AN11" s="12" t="s">
        <v>4</v>
      </c>
      <c r="AO11" s="12" t="s">
        <v>4</v>
      </c>
      <c r="AP11" s="12" t="s">
        <v>4</v>
      </c>
      <c r="AQ11" s="12" t="s">
        <v>4</v>
      </c>
      <c r="AR11" s="12" t="s">
        <v>4</v>
      </c>
      <c r="AS11" s="12" t="s">
        <v>4</v>
      </c>
      <c r="AT11" s="12" t="s">
        <v>4</v>
      </c>
      <c r="AU11" s="12" t="s">
        <v>4</v>
      </c>
      <c r="AV11" s="12" t="s">
        <v>4</v>
      </c>
      <c r="AW11" s="12" t="s">
        <v>4</v>
      </c>
      <c r="AX11" s="12" t="s">
        <v>4</v>
      </c>
      <c r="AY11" s="12" t="s">
        <v>4</v>
      </c>
      <c r="AZ11" s="12" t="s">
        <v>4</v>
      </c>
      <c r="BA11" s="12" t="s">
        <v>4</v>
      </c>
      <c r="BB11" s="12" t="s">
        <v>4</v>
      </c>
      <c r="BC11" s="12" t="s">
        <v>4</v>
      </c>
      <c r="BD11" s="12" t="s">
        <v>4</v>
      </c>
      <c r="BE11" s="12" t="s">
        <v>4</v>
      </c>
      <c r="BF11" s="12" t="s">
        <v>4</v>
      </c>
      <c r="BG11" s="12" t="s">
        <v>4</v>
      </c>
      <c r="BH11" s="12" t="s">
        <v>4</v>
      </c>
      <c r="BI11" s="12" t="s">
        <v>4</v>
      </c>
      <c r="BJ11" s="12" t="s">
        <v>4</v>
      </c>
      <c r="BK11" s="12" t="s">
        <v>4</v>
      </c>
      <c r="BL11" s="12" t="s">
        <v>4</v>
      </c>
      <c r="BM11" s="12" t="s">
        <v>4</v>
      </c>
      <c r="BN11" s="12" t="s">
        <v>4</v>
      </c>
      <c r="BO11" s="12" t="s">
        <v>4</v>
      </c>
      <c r="BP11" s="12" t="s">
        <v>4</v>
      </c>
      <c r="BQ11" s="12" t="s">
        <v>4</v>
      </c>
    </row>
    <row r="12" spans="1:69" x14ac:dyDescent="0.3">
      <c r="A12" s="2">
        <f t="shared" si="13"/>
        <v>93</v>
      </c>
      <c r="B12" s="2">
        <v>10</v>
      </c>
      <c r="C12" s="3">
        <v>44654.708333333336</v>
      </c>
      <c r="D12" s="4">
        <v>24</v>
      </c>
      <c r="E12" s="4">
        <f t="shared" si="4"/>
        <v>216</v>
      </c>
      <c r="F12" s="5">
        <f t="shared" si="14"/>
        <v>9</v>
      </c>
      <c r="G12" s="13">
        <f t="shared" si="5"/>
        <v>45</v>
      </c>
      <c r="H12" s="13">
        <f t="shared" si="0"/>
        <v>1</v>
      </c>
      <c r="I12" s="13">
        <f t="shared" si="6"/>
        <v>0</v>
      </c>
      <c r="J12" s="13">
        <f t="shared" si="7"/>
        <v>0</v>
      </c>
      <c r="K12" s="13">
        <f t="shared" si="8"/>
        <v>0</v>
      </c>
      <c r="L12" s="13">
        <f t="shared" si="1"/>
        <v>0</v>
      </c>
      <c r="M12" s="13">
        <f t="shared" si="9"/>
        <v>0</v>
      </c>
      <c r="N12" s="5">
        <v>9</v>
      </c>
      <c r="O12" s="13">
        <f t="shared" si="2"/>
        <v>0</v>
      </c>
      <c r="P12" s="13">
        <f>COUNTIF(T12:BQ12, "L1_D")</f>
        <v>4</v>
      </c>
      <c r="Q12" s="13">
        <f t="shared" si="10"/>
        <v>0</v>
      </c>
      <c r="R12" s="13">
        <f t="shared" si="11"/>
        <v>0</v>
      </c>
      <c r="S12" s="13">
        <f t="shared" si="12"/>
        <v>0</v>
      </c>
      <c r="T12" s="28" t="s">
        <v>18</v>
      </c>
      <c r="U12" s="28" t="s">
        <v>18</v>
      </c>
      <c r="V12" s="28" t="s">
        <v>18</v>
      </c>
      <c r="W12" s="28" t="s">
        <v>18</v>
      </c>
      <c r="X12" s="12" t="s">
        <v>5</v>
      </c>
      <c r="Y12" s="12" t="s">
        <v>4</v>
      </c>
      <c r="Z12" s="12" t="s">
        <v>4</v>
      </c>
      <c r="AA12" s="12" t="s">
        <v>4</v>
      </c>
      <c r="AB12" s="12" t="s">
        <v>4</v>
      </c>
      <c r="AC12" s="12" t="s">
        <v>4</v>
      </c>
      <c r="AD12" s="12" t="s">
        <v>4</v>
      </c>
      <c r="AE12" s="12" t="s">
        <v>4</v>
      </c>
      <c r="AF12" s="12" t="s">
        <v>4</v>
      </c>
      <c r="AG12" s="12" t="s">
        <v>4</v>
      </c>
      <c r="AH12" s="12" t="s">
        <v>4</v>
      </c>
      <c r="AI12" s="12" t="s">
        <v>4</v>
      </c>
      <c r="AJ12" s="12" t="s">
        <v>4</v>
      </c>
      <c r="AK12" s="12" t="s">
        <v>4</v>
      </c>
      <c r="AL12" s="12" t="s">
        <v>4</v>
      </c>
      <c r="AM12" s="12" t="s">
        <v>4</v>
      </c>
      <c r="AN12" s="12" t="s">
        <v>4</v>
      </c>
      <c r="AO12" s="12" t="s">
        <v>4</v>
      </c>
      <c r="AP12" s="12" t="s">
        <v>4</v>
      </c>
      <c r="AQ12" s="12" t="s">
        <v>4</v>
      </c>
      <c r="AR12" s="12" t="s">
        <v>4</v>
      </c>
      <c r="AS12" s="12" t="s">
        <v>4</v>
      </c>
      <c r="AT12" s="12" t="s">
        <v>4</v>
      </c>
      <c r="AU12" s="12" t="s">
        <v>4</v>
      </c>
      <c r="AV12" s="12" t="s">
        <v>4</v>
      </c>
      <c r="AW12" s="12" t="s">
        <v>4</v>
      </c>
      <c r="AX12" s="12" t="s">
        <v>4</v>
      </c>
      <c r="AY12" s="12" t="s">
        <v>4</v>
      </c>
      <c r="AZ12" s="12" t="s">
        <v>4</v>
      </c>
      <c r="BA12" s="12" t="s">
        <v>4</v>
      </c>
      <c r="BB12" s="12" t="s">
        <v>4</v>
      </c>
      <c r="BC12" s="12" t="s">
        <v>4</v>
      </c>
      <c r="BD12" s="12" t="s">
        <v>4</v>
      </c>
      <c r="BE12" s="12" t="s">
        <v>4</v>
      </c>
      <c r="BF12" s="12" t="s">
        <v>4</v>
      </c>
      <c r="BG12" s="12" t="s">
        <v>4</v>
      </c>
      <c r="BH12" s="12" t="s">
        <v>4</v>
      </c>
      <c r="BI12" s="12" t="s">
        <v>4</v>
      </c>
      <c r="BJ12" s="12" t="s">
        <v>4</v>
      </c>
      <c r="BK12" s="12" t="s">
        <v>4</v>
      </c>
      <c r="BL12" s="12" t="s">
        <v>4</v>
      </c>
      <c r="BM12" s="12" t="s">
        <v>4</v>
      </c>
      <c r="BN12" s="12" t="s">
        <v>4</v>
      </c>
      <c r="BO12" s="12" t="s">
        <v>4</v>
      </c>
      <c r="BP12" s="12" t="s">
        <v>4</v>
      </c>
      <c r="BQ12" s="12" t="s">
        <v>4</v>
      </c>
    </row>
    <row r="13" spans="1:69" x14ac:dyDescent="0.3">
      <c r="A13" s="2">
        <f t="shared" si="13"/>
        <v>94</v>
      </c>
      <c r="B13" s="2">
        <v>11</v>
      </c>
      <c r="C13" s="3">
        <v>44655.708333333336</v>
      </c>
      <c r="D13" s="4">
        <v>24</v>
      </c>
      <c r="E13" s="4">
        <f t="shared" si="4"/>
        <v>240</v>
      </c>
      <c r="F13" s="5">
        <f>E13/24</f>
        <v>10</v>
      </c>
      <c r="G13" s="13">
        <f t="shared" si="5"/>
        <v>42</v>
      </c>
      <c r="H13" s="13">
        <f t="shared" si="0"/>
        <v>3</v>
      </c>
      <c r="I13" s="13">
        <f t="shared" si="6"/>
        <v>0</v>
      </c>
      <c r="J13" s="13">
        <f t="shared" si="7"/>
        <v>0</v>
      </c>
      <c r="K13" s="13">
        <f t="shared" si="8"/>
        <v>0</v>
      </c>
      <c r="L13" s="13">
        <f t="shared" si="1"/>
        <v>0</v>
      </c>
      <c r="M13" s="13">
        <f t="shared" si="9"/>
        <v>0</v>
      </c>
      <c r="N13" s="5">
        <v>10</v>
      </c>
      <c r="O13" s="13">
        <f t="shared" si="2"/>
        <v>0</v>
      </c>
      <c r="P13" s="13">
        <f t="shared" si="3"/>
        <v>5</v>
      </c>
      <c r="Q13" s="13">
        <f t="shared" si="10"/>
        <v>0</v>
      </c>
      <c r="R13" s="13">
        <f t="shared" si="11"/>
        <v>0</v>
      </c>
      <c r="S13" s="13">
        <f t="shared" si="12"/>
        <v>0</v>
      </c>
      <c r="T13" s="28" t="s">
        <v>18</v>
      </c>
      <c r="U13" s="28" t="s">
        <v>18</v>
      </c>
      <c r="V13" s="28" t="s">
        <v>18</v>
      </c>
      <c r="W13" s="28" t="s">
        <v>18</v>
      </c>
      <c r="X13" s="28" t="s">
        <v>18</v>
      </c>
      <c r="Y13" s="12" t="s">
        <v>5</v>
      </c>
      <c r="Z13" s="12" t="s">
        <v>5</v>
      </c>
      <c r="AA13" s="12" t="s">
        <v>5</v>
      </c>
      <c r="AB13" s="12" t="s">
        <v>4</v>
      </c>
      <c r="AC13" s="12" t="s">
        <v>4</v>
      </c>
      <c r="AD13" s="12" t="s">
        <v>4</v>
      </c>
      <c r="AE13" s="12" t="s">
        <v>4</v>
      </c>
      <c r="AF13" s="12" t="s">
        <v>4</v>
      </c>
      <c r="AG13" s="12" t="s">
        <v>4</v>
      </c>
      <c r="AH13" s="12" t="s">
        <v>4</v>
      </c>
      <c r="AI13" s="12" t="s">
        <v>4</v>
      </c>
      <c r="AJ13" s="12" t="s">
        <v>4</v>
      </c>
      <c r="AK13" s="12" t="s">
        <v>4</v>
      </c>
      <c r="AL13" s="12" t="s">
        <v>4</v>
      </c>
      <c r="AM13" s="12" t="s">
        <v>4</v>
      </c>
      <c r="AN13" s="12" t="s">
        <v>4</v>
      </c>
      <c r="AO13" s="12" t="s">
        <v>4</v>
      </c>
      <c r="AP13" s="12" t="s">
        <v>4</v>
      </c>
      <c r="AQ13" s="12" t="s">
        <v>4</v>
      </c>
      <c r="AR13" s="12" t="s">
        <v>4</v>
      </c>
      <c r="AS13" s="12" t="s">
        <v>4</v>
      </c>
      <c r="AT13" s="12" t="s">
        <v>4</v>
      </c>
      <c r="AU13" s="12" t="s">
        <v>4</v>
      </c>
      <c r="AV13" s="12" t="s">
        <v>4</v>
      </c>
      <c r="AW13" s="12" t="s">
        <v>4</v>
      </c>
      <c r="AX13" s="12" t="s">
        <v>4</v>
      </c>
      <c r="AY13" s="12" t="s">
        <v>4</v>
      </c>
      <c r="AZ13" s="12" t="s">
        <v>4</v>
      </c>
      <c r="BA13" s="12" t="s">
        <v>4</v>
      </c>
      <c r="BB13" s="12" t="s">
        <v>4</v>
      </c>
      <c r="BC13" s="12" t="s">
        <v>4</v>
      </c>
      <c r="BD13" s="12" t="s">
        <v>4</v>
      </c>
      <c r="BE13" s="12" t="s">
        <v>4</v>
      </c>
      <c r="BF13" s="12" t="s">
        <v>4</v>
      </c>
      <c r="BG13" s="12" t="s">
        <v>4</v>
      </c>
      <c r="BH13" s="12" t="s">
        <v>4</v>
      </c>
      <c r="BI13" s="12" t="s">
        <v>4</v>
      </c>
      <c r="BJ13" s="12" t="s">
        <v>4</v>
      </c>
      <c r="BK13" s="12" t="s">
        <v>4</v>
      </c>
      <c r="BL13" s="12" t="s">
        <v>4</v>
      </c>
      <c r="BM13" s="12" t="s">
        <v>4</v>
      </c>
      <c r="BN13" s="12" t="s">
        <v>4</v>
      </c>
      <c r="BO13" s="12" t="s">
        <v>4</v>
      </c>
      <c r="BP13" s="12" t="s">
        <v>4</v>
      </c>
      <c r="BQ13" s="12" t="s">
        <v>4</v>
      </c>
    </row>
    <row r="14" spans="1:69" x14ac:dyDescent="0.3">
      <c r="A14" s="2">
        <f t="shared" si="13"/>
        <v>95</v>
      </c>
      <c r="B14" s="2">
        <v>12</v>
      </c>
      <c r="C14" s="3">
        <v>44656.708333333336</v>
      </c>
      <c r="D14" s="4">
        <v>24</v>
      </c>
      <c r="E14" s="4">
        <f t="shared" si="4"/>
        <v>264</v>
      </c>
      <c r="F14" s="5">
        <f t="shared" si="14"/>
        <v>11</v>
      </c>
      <c r="G14" s="13">
        <f t="shared" si="5"/>
        <v>42</v>
      </c>
      <c r="H14" s="13">
        <f t="shared" si="0"/>
        <v>3</v>
      </c>
      <c r="I14" s="13">
        <f t="shared" si="6"/>
        <v>0</v>
      </c>
      <c r="J14" s="13">
        <f t="shared" si="7"/>
        <v>0</v>
      </c>
      <c r="K14" s="13">
        <f t="shared" si="8"/>
        <v>0</v>
      </c>
      <c r="L14" s="13">
        <f t="shared" si="1"/>
        <v>0</v>
      </c>
      <c r="M14" s="13">
        <f t="shared" si="9"/>
        <v>0</v>
      </c>
      <c r="N14" s="5">
        <v>11</v>
      </c>
      <c r="O14" s="13">
        <f t="shared" si="2"/>
        <v>0</v>
      </c>
      <c r="P14" s="13">
        <f t="shared" si="3"/>
        <v>5</v>
      </c>
      <c r="Q14" s="13">
        <f t="shared" si="10"/>
        <v>0</v>
      </c>
      <c r="R14" s="13">
        <f t="shared" si="11"/>
        <v>0</v>
      </c>
      <c r="S14" s="13">
        <f t="shared" si="12"/>
        <v>0</v>
      </c>
      <c r="T14" s="28" t="s">
        <v>18</v>
      </c>
      <c r="U14" s="28" t="s">
        <v>18</v>
      </c>
      <c r="V14" s="28" t="s">
        <v>18</v>
      </c>
      <c r="W14" s="28" t="s">
        <v>18</v>
      </c>
      <c r="X14" s="28" t="s">
        <v>18</v>
      </c>
      <c r="Y14" s="12" t="s">
        <v>5</v>
      </c>
      <c r="Z14" s="12" t="s">
        <v>5</v>
      </c>
      <c r="AA14" s="12" t="s">
        <v>5</v>
      </c>
      <c r="AB14" s="12" t="s">
        <v>4</v>
      </c>
      <c r="AC14" s="12" t="s">
        <v>4</v>
      </c>
      <c r="AD14" s="12" t="s">
        <v>4</v>
      </c>
      <c r="AE14" s="12" t="s">
        <v>4</v>
      </c>
      <c r="AF14" s="12" t="s">
        <v>4</v>
      </c>
      <c r="AG14" s="12" t="s">
        <v>4</v>
      </c>
      <c r="AH14" s="12" t="s">
        <v>4</v>
      </c>
      <c r="AI14" s="12" t="s">
        <v>4</v>
      </c>
      <c r="AJ14" s="12" t="s">
        <v>4</v>
      </c>
      <c r="AK14" s="12" t="s">
        <v>4</v>
      </c>
      <c r="AL14" s="12" t="s">
        <v>4</v>
      </c>
      <c r="AM14" s="12" t="s">
        <v>4</v>
      </c>
      <c r="AN14" s="12" t="s">
        <v>4</v>
      </c>
      <c r="AO14" s="12" t="s">
        <v>4</v>
      </c>
      <c r="AP14" s="12" t="s">
        <v>4</v>
      </c>
      <c r="AQ14" s="12" t="s">
        <v>4</v>
      </c>
      <c r="AR14" s="12" t="s">
        <v>4</v>
      </c>
      <c r="AS14" s="12" t="s">
        <v>4</v>
      </c>
      <c r="AT14" s="12" t="s">
        <v>4</v>
      </c>
      <c r="AU14" s="12" t="s">
        <v>4</v>
      </c>
      <c r="AV14" s="12" t="s">
        <v>4</v>
      </c>
      <c r="AW14" s="12" t="s">
        <v>4</v>
      </c>
      <c r="AX14" s="12" t="s">
        <v>4</v>
      </c>
      <c r="AY14" s="12" t="s">
        <v>4</v>
      </c>
      <c r="AZ14" s="12" t="s">
        <v>4</v>
      </c>
      <c r="BA14" s="12" t="s">
        <v>4</v>
      </c>
      <c r="BB14" s="12" t="s">
        <v>4</v>
      </c>
      <c r="BC14" s="12" t="s">
        <v>4</v>
      </c>
      <c r="BD14" s="12" t="s">
        <v>4</v>
      </c>
      <c r="BE14" s="12" t="s">
        <v>4</v>
      </c>
      <c r="BF14" s="12" t="s">
        <v>4</v>
      </c>
      <c r="BG14" s="12" t="s">
        <v>4</v>
      </c>
      <c r="BH14" s="12" t="s">
        <v>4</v>
      </c>
      <c r="BI14" s="12" t="s">
        <v>4</v>
      </c>
      <c r="BJ14" s="12" t="s">
        <v>4</v>
      </c>
      <c r="BK14" s="12" t="s">
        <v>4</v>
      </c>
      <c r="BL14" s="12" t="s">
        <v>4</v>
      </c>
      <c r="BM14" s="12" t="s">
        <v>4</v>
      </c>
      <c r="BN14" s="12" t="s">
        <v>4</v>
      </c>
      <c r="BO14" s="12" t="s">
        <v>4</v>
      </c>
      <c r="BP14" s="12" t="s">
        <v>4</v>
      </c>
      <c r="BQ14" s="12" t="s">
        <v>4</v>
      </c>
    </row>
    <row r="15" spans="1:69" x14ac:dyDescent="0.3">
      <c r="A15" s="2">
        <f t="shared" si="13"/>
        <v>96</v>
      </c>
      <c r="B15" s="2">
        <v>13</v>
      </c>
      <c r="C15" s="3">
        <v>44657.708333333336</v>
      </c>
      <c r="D15" s="4">
        <v>24</v>
      </c>
      <c r="E15" s="4">
        <f t="shared" si="4"/>
        <v>288</v>
      </c>
      <c r="F15" s="5">
        <f t="shared" si="14"/>
        <v>12</v>
      </c>
      <c r="G15" s="13">
        <f t="shared" si="5"/>
        <v>41</v>
      </c>
      <c r="H15" s="13">
        <f t="shared" si="0"/>
        <v>2</v>
      </c>
      <c r="I15" s="13">
        <f t="shared" si="6"/>
        <v>0</v>
      </c>
      <c r="J15" s="13">
        <f t="shared" si="7"/>
        <v>0</v>
      </c>
      <c r="K15" s="13">
        <f>COUNTIF(T15:BQ15, "L2")</f>
        <v>0</v>
      </c>
      <c r="L15" s="13">
        <f t="shared" si="1"/>
        <v>0</v>
      </c>
      <c r="M15" s="13">
        <f t="shared" si="9"/>
        <v>0</v>
      </c>
      <c r="N15" s="5">
        <v>12</v>
      </c>
      <c r="O15" s="13">
        <f t="shared" si="2"/>
        <v>0</v>
      </c>
      <c r="P15" s="13">
        <f t="shared" si="3"/>
        <v>7</v>
      </c>
      <c r="Q15" s="13">
        <f t="shared" si="10"/>
        <v>0</v>
      </c>
      <c r="R15" s="13">
        <f t="shared" si="11"/>
        <v>0</v>
      </c>
      <c r="S15" s="13">
        <f t="shared" si="12"/>
        <v>0</v>
      </c>
      <c r="T15" s="28" t="s">
        <v>18</v>
      </c>
      <c r="U15" s="28" t="s">
        <v>18</v>
      </c>
      <c r="V15" s="28" t="s">
        <v>18</v>
      </c>
      <c r="W15" s="28" t="s">
        <v>18</v>
      </c>
      <c r="X15" s="28" t="s">
        <v>18</v>
      </c>
      <c r="Y15" s="28" t="s">
        <v>18</v>
      </c>
      <c r="Z15" s="28" t="s">
        <v>18</v>
      </c>
      <c r="AA15" s="12" t="s">
        <v>5</v>
      </c>
      <c r="AB15" s="12" t="s">
        <v>5</v>
      </c>
      <c r="AC15" s="12" t="s">
        <v>4</v>
      </c>
      <c r="AD15" s="12" t="s">
        <v>4</v>
      </c>
      <c r="AE15" s="12" t="s">
        <v>4</v>
      </c>
      <c r="AF15" s="12" t="s">
        <v>4</v>
      </c>
      <c r="AG15" s="12" t="s">
        <v>4</v>
      </c>
      <c r="AH15" s="12" t="s">
        <v>4</v>
      </c>
      <c r="AI15" s="12" t="s">
        <v>4</v>
      </c>
      <c r="AJ15" s="12" t="s">
        <v>4</v>
      </c>
      <c r="AK15" s="12" t="s">
        <v>4</v>
      </c>
      <c r="AL15" s="12" t="s">
        <v>4</v>
      </c>
      <c r="AM15" s="12" t="s">
        <v>4</v>
      </c>
      <c r="AN15" s="12" t="s">
        <v>4</v>
      </c>
      <c r="AO15" s="12" t="s">
        <v>4</v>
      </c>
      <c r="AP15" s="12" t="s">
        <v>4</v>
      </c>
      <c r="AQ15" s="12" t="s">
        <v>4</v>
      </c>
      <c r="AR15" s="12" t="s">
        <v>4</v>
      </c>
      <c r="AS15" s="12" t="s">
        <v>4</v>
      </c>
      <c r="AT15" s="12" t="s">
        <v>4</v>
      </c>
      <c r="AU15" s="12" t="s">
        <v>4</v>
      </c>
      <c r="AV15" s="12" t="s">
        <v>4</v>
      </c>
      <c r="AW15" s="12" t="s">
        <v>4</v>
      </c>
      <c r="AX15" s="12" t="s">
        <v>4</v>
      </c>
      <c r="AY15" s="12" t="s">
        <v>4</v>
      </c>
      <c r="AZ15" s="12" t="s">
        <v>4</v>
      </c>
      <c r="BA15" s="12" t="s">
        <v>4</v>
      </c>
      <c r="BB15" s="12" t="s">
        <v>4</v>
      </c>
      <c r="BC15" s="12" t="s">
        <v>4</v>
      </c>
      <c r="BD15" s="12" t="s">
        <v>4</v>
      </c>
      <c r="BE15" s="12" t="s">
        <v>4</v>
      </c>
      <c r="BF15" s="12" t="s">
        <v>4</v>
      </c>
      <c r="BG15" s="12" t="s">
        <v>4</v>
      </c>
      <c r="BH15" s="12" t="s">
        <v>4</v>
      </c>
      <c r="BI15" s="12" t="s">
        <v>4</v>
      </c>
      <c r="BJ15" s="12" t="s">
        <v>4</v>
      </c>
      <c r="BK15" s="12" t="s">
        <v>4</v>
      </c>
      <c r="BL15" s="12" t="s">
        <v>4</v>
      </c>
      <c r="BM15" s="12" t="s">
        <v>4</v>
      </c>
      <c r="BN15" s="12" t="s">
        <v>4</v>
      </c>
      <c r="BO15" s="12" t="s">
        <v>4</v>
      </c>
      <c r="BP15" s="12" t="s">
        <v>4</v>
      </c>
      <c r="BQ15" s="12" t="s">
        <v>4</v>
      </c>
    </row>
    <row r="16" spans="1:69" x14ac:dyDescent="0.3">
      <c r="A16" s="2">
        <f t="shared" si="13"/>
        <v>97</v>
      </c>
      <c r="B16" s="2">
        <v>14</v>
      </c>
      <c r="C16" s="3">
        <v>44658.708333333336</v>
      </c>
      <c r="D16" s="4">
        <v>24</v>
      </c>
      <c r="E16" s="4">
        <f t="shared" si="4"/>
        <v>312</v>
      </c>
      <c r="F16" s="5">
        <f t="shared" si="14"/>
        <v>13</v>
      </c>
      <c r="G16" s="13">
        <f t="shared" si="5"/>
        <v>41</v>
      </c>
      <c r="H16" s="13">
        <f t="shared" si="0"/>
        <v>1</v>
      </c>
      <c r="I16" s="13">
        <f t="shared" si="6"/>
        <v>0</v>
      </c>
      <c r="J16" s="13">
        <f t="shared" si="7"/>
        <v>0</v>
      </c>
      <c r="K16" s="13">
        <f t="shared" si="8"/>
        <v>0</v>
      </c>
      <c r="L16" s="13">
        <f t="shared" si="1"/>
        <v>0</v>
      </c>
      <c r="M16" s="13">
        <f t="shared" si="9"/>
        <v>0</v>
      </c>
      <c r="N16" s="5">
        <v>13</v>
      </c>
      <c r="O16" s="13">
        <f t="shared" si="2"/>
        <v>0</v>
      </c>
      <c r="P16" s="13">
        <f t="shared" si="3"/>
        <v>8</v>
      </c>
      <c r="Q16" s="13">
        <f t="shared" si="10"/>
        <v>0</v>
      </c>
      <c r="R16" s="13">
        <f t="shared" si="11"/>
        <v>0</v>
      </c>
      <c r="S16" s="13">
        <f t="shared" si="12"/>
        <v>0</v>
      </c>
      <c r="T16" s="28" t="s">
        <v>18</v>
      </c>
      <c r="U16" s="28" t="s">
        <v>18</v>
      </c>
      <c r="V16" s="28" t="s">
        <v>18</v>
      </c>
      <c r="W16" s="28" t="s">
        <v>18</v>
      </c>
      <c r="X16" s="28" t="s">
        <v>18</v>
      </c>
      <c r="Y16" s="28" t="s">
        <v>18</v>
      </c>
      <c r="Z16" s="28" t="s">
        <v>18</v>
      </c>
      <c r="AA16" s="28" t="s">
        <v>18</v>
      </c>
      <c r="AB16" s="12" t="s">
        <v>5</v>
      </c>
      <c r="AC16" s="12" t="s">
        <v>4</v>
      </c>
      <c r="AD16" s="12" t="s">
        <v>4</v>
      </c>
      <c r="AE16" s="12" t="s">
        <v>4</v>
      </c>
      <c r="AF16" s="12" t="s">
        <v>4</v>
      </c>
      <c r="AG16" s="12" t="s">
        <v>4</v>
      </c>
      <c r="AH16" s="12" t="s">
        <v>4</v>
      </c>
      <c r="AI16" s="12" t="s">
        <v>4</v>
      </c>
      <c r="AJ16" s="12" t="s">
        <v>4</v>
      </c>
      <c r="AK16" s="12" t="s">
        <v>4</v>
      </c>
      <c r="AL16" s="12" t="s">
        <v>4</v>
      </c>
      <c r="AM16" s="12" t="s">
        <v>4</v>
      </c>
      <c r="AN16" s="12" t="s">
        <v>4</v>
      </c>
      <c r="AO16" s="12" t="s">
        <v>4</v>
      </c>
      <c r="AP16" s="12" t="s">
        <v>4</v>
      </c>
      <c r="AQ16" s="12" t="s">
        <v>4</v>
      </c>
      <c r="AR16" s="12" t="s">
        <v>4</v>
      </c>
      <c r="AS16" s="12" t="s">
        <v>4</v>
      </c>
      <c r="AT16" s="12" t="s">
        <v>4</v>
      </c>
      <c r="AU16" s="12" t="s">
        <v>4</v>
      </c>
      <c r="AV16" s="12" t="s">
        <v>4</v>
      </c>
      <c r="AW16" s="12" t="s">
        <v>4</v>
      </c>
      <c r="AX16" s="12" t="s">
        <v>4</v>
      </c>
      <c r="AY16" s="12" t="s">
        <v>4</v>
      </c>
      <c r="AZ16" s="12" t="s">
        <v>4</v>
      </c>
      <c r="BA16" s="12" t="s">
        <v>4</v>
      </c>
      <c r="BB16" s="12" t="s">
        <v>4</v>
      </c>
      <c r="BC16" s="12" t="s">
        <v>4</v>
      </c>
      <c r="BD16" s="12" t="s">
        <v>4</v>
      </c>
      <c r="BE16" s="12" t="s">
        <v>4</v>
      </c>
      <c r="BF16" s="12" t="s">
        <v>4</v>
      </c>
      <c r="BG16" s="12" t="s">
        <v>4</v>
      </c>
      <c r="BH16" s="12" t="s">
        <v>4</v>
      </c>
      <c r="BI16" s="12" t="s">
        <v>4</v>
      </c>
      <c r="BJ16" s="12" t="s">
        <v>4</v>
      </c>
      <c r="BK16" s="12" t="s">
        <v>4</v>
      </c>
      <c r="BL16" s="12" t="s">
        <v>4</v>
      </c>
      <c r="BM16" s="12" t="s">
        <v>4</v>
      </c>
      <c r="BN16" s="12" t="s">
        <v>4</v>
      </c>
      <c r="BO16" s="12" t="s">
        <v>4</v>
      </c>
      <c r="BP16" s="12" t="s">
        <v>4</v>
      </c>
      <c r="BQ16" s="12" t="s">
        <v>4</v>
      </c>
    </row>
    <row r="17" spans="1:69" x14ac:dyDescent="0.3">
      <c r="A17" s="2">
        <f t="shared" si="13"/>
        <v>98</v>
      </c>
      <c r="B17" s="2">
        <v>15</v>
      </c>
      <c r="C17" s="3">
        <v>44659.708333333336</v>
      </c>
      <c r="D17" s="4">
        <v>24</v>
      </c>
      <c r="E17" s="4">
        <f t="shared" si="4"/>
        <v>336</v>
      </c>
      <c r="F17" s="5">
        <f t="shared" si="14"/>
        <v>14</v>
      </c>
      <c r="G17" s="13">
        <f t="shared" si="5"/>
        <v>38</v>
      </c>
      <c r="H17" s="13">
        <f t="shared" si="0"/>
        <v>3</v>
      </c>
      <c r="I17" s="13">
        <f t="shared" si="6"/>
        <v>0</v>
      </c>
      <c r="J17" s="13">
        <f t="shared" si="7"/>
        <v>0</v>
      </c>
      <c r="K17" s="13">
        <f t="shared" si="8"/>
        <v>0</v>
      </c>
      <c r="L17" s="13">
        <f t="shared" si="1"/>
        <v>0</v>
      </c>
      <c r="M17" s="13">
        <f t="shared" si="9"/>
        <v>0</v>
      </c>
      <c r="N17" s="5">
        <v>14</v>
      </c>
      <c r="O17" s="13">
        <f t="shared" si="2"/>
        <v>0</v>
      </c>
      <c r="P17" s="13">
        <f t="shared" si="3"/>
        <v>9</v>
      </c>
      <c r="Q17" s="13">
        <f t="shared" si="10"/>
        <v>0</v>
      </c>
      <c r="R17" s="13">
        <f t="shared" si="11"/>
        <v>0</v>
      </c>
      <c r="S17" s="13">
        <f t="shared" si="12"/>
        <v>0</v>
      </c>
      <c r="T17" s="28" t="s">
        <v>18</v>
      </c>
      <c r="U17" s="28" t="s">
        <v>18</v>
      </c>
      <c r="V17" s="28" t="s">
        <v>18</v>
      </c>
      <c r="W17" s="28" t="s">
        <v>18</v>
      </c>
      <c r="X17" s="28" t="s">
        <v>18</v>
      </c>
      <c r="Y17" s="28" t="s">
        <v>18</v>
      </c>
      <c r="Z17" s="28" t="s">
        <v>18</v>
      </c>
      <c r="AA17" s="28" t="s">
        <v>18</v>
      </c>
      <c r="AB17" s="28" t="s">
        <v>18</v>
      </c>
      <c r="AC17" s="12" t="s">
        <v>5</v>
      </c>
      <c r="AD17" s="12" t="s">
        <v>5</v>
      </c>
      <c r="AE17" s="12" t="s">
        <v>5</v>
      </c>
      <c r="AF17" s="12" t="s">
        <v>4</v>
      </c>
      <c r="AG17" s="12" t="s">
        <v>4</v>
      </c>
      <c r="AH17" s="12" t="s">
        <v>4</v>
      </c>
      <c r="AI17" s="12" t="s">
        <v>4</v>
      </c>
      <c r="AJ17" s="12" t="s">
        <v>4</v>
      </c>
      <c r="AK17" s="12" t="s">
        <v>4</v>
      </c>
      <c r="AL17" s="12" t="s">
        <v>4</v>
      </c>
      <c r="AM17" s="12" t="s">
        <v>4</v>
      </c>
      <c r="AN17" s="12" t="s">
        <v>4</v>
      </c>
      <c r="AO17" s="12" t="s">
        <v>4</v>
      </c>
      <c r="AP17" s="12" t="s">
        <v>4</v>
      </c>
      <c r="AQ17" s="12" t="s">
        <v>4</v>
      </c>
      <c r="AR17" s="12" t="s">
        <v>4</v>
      </c>
      <c r="AS17" s="12" t="s">
        <v>4</v>
      </c>
      <c r="AT17" s="12" t="s">
        <v>4</v>
      </c>
      <c r="AU17" s="12" t="s">
        <v>4</v>
      </c>
      <c r="AV17" s="12" t="s">
        <v>4</v>
      </c>
      <c r="AW17" s="12" t="s">
        <v>4</v>
      </c>
      <c r="AX17" s="12" t="s">
        <v>4</v>
      </c>
      <c r="AY17" s="12" t="s">
        <v>4</v>
      </c>
      <c r="AZ17" s="12" t="s">
        <v>4</v>
      </c>
      <c r="BA17" s="12" t="s">
        <v>4</v>
      </c>
      <c r="BB17" s="12" t="s">
        <v>4</v>
      </c>
      <c r="BC17" s="12" t="s">
        <v>4</v>
      </c>
      <c r="BD17" s="12" t="s">
        <v>4</v>
      </c>
      <c r="BE17" s="12" t="s">
        <v>4</v>
      </c>
      <c r="BF17" s="12" t="s">
        <v>4</v>
      </c>
      <c r="BG17" s="12" t="s">
        <v>4</v>
      </c>
      <c r="BH17" s="12" t="s">
        <v>4</v>
      </c>
      <c r="BI17" s="12" t="s">
        <v>4</v>
      </c>
      <c r="BJ17" s="12" t="s">
        <v>4</v>
      </c>
      <c r="BK17" s="12" t="s">
        <v>4</v>
      </c>
      <c r="BL17" s="12" t="s">
        <v>4</v>
      </c>
      <c r="BM17" s="12" t="s">
        <v>4</v>
      </c>
      <c r="BN17" s="12" t="s">
        <v>4</v>
      </c>
      <c r="BO17" s="12" t="s">
        <v>4</v>
      </c>
      <c r="BP17" s="12" t="s">
        <v>4</v>
      </c>
      <c r="BQ17" s="12" t="s">
        <v>4</v>
      </c>
    </row>
    <row r="18" spans="1:69" x14ac:dyDescent="0.3">
      <c r="A18" s="2">
        <f t="shared" si="13"/>
        <v>99</v>
      </c>
      <c r="B18" s="2">
        <v>16</v>
      </c>
      <c r="C18" s="3">
        <v>44660.708333333336</v>
      </c>
      <c r="D18" s="4">
        <v>24</v>
      </c>
      <c r="E18" s="4">
        <f t="shared" si="4"/>
        <v>360</v>
      </c>
      <c r="F18" s="6">
        <f>E18/24</f>
        <v>15</v>
      </c>
      <c r="G18" s="13">
        <f t="shared" si="5"/>
        <v>0</v>
      </c>
      <c r="H18" s="13">
        <f t="shared" si="0"/>
        <v>2</v>
      </c>
      <c r="I18" s="13">
        <f t="shared" si="6"/>
        <v>0</v>
      </c>
      <c r="J18" s="13">
        <f t="shared" si="7"/>
        <v>0</v>
      </c>
      <c r="K18" s="13">
        <f t="shared" si="8"/>
        <v>0</v>
      </c>
      <c r="L18" s="13">
        <f t="shared" si="1"/>
        <v>0</v>
      </c>
      <c r="M18" s="13">
        <f t="shared" si="9"/>
        <v>0</v>
      </c>
      <c r="N18" s="6">
        <v>15</v>
      </c>
      <c r="O18" s="13">
        <f>COUNTIF(T18:BQ18, "E_D")</f>
        <v>38</v>
      </c>
      <c r="P18" s="13">
        <f t="shared" si="3"/>
        <v>10</v>
      </c>
      <c r="Q18" s="13">
        <f t="shared" si="10"/>
        <v>0</v>
      </c>
      <c r="R18" s="13">
        <f t="shared" si="11"/>
        <v>0</v>
      </c>
      <c r="S18" s="13">
        <f t="shared" si="12"/>
        <v>0</v>
      </c>
      <c r="T18" s="28" t="s">
        <v>18</v>
      </c>
      <c r="U18" s="28" t="s">
        <v>18</v>
      </c>
      <c r="V18" s="28" t="s">
        <v>18</v>
      </c>
      <c r="W18" s="28" t="s">
        <v>18</v>
      </c>
      <c r="X18" s="28" t="s">
        <v>18</v>
      </c>
      <c r="Y18" s="28" t="s">
        <v>18</v>
      </c>
      <c r="Z18" s="28" t="s">
        <v>18</v>
      </c>
      <c r="AA18" s="28" t="s">
        <v>18</v>
      </c>
      <c r="AB18" s="28" t="s">
        <v>18</v>
      </c>
      <c r="AC18" s="28" t="s">
        <v>18</v>
      </c>
      <c r="AD18" s="12" t="s">
        <v>5</v>
      </c>
      <c r="AE18" s="12" t="s">
        <v>5</v>
      </c>
      <c r="AF18" s="28" t="s">
        <v>17</v>
      </c>
      <c r="AG18" s="28" t="s">
        <v>17</v>
      </c>
      <c r="AH18" s="28" t="s">
        <v>17</v>
      </c>
      <c r="AI18" s="28" t="s">
        <v>17</v>
      </c>
      <c r="AJ18" s="28" t="s">
        <v>17</v>
      </c>
      <c r="AK18" s="28" t="s">
        <v>17</v>
      </c>
      <c r="AL18" s="28" t="s">
        <v>17</v>
      </c>
      <c r="AM18" s="28" t="s">
        <v>17</v>
      </c>
      <c r="AN18" s="28" t="s">
        <v>17</v>
      </c>
      <c r="AO18" s="28" t="s">
        <v>17</v>
      </c>
      <c r="AP18" s="28" t="s">
        <v>17</v>
      </c>
      <c r="AQ18" s="28" t="s">
        <v>17</v>
      </c>
      <c r="AR18" s="28" t="s">
        <v>17</v>
      </c>
      <c r="AS18" s="28" t="s">
        <v>17</v>
      </c>
      <c r="AT18" s="28" t="s">
        <v>17</v>
      </c>
      <c r="AU18" s="28" t="s">
        <v>17</v>
      </c>
      <c r="AV18" s="28" t="s">
        <v>17</v>
      </c>
      <c r="AW18" s="28" t="s">
        <v>17</v>
      </c>
      <c r="AX18" s="28" t="s">
        <v>17</v>
      </c>
      <c r="AY18" s="28" t="s">
        <v>17</v>
      </c>
      <c r="AZ18" s="28" t="s">
        <v>17</v>
      </c>
      <c r="BA18" s="28" t="s">
        <v>17</v>
      </c>
      <c r="BB18" s="28" t="s">
        <v>17</v>
      </c>
      <c r="BC18" s="28" t="s">
        <v>17</v>
      </c>
      <c r="BD18" s="28" t="s">
        <v>17</v>
      </c>
      <c r="BE18" s="28" t="s">
        <v>17</v>
      </c>
      <c r="BF18" s="28" t="s">
        <v>17</v>
      </c>
      <c r="BG18" s="28" t="s">
        <v>17</v>
      </c>
      <c r="BH18" s="28" t="s">
        <v>17</v>
      </c>
      <c r="BI18" s="28" t="s">
        <v>17</v>
      </c>
      <c r="BJ18" s="28" t="s">
        <v>17</v>
      </c>
      <c r="BK18" s="28" t="s">
        <v>17</v>
      </c>
      <c r="BL18" s="28" t="s">
        <v>17</v>
      </c>
      <c r="BM18" s="28" t="s">
        <v>17</v>
      </c>
      <c r="BN18" s="28" t="s">
        <v>17</v>
      </c>
      <c r="BO18" s="28" t="s">
        <v>17</v>
      </c>
      <c r="BP18" s="28" t="s">
        <v>17</v>
      </c>
      <c r="BQ18" s="28" t="s">
        <v>17</v>
      </c>
    </row>
    <row r="19" spans="1:69" x14ac:dyDescent="0.3">
      <c r="A19" s="2">
        <f>A18+1</f>
        <v>100</v>
      </c>
      <c r="B19" s="2">
        <v>17</v>
      </c>
      <c r="C19" s="3">
        <v>44661.708333333336</v>
      </c>
      <c r="D19" s="4">
        <v>24</v>
      </c>
      <c r="E19" s="4">
        <f t="shared" si="4"/>
        <v>384</v>
      </c>
      <c r="F19" s="6">
        <f t="shared" si="14"/>
        <v>16</v>
      </c>
      <c r="G19" s="13">
        <f t="shared" si="5"/>
        <v>0</v>
      </c>
      <c r="H19" s="13">
        <f t="shared" si="0"/>
        <v>2</v>
      </c>
      <c r="I19" s="13">
        <f t="shared" si="6"/>
        <v>0</v>
      </c>
      <c r="J19" s="13">
        <f t="shared" si="7"/>
        <v>0</v>
      </c>
      <c r="K19" s="13">
        <f t="shared" si="8"/>
        <v>0</v>
      </c>
      <c r="L19" s="13">
        <f t="shared" si="1"/>
        <v>0</v>
      </c>
      <c r="M19" s="13">
        <f t="shared" si="9"/>
        <v>0</v>
      </c>
      <c r="N19" s="6">
        <v>16</v>
      </c>
      <c r="O19" s="13">
        <f t="shared" si="2"/>
        <v>38</v>
      </c>
      <c r="P19" s="13">
        <f t="shared" si="3"/>
        <v>10</v>
      </c>
      <c r="Q19" s="13">
        <f t="shared" si="10"/>
        <v>0</v>
      </c>
      <c r="R19" s="13">
        <f t="shared" si="11"/>
        <v>0</v>
      </c>
      <c r="S19" s="13">
        <f t="shared" si="12"/>
        <v>0</v>
      </c>
      <c r="T19" s="28" t="s">
        <v>18</v>
      </c>
      <c r="U19" s="28" t="s">
        <v>18</v>
      </c>
      <c r="V19" s="28" t="s">
        <v>18</v>
      </c>
      <c r="W19" s="28" t="s">
        <v>18</v>
      </c>
      <c r="X19" s="28" t="s">
        <v>18</v>
      </c>
      <c r="Y19" s="28" t="s">
        <v>18</v>
      </c>
      <c r="Z19" s="28" t="s">
        <v>18</v>
      </c>
      <c r="AA19" s="28" t="s">
        <v>18</v>
      </c>
      <c r="AB19" s="28" t="s">
        <v>18</v>
      </c>
      <c r="AC19" s="28" t="s">
        <v>18</v>
      </c>
      <c r="AD19" s="12" t="s">
        <v>5</v>
      </c>
      <c r="AE19" s="12" t="s">
        <v>5</v>
      </c>
      <c r="AF19" s="28" t="s">
        <v>17</v>
      </c>
      <c r="AG19" s="28" t="s">
        <v>17</v>
      </c>
      <c r="AH19" s="28" t="s">
        <v>17</v>
      </c>
      <c r="AI19" s="28" t="s">
        <v>17</v>
      </c>
      <c r="AJ19" s="28" t="s">
        <v>17</v>
      </c>
      <c r="AK19" s="28" t="s">
        <v>17</v>
      </c>
      <c r="AL19" s="28" t="s">
        <v>17</v>
      </c>
      <c r="AM19" s="28" t="s">
        <v>17</v>
      </c>
      <c r="AN19" s="28" t="s">
        <v>17</v>
      </c>
      <c r="AO19" s="28" t="s">
        <v>17</v>
      </c>
      <c r="AP19" s="28" t="s">
        <v>17</v>
      </c>
      <c r="AQ19" s="28" t="s">
        <v>17</v>
      </c>
      <c r="AR19" s="28" t="s">
        <v>17</v>
      </c>
      <c r="AS19" s="28" t="s">
        <v>17</v>
      </c>
      <c r="AT19" s="28" t="s">
        <v>17</v>
      </c>
      <c r="AU19" s="28" t="s">
        <v>17</v>
      </c>
      <c r="AV19" s="28" t="s">
        <v>17</v>
      </c>
      <c r="AW19" s="28" t="s">
        <v>17</v>
      </c>
      <c r="AX19" s="28" t="s">
        <v>17</v>
      </c>
      <c r="AY19" s="28" t="s">
        <v>17</v>
      </c>
      <c r="AZ19" s="28" t="s">
        <v>17</v>
      </c>
      <c r="BA19" s="28" t="s">
        <v>17</v>
      </c>
      <c r="BB19" s="28" t="s">
        <v>17</v>
      </c>
      <c r="BC19" s="28" t="s">
        <v>17</v>
      </c>
      <c r="BD19" s="28" t="s">
        <v>17</v>
      </c>
      <c r="BE19" s="28" t="s">
        <v>17</v>
      </c>
      <c r="BF19" s="28" t="s">
        <v>17</v>
      </c>
      <c r="BG19" s="28" t="s">
        <v>17</v>
      </c>
      <c r="BH19" s="28" t="s">
        <v>17</v>
      </c>
      <c r="BI19" s="28" t="s">
        <v>17</v>
      </c>
      <c r="BJ19" s="28" t="s">
        <v>17</v>
      </c>
      <c r="BK19" s="28" t="s">
        <v>17</v>
      </c>
      <c r="BL19" s="28" t="s">
        <v>17</v>
      </c>
      <c r="BM19" s="28" t="s">
        <v>17</v>
      </c>
      <c r="BN19" s="28" t="s">
        <v>17</v>
      </c>
      <c r="BO19" s="28" t="s">
        <v>17</v>
      </c>
      <c r="BP19" s="28" t="s">
        <v>17</v>
      </c>
      <c r="BQ19" s="28" t="s">
        <v>17</v>
      </c>
    </row>
    <row r="20" spans="1:69" x14ac:dyDescent="0.3">
      <c r="A20" s="2">
        <f t="shared" si="13"/>
        <v>101</v>
      </c>
      <c r="B20" s="2">
        <v>18</v>
      </c>
      <c r="C20" s="3">
        <v>44662.708333333336</v>
      </c>
      <c r="D20" s="4">
        <v>24</v>
      </c>
      <c r="E20" s="4">
        <f t="shared" si="4"/>
        <v>408</v>
      </c>
      <c r="F20" s="6">
        <f t="shared" si="14"/>
        <v>17</v>
      </c>
      <c r="G20" s="13">
        <f t="shared" si="5"/>
        <v>0</v>
      </c>
      <c r="H20" s="13">
        <f t="shared" si="0"/>
        <v>1</v>
      </c>
      <c r="I20" s="13">
        <f t="shared" si="6"/>
        <v>0</v>
      </c>
      <c r="J20" s="13">
        <f t="shared" si="7"/>
        <v>0</v>
      </c>
      <c r="K20" s="13">
        <f t="shared" si="8"/>
        <v>0</v>
      </c>
      <c r="L20" s="13">
        <f t="shared" si="1"/>
        <v>0</v>
      </c>
      <c r="M20" s="13">
        <f t="shared" si="9"/>
        <v>0</v>
      </c>
      <c r="N20" s="6">
        <v>17</v>
      </c>
      <c r="O20" s="13">
        <f t="shared" si="2"/>
        <v>38</v>
      </c>
      <c r="P20" s="13">
        <f t="shared" si="3"/>
        <v>11</v>
      </c>
      <c r="Q20" s="13">
        <f t="shared" si="10"/>
        <v>0</v>
      </c>
      <c r="R20" s="13">
        <f t="shared" si="11"/>
        <v>0</v>
      </c>
      <c r="S20" s="13">
        <f t="shared" si="12"/>
        <v>0</v>
      </c>
      <c r="T20" s="28" t="s">
        <v>18</v>
      </c>
      <c r="U20" s="28" t="s">
        <v>18</v>
      </c>
      <c r="V20" s="28" t="s">
        <v>18</v>
      </c>
      <c r="W20" s="28" t="s">
        <v>18</v>
      </c>
      <c r="X20" s="28" t="s">
        <v>18</v>
      </c>
      <c r="Y20" s="28" t="s">
        <v>18</v>
      </c>
      <c r="Z20" s="28" t="s">
        <v>18</v>
      </c>
      <c r="AA20" s="28" t="s">
        <v>18</v>
      </c>
      <c r="AB20" s="28" t="s">
        <v>18</v>
      </c>
      <c r="AC20" s="28" t="s">
        <v>18</v>
      </c>
      <c r="AD20" s="28" t="s">
        <v>18</v>
      </c>
      <c r="AE20" s="12" t="s">
        <v>5</v>
      </c>
      <c r="AF20" s="28" t="s">
        <v>17</v>
      </c>
      <c r="AG20" s="28" t="s">
        <v>17</v>
      </c>
      <c r="AH20" s="28" t="s">
        <v>17</v>
      </c>
      <c r="AI20" s="28" t="s">
        <v>17</v>
      </c>
      <c r="AJ20" s="28" t="s">
        <v>17</v>
      </c>
      <c r="AK20" s="28" t="s">
        <v>17</v>
      </c>
      <c r="AL20" s="28" t="s">
        <v>17</v>
      </c>
      <c r="AM20" s="28" t="s">
        <v>17</v>
      </c>
      <c r="AN20" s="28" t="s">
        <v>17</v>
      </c>
      <c r="AO20" s="28" t="s">
        <v>17</v>
      </c>
      <c r="AP20" s="28" t="s">
        <v>17</v>
      </c>
      <c r="AQ20" s="28" t="s">
        <v>17</v>
      </c>
      <c r="AR20" s="28" t="s">
        <v>17</v>
      </c>
      <c r="AS20" s="28" t="s">
        <v>17</v>
      </c>
      <c r="AT20" s="28" t="s">
        <v>17</v>
      </c>
      <c r="AU20" s="28" t="s">
        <v>17</v>
      </c>
      <c r="AV20" s="28" t="s">
        <v>17</v>
      </c>
      <c r="AW20" s="28" t="s">
        <v>17</v>
      </c>
      <c r="AX20" s="28" t="s">
        <v>17</v>
      </c>
      <c r="AY20" s="28" t="s">
        <v>17</v>
      </c>
      <c r="AZ20" s="28" t="s">
        <v>17</v>
      </c>
      <c r="BA20" s="28" t="s">
        <v>17</v>
      </c>
      <c r="BB20" s="28" t="s">
        <v>17</v>
      </c>
      <c r="BC20" s="28" t="s">
        <v>17</v>
      </c>
      <c r="BD20" s="28" t="s">
        <v>17</v>
      </c>
      <c r="BE20" s="28" t="s">
        <v>17</v>
      </c>
      <c r="BF20" s="28" t="s">
        <v>17</v>
      </c>
      <c r="BG20" s="28" t="s">
        <v>17</v>
      </c>
      <c r="BH20" s="28" t="s">
        <v>17</v>
      </c>
      <c r="BI20" s="28" t="s">
        <v>17</v>
      </c>
      <c r="BJ20" s="28" t="s">
        <v>17</v>
      </c>
      <c r="BK20" s="28" t="s">
        <v>17</v>
      </c>
      <c r="BL20" s="28" t="s">
        <v>17</v>
      </c>
      <c r="BM20" s="28" t="s">
        <v>17</v>
      </c>
      <c r="BN20" s="28" t="s">
        <v>17</v>
      </c>
      <c r="BO20" s="28" t="s">
        <v>17</v>
      </c>
      <c r="BP20" s="28" t="s">
        <v>17</v>
      </c>
      <c r="BQ20" s="28" t="s">
        <v>17</v>
      </c>
    </row>
    <row r="21" spans="1:69" x14ac:dyDescent="0.3">
      <c r="A21" s="2">
        <f>A20+1</f>
        <v>102</v>
      </c>
      <c r="B21" s="2">
        <v>19</v>
      </c>
      <c r="C21" s="3">
        <v>44663.708333333336</v>
      </c>
      <c r="D21" s="4">
        <v>24</v>
      </c>
      <c r="E21" s="4">
        <f t="shared" si="4"/>
        <v>432</v>
      </c>
      <c r="F21" s="6">
        <f>E21/24</f>
        <v>18</v>
      </c>
      <c r="G21" s="13">
        <f t="shared" si="5"/>
        <v>0</v>
      </c>
      <c r="H21" s="13">
        <f t="shared" si="0"/>
        <v>0</v>
      </c>
      <c r="I21" s="13">
        <f t="shared" si="6"/>
        <v>0</v>
      </c>
      <c r="J21" s="13">
        <f t="shared" si="7"/>
        <v>0</v>
      </c>
      <c r="K21" s="13">
        <f t="shared" si="8"/>
        <v>0</v>
      </c>
      <c r="L21" s="13">
        <f t="shared" si="1"/>
        <v>0</v>
      </c>
      <c r="M21" s="13">
        <f t="shared" si="9"/>
        <v>0</v>
      </c>
      <c r="N21" s="6">
        <v>18</v>
      </c>
      <c r="O21" s="13">
        <f t="shared" si="2"/>
        <v>38</v>
      </c>
      <c r="P21" s="13">
        <f t="shared" si="3"/>
        <v>12</v>
      </c>
      <c r="Q21" s="13">
        <f t="shared" si="10"/>
        <v>0</v>
      </c>
      <c r="R21" s="13">
        <f t="shared" si="11"/>
        <v>0</v>
      </c>
      <c r="S21" s="13">
        <f t="shared" si="12"/>
        <v>0</v>
      </c>
      <c r="T21" s="28" t="s">
        <v>18</v>
      </c>
      <c r="U21" s="28" t="s">
        <v>18</v>
      </c>
      <c r="V21" s="28" t="s">
        <v>18</v>
      </c>
      <c r="W21" s="28" t="s">
        <v>18</v>
      </c>
      <c r="X21" s="28" t="s">
        <v>18</v>
      </c>
      <c r="Y21" s="28" t="s">
        <v>18</v>
      </c>
      <c r="Z21" s="28" t="s">
        <v>18</v>
      </c>
      <c r="AA21" s="28" t="s">
        <v>18</v>
      </c>
      <c r="AB21" s="28" t="s">
        <v>18</v>
      </c>
      <c r="AC21" s="28" t="s">
        <v>18</v>
      </c>
      <c r="AD21" s="28" t="s">
        <v>18</v>
      </c>
      <c r="AE21" s="28" t="s">
        <v>18</v>
      </c>
      <c r="AF21" s="28" t="s">
        <v>17</v>
      </c>
      <c r="AG21" s="28" t="s">
        <v>17</v>
      </c>
      <c r="AH21" s="28" t="s">
        <v>17</v>
      </c>
      <c r="AI21" s="28" t="s">
        <v>17</v>
      </c>
      <c r="AJ21" s="28" t="s">
        <v>17</v>
      </c>
      <c r="AK21" s="28" t="s">
        <v>17</v>
      </c>
      <c r="AL21" s="28" t="s">
        <v>17</v>
      </c>
      <c r="AM21" s="28" t="s">
        <v>17</v>
      </c>
      <c r="AN21" s="28" t="s">
        <v>17</v>
      </c>
      <c r="AO21" s="28" t="s">
        <v>17</v>
      </c>
      <c r="AP21" s="28" t="s">
        <v>17</v>
      </c>
      <c r="AQ21" s="28" t="s">
        <v>17</v>
      </c>
      <c r="AR21" s="28" t="s">
        <v>17</v>
      </c>
      <c r="AS21" s="28" t="s">
        <v>17</v>
      </c>
      <c r="AT21" s="28" t="s">
        <v>17</v>
      </c>
      <c r="AU21" s="28" t="s">
        <v>17</v>
      </c>
      <c r="AV21" s="28" t="s">
        <v>17</v>
      </c>
      <c r="AW21" s="28" t="s">
        <v>17</v>
      </c>
      <c r="AX21" s="28" t="s">
        <v>17</v>
      </c>
      <c r="AY21" s="28" t="s">
        <v>17</v>
      </c>
      <c r="AZ21" s="28" t="s">
        <v>17</v>
      </c>
      <c r="BA21" s="28" t="s">
        <v>17</v>
      </c>
      <c r="BB21" s="28" t="s">
        <v>17</v>
      </c>
      <c r="BC21" s="28" t="s">
        <v>17</v>
      </c>
      <c r="BD21" s="28" t="s">
        <v>17</v>
      </c>
      <c r="BE21" s="28" t="s">
        <v>17</v>
      </c>
      <c r="BF21" s="28" t="s">
        <v>17</v>
      </c>
      <c r="BG21" s="28" t="s">
        <v>17</v>
      </c>
      <c r="BH21" s="28" t="s">
        <v>17</v>
      </c>
      <c r="BI21" s="28" t="s">
        <v>17</v>
      </c>
      <c r="BJ21" s="28" t="s">
        <v>17</v>
      </c>
      <c r="BK21" s="28" t="s">
        <v>17</v>
      </c>
      <c r="BL21" s="28" t="s">
        <v>17</v>
      </c>
      <c r="BM21" s="28" t="s">
        <v>17</v>
      </c>
      <c r="BN21" s="28" t="s">
        <v>17</v>
      </c>
      <c r="BO21" s="28" t="s">
        <v>17</v>
      </c>
      <c r="BP21" s="28" t="s">
        <v>17</v>
      </c>
      <c r="BQ21" s="28" t="s">
        <v>17</v>
      </c>
    </row>
    <row r="23" spans="1:69" x14ac:dyDescent="0.3">
      <c r="F23" s="5"/>
      <c r="G23" s="13"/>
      <c r="H23" s="13"/>
      <c r="I23" s="13"/>
      <c r="J23" s="13"/>
      <c r="K23" s="13"/>
      <c r="N23" s="11" t="s">
        <v>3</v>
      </c>
      <c r="O23" s="14" t="s">
        <v>9</v>
      </c>
      <c r="P23" s="15" t="s">
        <v>5</v>
      </c>
      <c r="Q23" s="16" t="s">
        <v>8</v>
      </c>
      <c r="R23" s="17" t="s">
        <v>10</v>
      </c>
      <c r="S23" s="18" t="s">
        <v>11</v>
      </c>
    </row>
    <row r="24" spans="1:69" ht="14.4" customHeight="1" x14ac:dyDescent="0.3">
      <c r="F24" s="5"/>
      <c r="G24" s="13"/>
      <c r="H24" s="13"/>
      <c r="I24" s="13"/>
      <c r="J24" s="13"/>
      <c r="K24" s="13"/>
      <c r="N24" s="5">
        <v>0</v>
      </c>
      <c r="O24" s="13">
        <f>O4-O3</f>
        <v>0</v>
      </c>
      <c r="P24" s="13">
        <f>P4-P3</f>
        <v>0</v>
      </c>
      <c r="Q24" s="13">
        <f t="shared" ref="Q24:S24" si="15">Q4-Q3</f>
        <v>0</v>
      </c>
      <c r="R24" s="13">
        <f t="shared" si="15"/>
        <v>0</v>
      </c>
      <c r="S24" s="13">
        <f t="shared" si="15"/>
        <v>0</v>
      </c>
    </row>
    <row r="25" spans="1:69" ht="14.4" customHeight="1" x14ac:dyDescent="0.3">
      <c r="F25" s="5"/>
      <c r="G25" s="13"/>
      <c r="H25" s="13"/>
      <c r="I25" s="13"/>
      <c r="J25" s="13"/>
      <c r="K25" s="13"/>
      <c r="N25" s="5">
        <v>1</v>
      </c>
      <c r="O25" s="13">
        <f t="shared" ref="O25:O41" si="16">O5-O4</f>
        <v>0</v>
      </c>
      <c r="P25" s="13">
        <f t="shared" ref="P25:S25" si="17">P5-P4</f>
        <v>0</v>
      </c>
      <c r="Q25" s="13">
        <f t="shared" si="17"/>
        <v>0</v>
      </c>
      <c r="R25" s="13">
        <f t="shared" si="17"/>
        <v>0</v>
      </c>
      <c r="S25" s="13">
        <f t="shared" si="17"/>
        <v>0</v>
      </c>
    </row>
    <row r="26" spans="1:69" x14ac:dyDescent="0.3">
      <c r="F26" s="5"/>
      <c r="G26" s="13"/>
      <c r="H26" s="13"/>
      <c r="I26" s="13"/>
      <c r="J26" s="13"/>
      <c r="K26" s="13"/>
      <c r="N26" s="5">
        <v>2</v>
      </c>
      <c r="O26" s="13">
        <f t="shared" si="16"/>
        <v>0</v>
      </c>
      <c r="P26" s="13">
        <f t="shared" ref="P26:S26" si="18">P6-P5</f>
        <v>0</v>
      </c>
      <c r="Q26" s="13">
        <f t="shared" si="18"/>
        <v>0</v>
      </c>
      <c r="R26" s="13">
        <f t="shared" si="18"/>
        <v>0</v>
      </c>
      <c r="S26" s="13">
        <f t="shared" si="18"/>
        <v>0</v>
      </c>
    </row>
    <row r="27" spans="1:69" x14ac:dyDescent="0.3">
      <c r="F27" s="5"/>
      <c r="G27" s="13"/>
      <c r="H27" s="13"/>
      <c r="I27" s="13"/>
      <c r="J27" s="13"/>
      <c r="K27" s="13"/>
      <c r="N27" s="5">
        <v>3</v>
      </c>
      <c r="O27" s="13">
        <f t="shared" si="16"/>
        <v>0</v>
      </c>
      <c r="P27" s="13">
        <f t="shared" ref="P27:S27" si="19">P7-P6</f>
        <v>0</v>
      </c>
      <c r="Q27" s="13">
        <f t="shared" si="19"/>
        <v>0</v>
      </c>
      <c r="R27" s="13">
        <f t="shared" si="19"/>
        <v>0</v>
      </c>
      <c r="S27" s="13">
        <f t="shared" si="19"/>
        <v>0</v>
      </c>
    </row>
    <row r="28" spans="1:69" x14ac:dyDescent="0.3">
      <c r="F28" s="5"/>
      <c r="G28" s="13"/>
      <c r="H28" s="13"/>
      <c r="I28" s="13"/>
      <c r="J28" s="13"/>
      <c r="K28" s="13"/>
      <c r="N28" s="5">
        <v>4</v>
      </c>
      <c r="O28" s="13">
        <f t="shared" si="16"/>
        <v>0</v>
      </c>
      <c r="P28" s="13">
        <f t="shared" ref="P28:S28" si="20">P8-P7</f>
        <v>0</v>
      </c>
      <c r="Q28" s="13">
        <f t="shared" si="20"/>
        <v>0</v>
      </c>
      <c r="R28" s="13">
        <f t="shared" si="20"/>
        <v>0</v>
      </c>
      <c r="S28" s="13">
        <f t="shared" si="20"/>
        <v>0</v>
      </c>
    </row>
    <row r="29" spans="1:69" x14ac:dyDescent="0.3">
      <c r="F29" s="5"/>
      <c r="G29" s="13"/>
      <c r="H29" s="13"/>
      <c r="I29" s="13"/>
      <c r="J29" s="13"/>
      <c r="K29" s="13"/>
      <c r="N29" s="5">
        <v>5</v>
      </c>
      <c r="O29" s="13">
        <f t="shared" si="16"/>
        <v>0</v>
      </c>
      <c r="P29" s="13">
        <f t="shared" ref="P29:S29" si="21">P9-P8</f>
        <v>0</v>
      </c>
      <c r="Q29" s="13">
        <f t="shared" si="21"/>
        <v>0</v>
      </c>
      <c r="R29" s="13">
        <f t="shared" si="21"/>
        <v>0</v>
      </c>
      <c r="S29" s="13">
        <f t="shared" si="21"/>
        <v>0</v>
      </c>
    </row>
    <row r="30" spans="1:69" x14ac:dyDescent="0.3">
      <c r="F30" s="5"/>
      <c r="G30" s="13"/>
      <c r="H30" s="13"/>
      <c r="I30" s="13"/>
      <c r="J30" s="13"/>
      <c r="K30" s="13"/>
      <c r="N30" s="5">
        <v>6</v>
      </c>
      <c r="O30" s="13">
        <f t="shared" si="16"/>
        <v>0</v>
      </c>
      <c r="P30" s="13">
        <f>P10-P9</f>
        <v>2</v>
      </c>
      <c r="Q30" s="13">
        <f t="shared" ref="Q30:S30" si="22">Q10-Q9</f>
        <v>0</v>
      </c>
      <c r="R30" s="13">
        <f t="shared" si="22"/>
        <v>0</v>
      </c>
      <c r="S30" s="13">
        <f t="shared" si="22"/>
        <v>0</v>
      </c>
    </row>
    <row r="31" spans="1:69" x14ac:dyDescent="0.3">
      <c r="F31" s="5"/>
      <c r="G31" s="13"/>
      <c r="H31" s="13"/>
      <c r="I31" s="13"/>
      <c r="J31" s="13"/>
      <c r="K31" s="13"/>
      <c r="N31" s="5">
        <v>7</v>
      </c>
      <c r="O31" s="13">
        <f t="shared" si="16"/>
        <v>0</v>
      </c>
      <c r="P31" s="13">
        <f t="shared" ref="P31:S31" si="23">P11-P10</f>
        <v>1</v>
      </c>
      <c r="Q31" s="13">
        <f t="shared" si="23"/>
        <v>0</v>
      </c>
      <c r="R31" s="13">
        <f t="shared" si="23"/>
        <v>0</v>
      </c>
      <c r="S31" s="13">
        <f t="shared" si="23"/>
        <v>0</v>
      </c>
    </row>
    <row r="32" spans="1:69" x14ac:dyDescent="0.3">
      <c r="F32" s="5"/>
      <c r="G32" s="13"/>
      <c r="H32" s="13"/>
      <c r="I32" s="13"/>
      <c r="J32" s="13"/>
      <c r="K32" s="13"/>
      <c r="N32" s="5">
        <v>8</v>
      </c>
      <c r="O32" s="13">
        <f t="shared" si="16"/>
        <v>0</v>
      </c>
      <c r="P32" s="13">
        <f t="shared" ref="P32:S32" si="24">P12-P11</f>
        <v>1</v>
      </c>
      <c r="Q32" s="13">
        <f t="shared" si="24"/>
        <v>0</v>
      </c>
      <c r="R32" s="13">
        <f t="shared" si="24"/>
        <v>0</v>
      </c>
      <c r="S32" s="13">
        <f t="shared" si="24"/>
        <v>0</v>
      </c>
    </row>
    <row r="33" spans="6:19" x14ac:dyDescent="0.3">
      <c r="F33" s="5"/>
      <c r="G33" s="13"/>
      <c r="H33" s="13"/>
      <c r="I33" s="13"/>
      <c r="J33" s="13"/>
      <c r="K33" s="13"/>
      <c r="N33" s="5">
        <v>9</v>
      </c>
      <c r="O33" s="13">
        <f t="shared" si="16"/>
        <v>0</v>
      </c>
      <c r="P33" s="13">
        <f t="shared" ref="P33:S33" si="25">P13-P12</f>
        <v>1</v>
      </c>
      <c r="Q33" s="13">
        <f t="shared" si="25"/>
        <v>0</v>
      </c>
      <c r="R33" s="13">
        <f t="shared" si="25"/>
        <v>0</v>
      </c>
      <c r="S33" s="13">
        <f t="shared" si="25"/>
        <v>0</v>
      </c>
    </row>
    <row r="34" spans="6:19" x14ac:dyDescent="0.3">
      <c r="F34" s="5"/>
      <c r="G34" s="13"/>
      <c r="H34" s="13"/>
      <c r="I34" s="13"/>
      <c r="J34" s="13"/>
      <c r="K34" s="13"/>
      <c r="N34" s="5">
        <v>10</v>
      </c>
      <c r="O34" s="13">
        <f t="shared" si="16"/>
        <v>0</v>
      </c>
      <c r="P34" s="13">
        <f t="shared" ref="P34:S34" si="26">P14-P13</f>
        <v>0</v>
      </c>
      <c r="Q34" s="13">
        <f t="shared" si="26"/>
        <v>0</v>
      </c>
      <c r="R34" s="13">
        <f t="shared" si="26"/>
        <v>0</v>
      </c>
      <c r="S34" s="13">
        <f t="shared" si="26"/>
        <v>0</v>
      </c>
    </row>
    <row r="35" spans="6:19" x14ac:dyDescent="0.3">
      <c r="F35" s="5"/>
      <c r="G35" s="13"/>
      <c r="H35" s="13"/>
      <c r="I35" s="13"/>
      <c r="J35" s="13"/>
      <c r="K35" s="13"/>
      <c r="N35" s="5">
        <v>11</v>
      </c>
      <c r="O35" s="13">
        <f t="shared" si="16"/>
        <v>0</v>
      </c>
      <c r="P35" s="13">
        <f t="shared" ref="P35:S35" si="27">P15-P14</f>
        <v>2</v>
      </c>
      <c r="Q35" s="13">
        <f t="shared" si="27"/>
        <v>0</v>
      </c>
      <c r="R35" s="13">
        <f t="shared" si="27"/>
        <v>0</v>
      </c>
      <c r="S35" s="13">
        <f t="shared" si="27"/>
        <v>0</v>
      </c>
    </row>
    <row r="36" spans="6:19" x14ac:dyDescent="0.3">
      <c r="F36" s="5"/>
      <c r="G36" s="13"/>
      <c r="H36" s="13"/>
      <c r="I36" s="13"/>
      <c r="J36" s="13"/>
      <c r="K36" s="13"/>
      <c r="N36" s="5">
        <v>12</v>
      </c>
      <c r="O36" s="13">
        <f t="shared" si="16"/>
        <v>0</v>
      </c>
      <c r="P36" s="13">
        <f t="shared" ref="P36:S36" si="28">P16-P15</f>
        <v>1</v>
      </c>
      <c r="Q36" s="13">
        <f t="shared" si="28"/>
        <v>0</v>
      </c>
      <c r="R36" s="13">
        <f t="shared" si="28"/>
        <v>0</v>
      </c>
      <c r="S36" s="13">
        <f t="shared" si="28"/>
        <v>0</v>
      </c>
    </row>
    <row r="37" spans="6:19" x14ac:dyDescent="0.3">
      <c r="F37" s="5"/>
      <c r="G37" s="13"/>
      <c r="H37" s="13"/>
      <c r="I37" s="13"/>
      <c r="J37" s="13"/>
      <c r="K37" s="13"/>
      <c r="N37" s="5">
        <v>13</v>
      </c>
      <c r="O37" s="13">
        <f t="shared" si="16"/>
        <v>0</v>
      </c>
      <c r="P37" s="13">
        <f t="shared" ref="P37:S37" si="29">P17-P16</f>
        <v>1</v>
      </c>
      <c r="Q37" s="13">
        <f t="shared" si="29"/>
        <v>0</v>
      </c>
      <c r="R37" s="13">
        <f t="shared" si="29"/>
        <v>0</v>
      </c>
      <c r="S37" s="13">
        <f t="shared" si="29"/>
        <v>0</v>
      </c>
    </row>
    <row r="38" spans="6:19" x14ac:dyDescent="0.3">
      <c r="F38" s="5"/>
      <c r="G38" s="13"/>
      <c r="H38" s="13"/>
      <c r="I38" s="13"/>
      <c r="J38" s="13"/>
      <c r="K38" s="13"/>
      <c r="N38" s="5">
        <v>14</v>
      </c>
      <c r="O38" s="13">
        <f t="shared" si="16"/>
        <v>38</v>
      </c>
      <c r="P38" s="13">
        <f t="shared" ref="P38:S38" si="30">P18-P17</f>
        <v>1</v>
      </c>
      <c r="Q38" s="13">
        <f t="shared" si="30"/>
        <v>0</v>
      </c>
      <c r="R38" s="13">
        <f t="shared" si="30"/>
        <v>0</v>
      </c>
      <c r="S38" s="13">
        <f t="shared" si="30"/>
        <v>0</v>
      </c>
    </row>
    <row r="39" spans="6:19" x14ac:dyDescent="0.3">
      <c r="F39" s="6"/>
      <c r="G39" s="13"/>
      <c r="H39" s="13"/>
      <c r="I39" s="13"/>
      <c r="J39" s="13"/>
      <c r="K39" s="13"/>
      <c r="N39" s="6">
        <v>15</v>
      </c>
      <c r="O39" s="13">
        <f t="shared" si="16"/>
        <v>0</v>
      </c>
      <c r="P39" s="13">
        <f t="shared" ref="P39:S39" si="31">P19-P18</f>
        <v>0</v>
      </c>
      <c r="Q39" s="13">
        <f t="shared" si="31"/>
        <v>0</v>
      </c>
      <c r="R39" s="13">
        <f t="shared" si="31"/>
        <v>0</v>
      </c>
      <c r="S39" s="13">
        <f t="shared" si="31"/>
        <v>0</v>
      </c>
    </row>
    <row r="40" spans="6:19" x14ac:dyDescent="0.3">
      <c r="F40" s="6"/>
      <c r="G40" s="13"/>
      <c r="H40" s="13"/>
      <c r="I40" s="13"/>
      <c r="J40" s="13"/>
      <c r="K40" s="13"/>
      <c r="N40" s="6">
        <v>16</v>
      </c>
      <c r="O40" s="13">
        <f t="shared" si="16"/>
        <v>0</v>
      </c>
      <c r="P40" s="13">
        <f t="shared" ref="P40:S40" si="32">P20-P19</f>
        <v>1</v>
      </c>
      <c r="Q40" s="13">
        <f t="shared" si="32"/>
        <v>0</v>
      </c>
      <c r="R40" s="13">
        <f t="shared" si="32"/>
        <v>0</v>
      </c>
      <c r="S40" s="13">
        <f t="shared" si="32"/>
        <v>0</v>
      </c>
    </row>
    <row r="41" spans="6:19" x14ac:dyDescent="0.3">
      <c r="F41" s="6"/>
      <c r="G41" s="13"/>
      <c r="H41" s="13"/>
      <c r="I41" s="13"/>
      <c r="J41" s="13"/>
      <c r="K41" s="13"/>
      <c r="N41" s="6">
        <v>17</v>
      </c>
      <c r="O41" s="13">
        <f t="shared" si="16"/>
        <v>0</v>
      </c>
      <c r="P41" s="13">
        <f t="shared" ref="P41:S41" si="33">P21-P20</f>
        <v>1</v>
      </c>
      <c r="Q41" s="13">
        <f t="shared" si="33"/>
        <v>0</v>
      </c>
      <c r="R41" s="13">
        <f t="shared" si="33"/>
        <v>0</v>
      </c>
      <c r="S41" s="13">
        <f t="shared" si="33"/>
        <v>0</v>
      </c>
    </row>
    <row r="42" spans="6:19" x14ac:dyDescent="0.3">
      <c r="F42" s="6"/>
      <c r="G42" s="13"/>
      <c r="H42" s="13"/>
      <c r="I42" s="13"/>
      <c r="J42" s="13"/>
      <c r="K42" s="13"/>
      <c r="N42" s="6">
        <v>18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</row>
    <row r="44" spans="6:19" x14ac:dyDescent="0.3">
      <c r="N44" s="5"/>
      <c r="P44" s="1"/>
      <c r="Q44" s="1"/>
      <c r="R44" s="1"/>
      <c r="S44" s="1"/>
    </row>
    <row r="45" spans="6:19" x14ac:dyDescent="0.3">
      <c r="N45" s="5"/>
      <c r="O45" s="60" t="s">
        <v>64</v>
      </c>
      <c r="P45" s="1"/>
      <c r="Q45" s="1"/>
      <c r="R45" s="1"/>
      <c r="S45" s="1"/>
    </row>
    <row r="46" spans="6:19" x14ac:dyDescent="0.3">
      <c r="N46" s="11" t="s">
        <v>3</v>
      </c>
      <c r="O46" s="14" t="s">
        <v>9</v>
      </c>
      <c r="P46" s="15" t="s">
        <v>5</v>
      </c>
      <c r="Q46" s="16" t="s">
        <v>8</v>
      </c>
      <c r="R46" s="17" t="s">
        <v>10</v>
      </c>
      <c r="S46" s="18" t="s">
        <v>11</v>
      </c>
    </row>
    <row r="47" spans="6:19" x14ac:dyDescent="0.3">
      <c r="N47" s="5">
        <v>0</v>
      </c>
      <c r="O47" s="1">
        <f t="shared" ref="O47:S56" si="34">O3+O24</f>
        <v>0</v>
      </c>
      <c r="P47" s="1">
        <f t="shared" si="34"/>
        <v>0</v>
      </c>
      <c r="Q47" s="1">
        <f t="shared" si="34"/>
        <v>0</v>
      </c>
      <c r="R47" s="1">
        <f t="shared" si="34"/>
        <v>0</v>
      </c>
      <c r="S47" s="1">
        <f t="shared" si="34"/>
        <v>0</v>
      </c>
    </row>
    <row r="48" spans="6:19" x14ac:dyDescent="0.3">
      <c r="N48" s="5">
        <v>1</v>
      </c>
      <c r="O48" s="1">
        <f>O4+O25</f>
        <v>0</v>
      </c>
      <c r="P48" s="1">
        <f t="shared" si="34"/>
        <v>0</v>
      </c>
      <c r="Q48" s="1">
        <f t="shared" si="34"/>
        <v>0</v>
      </c>
      <c r="R48" s="1">
        <f t="shared" si="34"/>
        <v>0</v>
      </c>
      <c r="S48" s="1">
        <f t="shared" si="34"/>
        <v>0</v>
      </c>
    </row>
    <row r="49" spans="14:19" x14ac:dyDescent="0.3">
      <c r="N49" s="5">
        <v>2</v>
      </c>
      <c r="O49" s="1">
        <f t="shared" si="34"/>
        <v>0</v>
      </c>
      <c r="P49" s="1">
        <f t="shared" si="34"/>
        <v>0</v>
      </c>
      <c r="Q49" s="1">
        <f t="shared" si="34"/>
        <v>0</v>
      </c>
      <c r="R49" s="1">
        <f t="shared" si="34"/>
        <v>0</v>
      </c>
      <c r="S49" s="1">
        <f t="shared" si="34"/>
        <v>0</v>
      </c>
    </row>
    <row r="50" spans="14:19" x14ac:dyDescent="0.3">
      <c r="N50" s="5">
        <v>3</v>
      </c>
      <c r="O50" s="1">
        <f t="shared" si="34"/>
        <v>0</v>
      </c>
      <c r="P50" s="1">
        <f t="shared" si="34"/>
        <v>0</v>
      </c>
      <c r="Q50" s="1">
        <f t="shared" si="34"/>
        <v>0</v>
      </c>
      <c r="R50" s="1">
        <f t="shared" si="34"/>
        <v>0</v>
      </c>
      <c r="S50" s="1">
        <f t="shared" si="34"/>
        <v>0</v>
      </c>
    </row>
    <row r="51" spans="14:19" x14ac:dyDescent="0.3">
      <c r="N51" s="5">
        <v>4</v>
      </c>
      <c r="O51" s="1">
        <f t="shared" si="34"/>
        <v>0</v>
      </c>
      <c r="P51" s="1">
        <f t="shared" si="34"/>
        <v>0</v>
      </c>
      <c r="Q51" s="1">
        <f t="shared" si="34"/>
        <v>0</v>
      </c>
      <c r="R51" s="1">
        <f t="shared" si="34"/>
        <v>0</v>
      </c>
      <c r="S51" s="1">
        <f t="shared" si="34"/>
        <v>0</v>
      </c>
    </row>
    <row r="52" spans="14:19" x14ac:dyDescent="0.3">
      <c r="N52" s="5">
        <v>5</v>
      </c>
      <c r="O52" s="1">
        <f t="shared" si="34"/>
        <v>0</v>
      </c>
      <c r="P52" s="1">
        <f t="shared" si="34"/>
        <v>0</v>
      </c>
      <c r="Q52" s="1">
        <f t="shared" si="34"/>
        <v>0</v>
      </c>
      <c r="R52" s="1">
        <f t="shared" si="34"/>
        <v>0</v>
      </c>
      <c r="S52" s="1">
        <f t="shared" si="34"/>
        <v>0</v>
      </c>
    </row>
    <row r="53" spans="14:19" x14ac:dyDescent="0.3">
      <c r="N53" s="5">
        <v>6</v>
      </c>
      <c r="O53" s="1">
        <f t="shared" si="34"/>
        <v>0</v>
      </c>
      <c r="P53" s="1">
        <f t="shared" si="34"/>
        <v>2</v>
      </c>
      <c r="Q53" s="1">
        <f t="shared" si="34"/>
        <v>0</v>
      </c>
      <c r="R53" s="1">
        <f t="shared" si="34"/>
        <v>0</v>
      </c>
      <c r="S53" s="1">
        <f t="shared" si="34"/>
        <v>0</v>
      </c>
    </row>
    <row r="54" spans="14:19" x14ac:dyDescent="0.3">
      <c r="N54" s="5">
        <v>7</v>
      </c>
      <c r="O54" s="1">
        <f t="shared" si="34"/>
        <v>0</v>
      </c>
      <c r="P54" s="1">
        <f t="shared" si="34"/>
        <v>3</v>
      </c>
      <c r="Q54" s="1">
        <f t="shared" si="34"/>
        <v>0</v>
      </c>
      <c r="R54" s="1">
        <f t="shared" si="34"/>
        <v>0</v>
      </c>
      <c r="S54" s="1">
        <f t="shared" si="34"/>
        <v>0</v>
      </c>
    </row>
    <row r="55" spans="14:19" x14ac:dyDescent="0.3">
      <c r="N55" s="5">
        <v>8</v>
      </c>
      <c r="O55" s="1">
        <f t="shared" si="34"/>
        <v>0</v>
      </c>
      <c r="P55" s="1">
        <f t="shared" si="34"/>
        <v>4</v>
      </c>
      <c r="Q55" s="1">
        <f t="shared" si="34"/>
        <v>0</v>
      </c>
      <c r="R55" s="1">
        <f t="shared" si="34"/>
        <v>0</v>
      </c>
      <c r="S55" s="1">
        <f t="shared" si="34"/>
        <v>0</v>
      </c>
    </row>
    <row r="56" spans="14:19" x14ac:dyDescent="0.3">
      <c r="N56" s="5">
        <v>9</v>
      </c>
      <c r="O56" s="1">
        <f t="shared" si="34"/>
        <v>0</v>
      </c>
      <c r="P56" s="1">
        <f t="shared" si="34"/>
        <v>5</v>
      </c>
      <c r="Q56" s="1">
        <f t="shared" si="34"/>
        <v>0</v>
      </c>
      <c r="R56" s="1">
        <f t="shared" si="34"/>
        <v>0</v>
      </c>
      <c r="S56" s="1">
        <f t="shared" si="34"/>
        <v>0</v>
      </c>
    </row>
    <row r="57" spans="14:19" x14ac:dyDescent="0.3">
      <c r="N57" s="5">
        <v>10</v>
      </c>
      <c r="O57" s="1">
        <f t="shared" ref="O57:S65" si="35">O13+O34</f>
        <v>0</v>
      </c>
      <c r="P57" s="1">
        <f t="shared" si="35"/>
        <v>5</v>
      </c>
      <c r="Q57" s="1">
        <f t="shared" si="35"/>
        <v>0</v>
      </c>
      <c r="R57" s="1">
        <f t="shared" si="35"/>
        <v>0</v>
      </c>
      <c r="S57" s="1">
        <f t="shared" si="35"/>
        <v>0</v>
      </c>
    </row>
    <row r="58" spans="14:19" x14ac:dyDescent="0.3">
      <c r="N58" s="5">
        <v>11</v>
      </c>
      <c r="O58" s="1">
        <f t="shared" si="35"/>
        <v>0</v>
      </c>
      <c r="P58" s="1">
        <f t="shared" si="35"/>
        <v>7</v>
      </c>
      <c r="Q58" s="1">
        <f t="shared" si="35"/>
        <v>0</v>
      </c>
      <c r="R58" s="1">
        <f t="shared" si="35"/>
        <v>0</v>
      </c>
      <c r="S58" s="1">
        <f t="shared" si="35"/>
        <v>0</v>
      </c>
    </row>
    <row r="59" spans="14:19" x14ac:dyDescent="0.3">
      <c r="N59" s="5">
        <v>12</v>
      </c>
      <c r="O59" s="1">
        <f t="shared" si="35"/>
        <v>0</v>
      </c>
      <c r="P59" s="1">
        <f t="shared" si="35"/>
        <v>8</v>
      </c>
      <c r="Q59" s="1">
        <f t="shared" si="35"/>
        <v>0</v>
      </c>
      <c r="R59" s="1">
        <f t="shared" si="35"/>
        <v>0</v>
      </c>
      <c r="S59" s="1">
        <f t="shared" si="35"/>
        <v>0</v>
      </c>
    </row>
    <row r="60" spans="14:19" x14ac:dyDescent="0.3">
      <c r="N60" s="5">
        <v>13</v>
      </c>
      <c r="O60" s="1">
        <f t="shared" si="35"/>
        <v>0</v>
      </c>
      <c r="P60" s="1">
        <f t="shared" si="35"/>
        <v>9</v>
      </c>
      <c r="Q60" s="1">
        <f t="shared" si="35"/>
        <v>0</v>
      </c>
      <c r="R60" s="1">
        <f t="shared" si="35"/>
        <v>0</v>
      </c>
      <c r="S60" s="1">
        <f t="shared" si="35"/>
        <v>0</v>
      </c>
    </row>
    <row r="61" spans="14:19" x14ac:dyDescent="0.3">
      <c r="N61" s="5">
        <v>14</v>
      </c>
      <c r="O61" s="1">
        <f t="shared" si="35"/>
        <v>38</v>
      </c>
      <c r="P61" s="1">
        <f t="shared" si="35"/>
        <v>10</v>
      </c>
      <c r="Q61" s="1">
        <f t="shared" si="35"/>
        <v>0</v>
      </c>
      <c r="R61" s="1">
        <f t="shared" si="35"/>
        <v>0</v>
      </c>
      <c r="S61" s="1">
        <f t="shared" si="35"/>
        <v>0</v>
      </c>
    </row>
    <row r="62" spans="14:19" x14ac:dyDescent="0.3">
      <c r="N62" s="6">
        <v>15</v>
      </c>
      <c r="O62" s="1">
        <f t="shared" si="35"/>
        <v>38</v>
      </c>
      <c r="P62" s="1">
        <f t="shared" si="35"/>
        <v>10</v>
      </c>
      <c r="Q62" s="1">
        <f t="shared" si="35"/>
        <v>0</v>
      </c>
      <c r="R62" s="1">
        <f t="shared" si="35"/>
        <v>0</v>
      </c>
      <c r="S62" s="1">
        <f t="shared" si="35"/>
        <v>0</v>
      </c>
    </row>
    <row r="63" spans="14:19" x14ac:dyDescent="0.3">
      <c r="N63" s="6">
        <v>16</v>
      </c>
      <c r="O63" s="1">
        <f t="shared" si="35"/>
        <v>38</v>
      </c>
      <c r="P63" s="1">
        <f t="shared" si="35"/>
        <v>11</v>
      </c>
      <c r="Q63" s="1">
        <f t="shared" si="35"/>
        <v>0</v>
      </c>
      <c r="R63" s="1">
        <f t="shared" si="35"/>
        <v>0</v>
      </c>
      <c r="S63" s="1">
        <f t="shared" si="35"/>
        <v>0</v>
      </c>
    </row>
    <row r="64" spans="14:19" x14ac:dyDescent="0.3">
      <c r="N64" s="6">
        <v>17</v>
      </c>
      <c r="O64" s="1">
        <f t="shared" si="35"/>
        <v>38</v>
      </c>
      <c r="P64" s="1">
        <f t="shared" si="35"/>
        <v>12</v>
      </c>
      <c r="Q64" s="1">
        <f t="shared" si="35"/>
        <v>0</v>
      </c>
      <c r="R64" s="1">
        <f t="shared" si="35"/>
        <v>0</v>
      </c>
      <c r="S64" s="1">
        <f t="shared" si="35"/>
        <v>0</v>
      </c>
    </row>
    <row r="65" spans="14:19" x14ac:dyDescent="0.3">
      <c r="N65" s="6">
        <v>18</v>
      </c>
      <c r="O65" s="1">
        <f t="shared" si="35"/>
        <v>38</v>
      </c>
      <c r="P65" s="1">
        <f t="shared" si="35"/>
        <v>12</v>
      </c>
      <c r="Q65" s="1">
        <f t="shared" si="35"/>
        <v>0</v>
      </c>
      <c r="R65" s="1">
        <f t="shared" si="35"/>
        <v>0</v>
      </c>
      <c r="S65" s="1">
        <f t="shared" si="35"/>
        <v>0</v>
      </c>
    </row>
  </sheetData>
  <mergeCells count="2">
    <mergeCell ref="O1:S1"/>
    <mergeCell ref="T1:BQ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9272-B292-445E-B1FB-BD87BC102465}">
  <dimension ref="A1:BS166"/>
  <sheetViews>
    <sheetView topLeftCell="A25" zoomScale="70" zoomScaleNormal="70" workbookViewId="0">
      <selection activeCell="U40" sqref="U40"/>
    </sheetView>
  </sheetViews>
  <sheetFormatPr defaultRowHeight="14.4" x14ac:dyDescent="0.3"/>
  <cols>
    <col min="3" max="3" width="14.21875" bestFit="1" customWidth="1"/>
    <col min="4" max="4" width="18.6640625" bestFit="1" customWidth="1"/>
    <col min="5" max="5" width="6.33203125" customWidth="1"/>
    <col min="6" max="6" width="10" style="46" bestFit="1" customWidth="1"/>
    <col min="14" max="14" width="1.33203125" customWidth="1"/>
  </cols>
  <sheetData>
    <row r="1" spans="1:71" ht="14.4" customHeight="1" x14ac:dyDescent="0.3">
      <c r="A1" s="1"/>
      <c r="B1" s="1"/>
      <c r="C1" s="1"/>
      <c r="D1" s="1"/>
      <c r="E1" s="1"/>
      <c r="F1" s="7"/>
      <c r="G1" s="53" t="s">
        <v>15</v>
      </c>
      <c r="H1" s="47"/>
      <c r="I1" s="47"/>
      <c r="J1" s="47"/>
      <c r="K1" s="47"/>
      <c r="L1" s="47"/>
      <c r="M1" s="47"/>
      <c r="N1" s="30"/>
      <c r="O1" s="89" t="s">
        <v>16</v>
      </c>
      <c r="P1" s="89"/>
      <c r="Q1" s="89"/>
      <c r="R1" s="89"/>
      <c r="S1" s="89"/>
      <c r="T1" s="89"/>
      <c r="U1" s="89"/>
      <c r="V1" s="90" t="s">
        <v>12</v>
      </c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</row>
    <row r="2" spans="1:71" x14ac:dyDescent="0.3">
      <c r="A2" s="8" t="s">
        <v>0</v>
      </c>
      <c r="B2" s="9" t="s">
        <v>6</v>
      </c>
      <c r="C2" s="10" t="s">
        <v>19</v>
      </c>
      <c r="D2" s="10" t="s">
        <v>20</v>
      </c>
      <c r="E2" s="10" t="s">
        <v>21</v>
      </c>
      <c r="F2" s="11" t="s">
        <v>3</v>
      </c>
      <c r="G2" s="24" t="s">
        <v>9</v>
      </c>
      <c r="H2" s="25" t="s">
        <v>5</v>
      </c>
      <c r="I2" s="16" t="s">
        <v>8</v>
      </c>
      <c r="J2" s="17" t="s">
        <v>10</v>
      </c>
      <c r="K2" s="18" t="s">
        <v>11</v>
      </c>
      <c r="L2" s="63" t="s">
        <v>13</v>
      </c>
      <c r="M2" s="20" t="s">
        <v>14</v>
      </c>
      <c r="N2" s="30"/>
      <c r="O2" s="24" t="s">
        <v>9</v>
      </c>
      <c r="P2" s="25" t="s">
        <v>5</v>
      </c>
      <c r="Q2" s="16" t="s">
        <v>8</v>
      </c>
      <c r="R2" s="17" t="s">
        <v>10</v>
      </c>
      <c r="S2" s="18" t="s">
        <v>11</v>
      </c>
      <c r="T2" s="63" t="s">
        <v>13</v>
      </c>
      <c r="U2" s="66" t="s">
        <v>14</v>
      </c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</row>
    <row r="3" spans="1:71" x14ac:dyDescent="0.3">
      <c r="A3" s="2">
        <v>84</v>
      </c>
      <c r="B3" s="12">
        <v>1</v>
      </c>
      <c r="C3" s="26">
        <v>44645.708333333336</v>
      </c>
      <c r="D3" s="4">
        <v>0</v>
      </c>
      <c r="E3" s="4">
        <v>0</v>
      </c>
      <c r="F3" s="5">
        <v>0</v>
      </c>
      <c r="G3">
        <f>COUNTIF($V3:$BS3, "E")</f>
        <v>50</v>
      </c>
      <c r="H3">
        <f>COUNTIF($V3:$BS3, "L1")</f>
        <v>0</v>
      </c>
      <c r="I3">
        <f>COUNTIF($V3:$BS3, "L2")</f>
        <v>0</v>
      </c>
      <c r="J3">
        <f>COUNTIF($V3:$BS3, "L3")</f>
        <v>0</v>
      </c>
      <c r="K3">
        <f>COUNTIF($V3:$BS3, "P")</f>
        <v>0</v>
      </c>
      <c r="L3">
        <f t="shared" ref="L3:L34" si="0">COUNTIF($V3:$BS3, "AM")</f>
        <v>0</v>
      </c>
      <c r="M3">
        <f t="shared" ref="M3:M34" si="1">COUNTIF($V3:$BS3, "AF")</f>
        <v>0</v>
      </c>
      <c r="N3" s="30"/>
      <c r="O3">
        <f>COUNTIF($V3:$BS3, "E_D")</f>
        <v>0</v>
      </c>
      <c r="P3">
        <f>COUNTIF($V3:$BS3, "L1_D")</f>
        <v>0</v>
      </c>
      <c r="Q3">
        <f>COUNTIF($V3:$BS3, "L2_D")</f>
        <v>0</v>
      </c>
      <c r="R3">
        <f>COUNTIF($V3:$BS3, "L3_D")</f>
        <v>0</v>
      </c>
      <c r="S3">
        <f>COUNTIF($V3:$BS3, "P_D")</f>
        <v>0</v>
      </c>
      <c r="T3">
        <f>COUNTIF($V3:$BS3, "AM_D")</f>
        <v>0</v>
      </c>
      <c r="U3">
        <f>COUNTIF($V3:$BS3, "AF_D")</f>
        <v>0</v>
      </c>
      <c r="V3" s="31" t="s">
        <v>4</v>
      </c>
      <c r="W3" s="31" t="s">
        <v>4</v>
      </c>
      <c r="X3" s="31" t="s">
        <v>4</v>
      </c>
      <c r="Y3" s="31" t="s">
        <v>4</v>
      </c>
      <c r="Z3" s="31" t="s">
        <v>4</v>
      </c>
      <c r="AA3" s="31" t="s">
        <v>4</v>
      </c>
      <c r="AB3" s="31" t="s">
        <v>4</v>
      </c>
      <c r="AC3" s="31" t="s">
        <v>4</v>
      </c>
      <c r="AD3" s="31" t="s">
        <v>4</v>
      </c>
      <c r="AE3" s="31" t="s">
        <v>4</v>
      </c>
      <c r="AF3" s="31" t="s">
        <v>4</v>
      </c>
      <c r="AG3" s="31" t="s">
        <v>4</v>
      </c>
      <c r="AH3" s="31" t="s">
        <v>4</v>
      </c>
      <c r="AI3" s="31" t="s">
        <v>4</v>
      </c>
      <c r="AJ3" s="31" t="s">
        <v>4</v>
      </c>
      <c r="AK3" s="31" t="s">
        <v>4</v>
      </c>
      <c r="AL3" s="31" t="s">
        <v>4</v>
      </c>
      <c r="AM3" s="31" t="s">
        <v>4</v>
      </c>
      <c r="AN3" s="31" t="s">
        <v>4</v>
      </c>
      <c r="AO3" s="31" t="s">
        <v>4</v>
      </c>
      <c r="AP3" s="31" t="s">
        <v>4</v>
      </c>
      <c r="AQ3" s="31" t="s">
        <v>4</v>
      </c>
      <c r="AR3" s="31" t="s">
        <v>4</v>
      </c>
      <c r="AS3" s="31" t="s">
        <v>4</v>
      </c>
      <c r="AT3" s="31" t="s">
        <v>4</v>
      </c>
      <c r="AU3" s="31" t="s">
        <v>4</v>
      </c>
      <c r="AV3" s="31" t="s">
        <v>4</v>
      </c>
      <c r="AW3" s="31" t="s">
        <v>4</v>
      </c>
      <c r="AX3" s="31" t="s">
        <v>4</v>
      </c>
      <c r="AY3" s="31" t="s">
        <v>4</v>
      </c>
      <c r="AZ3" s="31" t="s">
        <v>4</v>
      </c>
      <c r="BA3" s="31" t="s">
        <v>4</v>
      </c>
      <c r="BB3" s="31" t="s">
        <v>4</v>
      </c>
      <c r="BC3" s="31" t="s">
        <v>4</v>
      </c>
      <c r="BD3" s="31" t="s">
        <v>4</v>
      </c>
      <c r="BE3" s="31" t="s">
        <v>4</v>
      </c>
      <c r="BF3" s="31" t="s">
        <v>4</v>
      </c>
      <c r="BG3" s="31" t="s">
        <v>4</v>
      </c>
      <c r="BH3" s="31" t="s">
        <v>4</v>
      </c>
      <c r="BI3" s="31" t="s">
        <v>4</v>
      </c>
      <c r="BJ3" s="31" t="s">
        <v>4</v>
      </c>
      <c r="BK3" s="28" t="s">
        <v>4</v>
      </c>
      <c r="BL3" s="28" t="s">
        <v>4</v>
      </c>
      <c r="BM3" s="31" t="s">
        <v>4</v>
      </c>
      <c r="BN3" s="31" t="s">
        <v>4</v>
      </c>
      <c r="BO3" s="31" t="s">
        <v>4</v>
      </c>
      <c r="BP3" s="31" t="s">
        <v>4</v>
      </c>
      <c r="BQ3" s="31" t="s">
        <v>4</v>
      </c>
      <c r="BR3" s="31" t="s">
        <v>4</v>
      </c>
      <c r="BS3" s="31" t="s">
        <v>4</v>
      </c>
    </row>
    <row r="4" spans="1:71" x14ac:dyDescent="0.3">
      <c r="A4" s="2">
        <f>A3+1</f>
        <v>85</v>
      </c>
      <c r="B4" s="12">
        <f>B3+1</f>
        <v>2</v>
      </c>
      <c r="C4" s="26">
        <v>44646.708333333336</v>
      </c>
      <c r="D4" s="4">
        <v>24</v>
      </c>
      <c r="E4" s="4">
        <f t="shared" ref="E4:E35" si="2">E3+D4</f>
        <v>24</v>
      </c>
      <c r="F4" s="5">
        <f t="shared" ref="F4:F35" si="3">E4/24</f>
        <v>1</v>
      </c>
      <c r="G4">
        <f>COUNTIF($V4:$BS4, "E")</f>
        <v>50</v>
      </c>
      <c r="H4">
        <f t="shared" ref="H4:H67" si="4">COUNTIF($V4:$BS4, "L1")</f>
        <v>0</v>
      </c>
      <c r="I4">
        <f t="shared" ref="I4:I67" si="5">COUNTIF($V4:$BS4, "L2")</f>
        <v>0</v>
      </c>
      <c r="J4">
        <f t="shared" ref="J4:J67" si="6">COUNTIF($V4:$BS4, "L3")</f>
        <v>0</v>
      </c>
      <c r="K4">
        <f t="shared" ref="K4:K67" si="7">COUNTIF($V4:$BS4, "P")</f>
        <v>0</v>
      </c>
      <c r="L4">
        <f t="shared" si="0"/>
        <v>0</v>
      </c>
      <c r="M4">
        <f t="shared" si="1"/>
        <v>0</v>
      </c>
      <c r="N4" s="30"/>
      <c r="O4">
        <f t="shared" ref="O4:O54" si="8">COUNTIF($V4:$BS4, "E_D")</f>
        <v>0</v>
      </c>
      <c r="P4">
        <f t="shared" ref="P4:P67" si="9">COUNTIF($V4:$BS4, "L1_D")</f>
        <v>0</v>
      </c>
      <c r="Q4">
        <f t="shared" ref="Q4:Q67" si="10">COUNTIF($V4:$BS4, "L2_D")</f>
        <v>0</v>
      </c>
      <c r="R4">
        <f t="shared" ref="R4:R67" si="11">COUNTIF($V4:$BS4, "L3_D")</f>
        <v>0</v>
      </c>
      <c r="S4">
        <f t="shared" ref="S4:S56" si="12">COUNTIF($V4:$BS4, "P_D")</f>
        <v>0</v>
      </c>
      <c r="T4">
        <f t="shared" ref="T4:T67" si="13">COUNTIF($V4:$BS4, "AM_D")</f>
        <v>0</v>
      </c>
      <c r="U4">
        <f t="shared" ref="U4:U67" si="14">COUNTIF($V4:$BS4, "AF_D")</f>
        <v>0</v>
      </c>
      <c r="V4" s="31" t="s">
        <v>4</v>
      </c>
      <c r="W4" s="31" t="s">
        <v>4</v>
      </c>
      <c r="X4" s="31" t="s">
        <v>4</v>
      </c>
      <c r="Y4" s="31" t="s">
        <v>4</v>
      </c>
      <c r="Z4" s="31" t="s">
        <v>4</v>
      </c>
      <c r="AA4" s="31" t="s">
        <v>4</v>
      </c>
      <c r="AB4" s="31" t="s">
        <v>4</v>
      </c>
      <c r="AC4" s="31" t="s">
        <v>4</v>
      </c>
      <c r="AD4" s="31" t="s">
        <v>4</v>
      </c>
      <c r="AE4" s="31" t="s">
        <v>4</v>
      </c>
      <c r="AF4" s="31" t="s">
        <v>4</v>
      </c>
      <c r="AG4" s="31" t="s">
        <v>4</v>
      </c>
      <c r="AH4" s="31" t="s">
        <v>4</v>
      </c>
      <c r="AI4" s="31" t="s">
        <v>4</v>
      </c>
      <c r="AJ4" s="31" t="s">
        <v>4</v>
      </c>
      <c r="AK4" s="31" t="s">
        <v>4</v>
      </c>
      <c r="AL4" s="31" t="s">
        <v>4</v>
      </c>
      <c r="AM4" s="31" t="s">
        <v>4</v>
      </c>
      <c r="AN4" s="31" t="s">
        <v>4</v>
      </c>
      <c r="AO4" s="31" t="s">
        <v>4</v>
      </c>
      <c r="AP4" s="31" t="s">
        <v>4</v>
      </c>
      <c r="AQ4" s="31" t="s">
        <v>4</v>
      </c>
      <c r="AR4" s="31" t="s">
        <v>4</v>
      </c>
      <c r="AS4" s="31" t="s">
        <v>4</v>
      </c>
      <c r="AT4" s="31" t="s">
        <v>4</v>
      </c>
      <c r="AU4" s="31" t="s">
        <v>4</v>
      </c>
      <c r="AV4" s="31" t="s">
        <v>4</v>
      </c>
      <c r="AW4" s="31" t="s">
        <v>4</v>
      </c>
      <c r="AX4" s="31" t="s">
        <v>4</v>
      </c>
      <c r="AY4" s="31" t="s">
        <v>4</v>
      </c>
      <c r="AZ4" s="31" t="s">
        <v>4</v>
      </c>
      <c r="BA4" s="31" t="s">
        <v>4</v>
      </c>
      <c r="BB4" s="31" t="s">
        <v>4</v>
      </c>
      <c r="BC4" s="31" t="s">
        <v>4</v>
      </c>
      <c r="BD4" s="31" t="s">
        <v>4</v>
      </c>
      <c r="BE4" s="31" t="s">
        <v>4</v>
      </c>
      <c r="BF4" s="31" t="s">
        <v>4</v>
      </c>
      <c r="BG4" s="31" t="s">
        <v>4</v>
      </c>
      <c r="BH4" s="31" t="s">
        <v>4</v>
      </c>
      <c r="BI4" s="31" t="s">
        <v>4</v>
      </c>
      <c r="BJ4" s="31" t="s">
        <v>4</v>
      </c>
      <c r="BK4" s="28" t="s">
        <v>4</v>
      </c>
      <c r="BL4" s="28" t="s">
        <v>4</v>
      </c>
      <c r="BM4" s="31" t="s">
        <v>4</v>
      </c>
      <c r="BN4" s="31" t="s">
        <v>4</v>
      </c>
      <c r="BO4" s="31" t="s">
        <v>4</v>
      </c>
      <c r="BP4" s="31" t="s">
        <v>4</v>
      </c>
      <c r="BQ4" s="31" t="s">
        <v>4</v>
      </c>
      <c r="BR4" s="31" t="s">
        <v>4</v>
      </c>
      <c r="BS4" s="31" t="s">
        <v>4</v>
      </c>
    </row>
    <row r="5" spans="1:71" x14ac:dyDescent="0.3">
      <c r="A5" s="2">
        <f t="shared" ref="A5:B20" si="15">A4+1</f>
        <v>86</v>
      </c>
      <c r="B5" s="12">
        <f t="shared" si="15"/>
        <v>3</v>
      </c>
      <c r="C5" s="26">
        <v>44647.708333333336</v>
      </c>
      <c r="D5" s="4">
        <v>24</v>
      </c>
      <c r="E5" s="4">
        <f t="shared" si="2"/>
        <v>48</v>
      </c>
      <c r="F5" s="5">
        <f t="shared" si="3"/>
        <v>2</v>
      </c>
      <c r="G5">
        <f t="shared" ref="G5:G68" si="16">COUNTIF($V5:$BS5, "E")</f>
        <v>50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si="7"/>
        <v>0</v>
      </c>
      <c r="L5">
        <f t="shared" si="0"/>
        <v>0</v>
      </c>
      <c r="M5">
        <f t="shared" si="1"/>
        <v>0</v>
      </c>
      <c r="N5" s="30"/>
      <c r="O5">
        <f t="shared" si="8"/>
        <v>0</v>
      </c>
      <c r="P5">
        <f t="shared" si="9"/>
        <v>0</v>
      </c>
      <c r="Q5">
        <f t="shared" si="10"/>
        <v>0</v>
      </c>
      <c r="R5">
        <f t="shared" si="11"/>
        <v>0</v>
      </c>
      <c r="S5">
        <f t="shared" si="12"/>
        <v>0</v>
      </c>
      <c r="T5">
        <f t="shared" si="13"/>
        <v>0</v>
      </c>
      <c r="U5">
        <f t="shared" si="14"/>
        <v>0</v>
      </c>
      <c r="V5" s="31" t="s">
        <v>4</v>
      </c>
      <c r="W5" s="31" t="s">
        <v>4</v>
      </c>
      <c r="X5" s="31" t="s">
        <v>4</v>
      </c>
      <c r="Y5" s="31" t="s">
        <v>4</v>
      </c>
      <c r="Z5" s="31" t="s">
        <v>4</v>
      </c>
      <c r="AA5" s="31" t="s">
        <v>4</v>
      </c>
      <c r="AB5" s="31" t="s">
        <v>4</v>
      </c>
      <c r="AC5" s="31" t="s">
        <v>4</v>
      </c>
      <c r="AD5" s="31" t="s">
        <v>4</v>
      </c>
      <c r="AE5" s="31" t="s">
        <v>4</v>
      </c>
      <c r="AF5" s="31" t="s">
        <v>4</v>
      </c>
      <c r="AG5" s="31" t="s">
        <v>4</v>
      </c>
      <c r="AH5" s="31" t="s">
        <v>4</v>
      </c>
      <c r="AI5" s="31" t="s">
        <v>4</v>
      </c>
      <c r="AJ5" s="31" t="s">
        <v>4</v>
      </c>
      <c r="AK5" s="31" t="s">
        <v>4</v>
      </c>
      <c r="AL5" s="31" t="s">
        <v>4</v>
      </c>
      <c r="AM5" s="31" t="s">
        <v>4</v>
      </c>
      <c r="AN5" s="31" t="s">
        <v>4</v>
      </c>
      <c r="AO5" s="31" t="s">
        <v>4</v>
      </c>
      <c r="AP5" s="31" t="s">
        <v>4</v>
      </c>
      <c r="AQ5" s="31" t="s">
        <v>4</v>
      </c>
      <c r="AR5" s="31" t="s">
        <v>4</v>
      </c>
      <c r="AS5" s="31" t="s">
        <v>4</v>
      </c>
      <c r="AT5" s="31" t="s">
        <v>4</v>
      </c>
      <c r="AU5" s="31" t="s">
        <v>4</v>
      </c>
      <c r="AV5" s="31" t="s">
        <v>4</v>
      </c>
      <c r="AW5" s="31" t="s">
        <v>4</v>
      </c>
      <c r="AX5" s="31" t="s">
        <v>4</v>
      </c>
      <c r="AY5" s="31" t="s">
        <v>4</v>
      </c>
      <c r="AZ5" s="31" t="s">
        <v>4</v>
      </c>
      <c r="BA5" s="31" t="s">
        <v>4</v>
      </c>
      <c r="BB5" s="31" t="s">
        <v>4</v>
      </c>
      <c r="BC5" s="31" t="s">
        <v>4</v>
      </c>
      <c r="BD5" s="31" t="s">
        <v>4</v>
      </c>
      <c r="BE5" s="31" t="s">
        <v>4</v>
      </c>
      <c r="BF5" s="31" t="s">
        <v>4</v>
      </c>
      <c r="BG5" s="31" t="s">
        <v>4</v>
      </c>
      <c r="BH5" s="31" t="s">
        <v>4</v>
      </c>
      <c r="BI5" s="31" t="s">
        <v>4</v>
      </c>
      <c r="BJ5" s="31" t="s">
        <v>4</v>
      </c>
      <c r="BK5" s="28" t="s">
        <v>4</v>
      </c>
      <c r="BL5" s="28" t="s">
        <v>4</v>
      </c>
      <c r="BM5" s="31" t="s">
        <v>4</v>
      </c>
      <c r="BN5" s="31" t="s">
        <v>4</v>
      </c>
      <c r="BO5" s="31" t="s">
        <v>4</v>
      </c>
      <c r="BP5" s="31" t="s">
        <v>4</v>
      </c>
      <c r="BQ5" s="31" t="s">
        <v>4</v>
      </c>
      <c r="BR5" s="31" t="s">
        <v>4</v>
      </c>
      <c r="BS5" s="31" t="s">
        <v>4</v>
      </c>
    </row>
    <row r="6" spans="1:71" x14ac:dyDescent="0.3">
      <c r="A6" s="2">
        <f t="shared" si="15"/>
        <v>87</v>
      </c>
      <c r="B6" s="12">
        <f t="shared" si="15"/>
        <v>4</v>
      </c>
      <c r="C6" s="26">
        <v>44648.708333333336</v>
      </c>
      <c r="D6" s="4">
        <v>24</v>
      </c>
      <c r="E6" s="4">
        <f t="shared" si="2"/>
        <v>72</v>
      </c>
      <c r="F6" s="5">
        <f t="shared" si="3"/>
        <v>3</v>
      </c>
      <c r="G6">
        <f t="shared" si="16"/>
        <v>47</v>
      </c>
      <c r="H6">
        <f t="shared" si="4"/>
        <v>3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0"/>
        <v>0</v>
      </c>
      <c r="M6">
        <f t="shared" si="1"/>
        <v>0</v>
      </c>
      <c r="N6" s="30"/>
      <c r="O6">
        <f t="shared" si="8"/>
        <v>0</v>
      </c>
      <c r="P6">
        <f t="shared" si="9"/>
        <v>0</v>
      </c>
      <c r="Q6">
        <f t="shared" si="10"/>
        <v>0</v>
      </c>
      <c r="R6">
        <f t="shared" si="11"/>
        <v>0</v>
      </c>
      <c r="S6">
        <f t="shared" si="12"/>
        <v>0</v>
      </c>
      <c r="T6">
        <f t="shared" si="13"/>
        <v>0</v>
      </c>
      <c r="U6">
        <f t="shared" si="14"/>
        <v>0</v>
      </c>
      <c r="V6" s="31" t="s">
        <v>5</v>
      </c>
      <c r="W6" s="31" t="s">
        <v>5</v>
      </c>
      <c r="X6" s="31" t="s">
        <v>5</v>
      </c>
      <c r="Y6" s="31" t="s">
        <v>4</v>
      </c>
      <c r="Z6" s="31" t="s">
        <v>4</v>
      </c>
      <c r="AA6" s="31" t="s">
        <v>4</v>
      </c>
      <c r="AB6" s="31" t="s">
        <v>4</v>
      </c>
      <c r="AC6" s="31" t="s">
        <v>4</v>
      </c>
      <c r="AD6" s="31" t="s">
        <v>4</v>
      </c>
      <c r="AE6" s="31" t="s">
        <v>4</v>
      </c>
      <c r="AF6" s="31" t="s">
        <v>4</v>
      </c>
      <c r="AG6" s="31" t="s">
        <v>4</v>
      </c>
      <c r="AH6" s="31" t="s">
        <v>4</v>
      </c>
      <c r="AI6" s="31" t="s">
        <v>4</v>
      </c>
      <c r="AJ6" s="31" t="s">
        <v>4</v>
      </c>
      <c r="AK6" s="31" t="s">
        <v>4</v>
      </c>
      <c r="AL6" s="31" t="s">
        <v>4</v>
      </c>
      <c r="AM6" s="31" t="s">
        <v>4</v>
      </c>
      <c r="AN6" s="31" t="s">
        <v>4</v>
      </c>
      <c r="AO6" s="31" t="s">
        <v>4</v>
      </c>
      <c r="AP6" s="31" t="s">
        <v>4</v>
      </c>
      <c r="AQ6" s="31" t="s">
        <v>4</v>
      </c>
      <c r="AR6" s="31" t="s">
        <v>4</v>
      </c>
      <c r="AS6" s="31" t="s">
        <v>4</v>
      </c>
      <c r="AT6" s="31" t="s">
        <v>4</v>
      </c>
      <c r="AU6" s="31" t="s">
        <v>4</v>
      </c>
      <c r="AV6" s="31" t="s">
        <v>4</v>
      </c>
      <c r="AW6" s="31" t="s">
        <v>4</v>
      </c>
      <c r="AX6" s="31" t="s">
        <v>4</v>
      </c>
      <c r="AY6" s="31" t="s">
        <v>4</v>
      </c>
      <c r="AZ6" s="31" t="s">
        <v>4</v>
      </c>
      <c r="BA6" s="31" t="s">
        <v>4</v>
      </c>
      <c r="BB6" s="31" t="s">
        <v>4</v>
      </c>
      <c r="BC6" s="31" t="s">
        <v>4</v>
      </c>
      <c r="BD6" s="31" t="s">
        <v>4</v>
      </c>
      <c r="BE6" s="31" t="s">
        <v>4</v>
      </c>
      <c r="BF6" s="31" t="s">
        <v>4</v>
      </c>
      <c r="BG6" s="31" t="s">
        <v>4</v>
      </c>
      <c r="BH6" s="31" t="s">
        <v>4</v>
      </c>
      <c r="BI6" s="31" t="s">
        <v>4</v>
      </c>
      <c r="BJ6" s="31" t="s">
        <v>4</v>
      </c>
      <c r="BK6" s="28" t="s">
        <v>4</v>
      </c>
      <c r="BL6" s="28" t="s">
        <v>4</v>
      </c>
      <c r="BM6" s="31" t="s">
        <v>4</v>
      </c>
      <c r="BN6" s="31" t="s">
        <v>4</v>
      </c>
      <c r="BO6" s="31" t="s">
        <v>4</v>
      </c>
      <c r="BP6" s="31" t="s">
        <v>4</v>
      </c>
      <c r="BQ6" s="31" t="s">
        <v>4</v>
      </c>
      <c r="BR6" s="31" t="s">
        <v>4</v>
      </c>
      <c r="BS6" s="31" t="s">
        <v>4</v>
      </c>
    </row>
    <row r="7" spans="1:71" x14ac:dyDescent="0.3">
      <c r="A7" s="2">
        <f t="shared" si="15"/>
        <v>88</v>
      </c>
      <c r="B7" s="12">
        <f t="shared" si="15"/>
        <v>5</v>
      </c>
      <c r="C7" s="26">
        <v>44649.708333333336</v>
      </c>
      <c r="D7" s="4">
        <v>24</v>
      </c>
      <c r="E7" s="4">
        <f t="shared" si="2"/>
        <v>96</v>
      </c>
      <c r="F7" s="5">
        <f>E7/24</f>
        <v>4</v>
      </c>
      <c r="G7">
        <f t="shared" si="16"/>
        <v>25</v>
      </c>
      <c r="H7">
        <f t="shared" si="4"/>
        <v>25</v>
      </c>
      <c r="I7">
        <f t="shared" si="5"/>
        <v>0</v>
      </c>
      <c r="J7">
        <f t="shared" si="6"/>
        <v>0</v>
      </c>
      <c r="K7">
        <f t="shared" si="7"/>
        <v>0</v>
      </c>
      <c r="L7">
        <f t="shared" si="0"/>
        <v>0</v>
      </c>
      <c r="M7">
        <f t="shared" si="1"/>
        <v>0</v>
      </c>
      <c r="N7" s="30"/>
      <c r="O7">
        <f t="shared" si="8"/>
        <v>0</v>
      </c>
      <c r="P7">
        <f t="shared" si="9"/>
        <v>0</v>
      </c>
      <c r="Q7">
        <f t="shared" si="10"/>
        <v>0</v>
      </c>
      <c r="R7">
        <f t="shared" si="11"/>
        <v>0</v>
      </c>
      <c r="S7">
        <f t="shared" si="12"/>
        <v>0</v>
      </c>
      <c r="T7">
        <f t="shared" si="13"/>
        <v>0</v>
      </c>
      <c r="U7">
        <f t="shared" si="14"/>
        <v>0</v>
      </c>
      <c r="V7" s="31" t="s">
        <v>5</v>
      </c>
      <c r="W7" s="31" t="s">
        <v>5</v>
      </c>
      <c r="X7" s="31" t="s">
        <v>5</v>
      </c>
      <c r="Y7" s="31" t="s">
        <v>5</v>
      </c>
      <c r="Z7" s="31" t="s">
        <v>5</v>
      </c>
      <c r="AA7" s="31" t="s">
        <v>5</v>
      </c>
      <c r="AB7" s="31" t="s">
        <v>5</v>
      </c>
      <c r="AC7" s="31" t="s">
        <v>5</v>
      </c>
      <c r="AD7" s="31" t="s">
        <v>5</v>
      </c>
      <c r="AE7" s="31" t="s">
        <v>5</v>
      </c>
      <c r="AF7" s="31" t="s">
        <v>5</v>
      </c>
      <c r="AG7" s="31" t="s">
        <v>5</v>
      </c>
      <c r="AH7" s="31" t="s">
        <v>5</v>
      </c>
      <c r="AI7" s="31" t="s">
        <v>5</v>
      </c>
      <c r="AJ7" s="31" t="s">
        <v>5</v>
      </c>
      <c r="AK7" s="31" t="s">
        <v>5</v>
      </c>
      <c r="AL7" s="31" t="s">
        <v>5</v>
      </c>
      <c r="AM7" s="31" t="s">
        <v>5</v>
      </c>
      <c r="AN7" s="31" t="s">
        <v>5</v>
      </c>
      <c r="AO7" s="31" t="s">
        <v>5</v>
      </c>
      <c r="AP7" s="31" t="s">
        <v>5</v>
      </c>
      <c r="AQ7" s="31" t="s">
        <v>5</v>
      </c>
      <c r="AR7" s="31" t="s">
        <v>5</v>
      </c>
      <c r="AS7" s="31" t="s">
        <v>5</v>
      </c>
      <c r="AT7" s="31" t="s">
        <v>5</v>
      </c>
      <c r="AU7" s="31" t="s">
        <v>4</v>
      </c>
      <c r="AV7" s="31" t="s">
        <v>4</v>
      </c>
      <c r="AW7" s="31" t="s">
        <v>4</v>
      </c>
      <c r="AX7" s="31" t="s">
        <v>4</v>
      </c>
      <c r="AY7" s="31" t="s">
        <v>4</v>
      </c>
      <c r="AZ7" s="31" t="s">
        <v>4</v>
      </c>
      <c r="BA7" s="31" t="s">
        <v>4</v>
      </c>
      <c r="BB7" s="31" t="s">
        <v>4</v>
      </c>
      <c r="BC7" s="31" t="s">
        <v>4</v>
      </c>
      <c r="BD7" s="31" t="s">
        <v>4</v>
      </c>
      <c r="BE7" s="31" t="s">
        <v>4</v>
      </c>
      <c r="BF7" s="31" t="s">
        <v>4</v>
      </c>
      <c r="BG7" s="31" t="s">
        <v>4</v>
      </c>
      <c r="BH7" s="31" t="s">
        <v>4</v>
      </c>
      <c r="BI7" s="31" t="s">
        <v>4</v>
      </c>
      <c r="BJ7" s="31" t="s">
        <v>4</v>
      </c>
      <c r="BK7" s="31" t="s">
        <v>4</v>
      </c>
      <c r="BL7" s="31" t="s">
        <v>4</v>
      </c>
      <c r="BM7" s="31" t="s">
        <v>4</v>
      </c>
      <c r="BN7" s="31" t="s">
        <v>4</v>
      </c>
      <c r="BO7" s="31" t="s">
        <v>4</v>
      </c>
      <c r="BP7" s="31" t="s">
        <v>4</v>
      </c>
      <c r="BQ7" s="31" t="s">
        <v>4</v>
      </c>
      <c r="BR7" s="31" t="s">
        <v>4</v>
      </c>
      <c r="BS7" s="31" t="s">
        <v>4</v>
      </c>
    </row>
    <row r="8" spans="1:71" x14ac:dyDescent="0.3">
      <c r="A8" s="2">
        <f t="shared" si="15"/>
        <v>89</v>
      </c>
      <c r="B8" s="12">
        <f t="shared" si="15"/>
        <v>6</v>
      </c>
      <c r="C8" s="26">
        <v>44650.708333333336</v>
      </c>
      <c r="D8" s="4">
        <v>24</v>
      </c>
      <c r="E8" s="4">
        <f t="shared" si="2"/>
        <v>120</v>
      </c>
      <c r="F8" s="5">
        <f t="shared" si="3"/>
        <v>5</v>
      </c>
      <c r="G8">
        <f t="shared" si="16"/>
        <v>10</v>
      </c>
      <c r="H8">
        <f t="shared" si="4"/>
        <v>40</v>
      </c>
      <c r="I8">
        <f t="shared" si="5"/>
        <v>0</v>
      </c>
      <c r="J8">
        <f t="shared" si="6"/>
        <v>0</v>
      </c>
      <c r="K8">
        <f t="shared" si="7"/>
        <v>0</v>
      </c>
      <c r="L8">
        <f t="shared" si="0"/>
        <v>0</v>
      </c>
      <c r="M8">
        <f t="shared" si="1"/>
        <v>0</v>
      </c>
      <c r="N8" s="30"/>
      <c r="O8">
        <f t="shared" si="8"/>
        <v>0</v>
      </c>
      <c r="P8">
        <f t="shared" si="9"/>
        <v>0</v>
      </c>
      <c r="Q8">
        <f t="shared" si="10"/>
        <v>0</v>
      </c>
      <c r="R8">
        <f t="shared" si="11"/>
        <v>0</v>
      </c>
      <c r="S8">
        <f t="shared" si="12"/>
        <v>0</v>
      </c>
      <c r="T8">
        <f t="shared" si="13"/>
        <v>0</v>
      </c>
      <c r="U8">
        <f t="shared" si="14"/>
        <v>0</v>
      </c>
      <c r="V8" s="31" t="s">
        <v>5</v>
      </c>
      <c r="W8" s="31" t="s">
        <v>5</v>
      </c>
      <c r="X8" s="31" t="s">
        <v>5</v>
      </c>
      <c r="Y8" s="31" t="s">
        <v>5</v>
      </c>
      <c r="Z8" s="31" t="s">
        <v>5</v>
      </c>
      <c r="AA8" s="31" t="s">
        <v>5</v>
      </c>
      <c r="AB8" s="31" t="s">
        <v>5</v>
      </c>
      <c r="AC8" s="31" t="s">
        <v>5</v>
      </c>
      <c r="AD8" s="31" t="s">
        <v>5</v>
      </c>
      <c r="AE8" s="31" t="s">
        <v>5</v>
      </c>
      <c r="AF8" s="31" t="s">
        <v>5</v>
      </c>
      <c r="AG8" s="31" t="s">
        <v>5</v>
      </c>
      <c r="AH8" s="31" t="s">
        <v>5</v>
      </c>
      <c r="AI8" s="31" t="s">
        <v>5</v>
      </c>
      <c r="AJ8" s="31" t="s">
        <v>5</v>
      </c>
      <c r="AK8" s="31" t="s">
        <v>5</v>
      </c>
      <c r="AL8" s="31" t="s">
        <v>5</v>
      </c>
      <c r="AM8" s="31" t="s">
        <v>5</v>
      </c>
      <c r="AN8" s="31" t="s">
        <v>5</v>
      </c>
      <c r="AO8" s="31" t="s">
        <v>5</v>
      </c>
      <c r="AP8" s="31" t="s">
        <v>5</v>
      </c>
      <c r="AQ8" s="31" t="s">
        <v>5</v>
      </c>
      <c r="AR8" s="31" t="s">
        <v>5</v>
      </c>
      <c r="AS8" s="31" t="s">
        <v>5</v>
      </c>
      <c r="AT8" s="31" t="s">
        <v>5</v>
      </c>
      <c r="AU8" s="31" t="s">
        <v>5</v>
      </c>
      <c r="AV8" s="31" t="s">
        <v>5</v>
      </c>
      <c r="AW8" s="31" t="s">
        <v>5</v>
      </c>
      <c r="AX8" s="31" t="s">
        <v>5</v>
      </c>
      <c r="AY8" s="31" t="s">
        <v>5</v>
      </c>
      <c r="AZ8" s="31" t="s">
        <v>5</v>
      </c>
      <c r="BA8" s="31" t="s">
        <v>5</v>
      </c>
      <c r="BB8" s="31" t="s">
        <v>5</v>
      </c>
      <c r="BC8" s="31" t="s">
        <v>5</v>
      </c>
      <c r="BD8" s="31" t="s">
        <v>5</v>
      </c>
      <c r="BE8" s="31" t="s">
        <v>5</v>
      </c>
      <c r="BF8" s="31" t="s">
        <v>5</v>
      </c>
      <c r="BG8" s="31" t="s">
        <v>5</v>
      </c>
      <c r="BH8" s="31" t="s">
        <v>5</v>
      </c>
      <c r="BI8" s="31" t="s">
        <v>5</v>
      </c>
      <c r="BJ8" s="31" t="s">
        <v>4</v>
      </c>
      <c r="BK8" s="31" t="s">
        <v>4</v>
      </c>
      <c r="BL8" s="31" t="s">
        <v>4</v>
      </c>
      <c r="BM8" s="31" t="s">
        <v>4</v>
      </c>
      <c r="BN8" s="31" t="s">
        <v>4</v>
      </c>
      <c r="BO8" s="31" t="s">
        <v>4</v>
      </c>
      <c r="BP8" s="31" t="s">
        <v>4</v>
      </c>
      <c r="BQ8" s="31" t="s">
        <v>4</v>
      </c>
      <c r="BR8" s="31" t="s">
        <v>4</v>
      </c>
      <c r="BS8" s="31" t="s">
        <v>4</v>
      </c>
    </row>
    <row r="9" spans="1:71" x14ac:dyDescent="0.3">
      <c r="A9" s="2">
        <f t="shared" si="15"/>
        <v>90</v>
      </c>
      <c r="B9" s="12">
        <f t="shared" si="15"/>
        <v>7</v>
      </c>
      <c r="C9" s="26">
        <v>44651.708333333336</v>
      </c>
      <c r="D9" s="4">
        <v>24</v>
      </c>
      <c r="E9" s="4">
        <f t="shared" si="2"/>
        <v>144</v>
      </c>
      <c r="F9" s="5">
        <f t="shared" si="3"/>
        <v>6</v>
      </c>
      <c r="G9">
        <f>COUNTIF($V9:$BS9, "E")</f>
        <v>9</v>
      </c>
      <c r="H9">
        <f t="shared" si="4"/>
        <v>41</v>
      </c>
      <c r="I9">
        <f t="shared" si="5"/>
        <v>0</v>
      </c>
      <c r="J9">
        <f t="shared" si="6"/>
        <v>0</v>
      </c>
      <c r="K9">
        <f t="shared" si="7"/>
        <v>0</v>
      </c>
      <c r="L9">
        <f t="shared" si="0"/>
        <v>0</v>
      </c>
      <c r="M9">
        <f t="shared" si="1"/>
        <v>0</v>
      </c>
      <c r="N9" s="30"/>
      <c r="O9">
        <f t="shared" si="8"/>
        <v>0</v>
      </c>
      <c r="P9">
        <f t="shared" si="9"/>
        <v>0</v>
      </c>
      <c r="Q9">
        <f t="shared" si="10"/>
        <v>0</v>
      </c>
      <c r="R9">
        <f t="shared" si="11"/>
        <v>0</v>
      </c>
      <c r="S9">
        <f t="shared" si="12"/>
        <v>0</v>
      </c>
      <c r="T9">
        <f t="shared" si="13"/>
        <v>0</v>
      </c>
      <c r="U9">
        <f>COUNTIF($V9:$BS9, "AF_D")</f>
        <v>0</v>
      </c>
      <c r="V9" s="31" t="s">
        <v>5</v>
      </c>
      <c r="W9" s="31" t="s">
        <v>5</v>
      </c>
      <c r="X9" s="31" t="s">
        <v>5</v>
      </c>
      <c r="Y9" s="31" t="s">
        <v>5</v>
      </c>
      <c r="Z9" s="31" t="s">
        <v>5</v>
      </c>
      <c r="AA9" s="31" t="s">
        <v>5</v>
      </c>
      <c r="AB9" s="31" t="s">
        <v>5</v>
      </c>
      <c r="AC9" s="31" t="s">
        <v>5</v>
      </c>
      <c r="AD9" s="31" t="s">
        <v>5</v>
      </c>
      <c r="AE9" s="31" t="s">
        <v>5</v>
      </c>
      <c r="AF9" s="31" t="s">
        <v>5</v>
      </c>
      <c r="AG9" s="31" t="s">
        <v>5</v>
      </c>
      <c r="AH9" s="31" t="s">
        <v>5</v>
      </c>
      <c r="AI9" s="31" t="s">
        <v>5</v>
      </c>
      <c r="AJ9" s="31" t="s">
        <v>5</v>
      </c>
      <c r="AK9" s="31" t="s">
        <v>5</v>
      </c>
      <c r="AL9" s="31" t="s">
        <v>5</v>
      </c>
      <c r="AM9" s="31" t="s">
        <v>5</v>
      </c>
      <c r="AN9" s="31" t="s">
        <v>5</v>
      </c>
      <c r="AO9" s="31" t="s">
        <v>5</v>
      </c>
      <c r="AP9" s="31" t="s">
        <v>5</v>
      </c>
      <c r="AQ9" s="31" t="s">
        <v>5</v>
      </c>
      <c r="AR9" s="31" t="s">
        <v>5</v>
      </c>
      <c r="AS9" s="31" t="s">
        <v>5</v>
      </c>
      <c r="AT9" s="31" t="s">
        <v>5</v>
      </c>
      <c r="AU9" s="31" t="s">
        <v>5</v>
      </c>
      <c r="AV9" s="31" t="s">
        <v>5</v>
      </c>
      <c r="AW9" s="31" t="s">
        <v>5</v>
      </c>
      <c r="AX9" s="31" t="s">
        <v>5</v>
      </c>
      <c r="AY9" s="31" t="s">
        <v>5</v>
      </c>
      <c r="AZ9" s="31" t="s">
        <v>5</v>
      </c>
      <c r="BA9" s="31" t="s">
        <v>5</v>
      </c>
      <c r="BB9" s="31" t="s">
        <v>5</v>
      </c>
      <c r="BC9" s="31" t="s">
        <v>5</v>
      </c>
      <c r="BD9" s="31" t="s">
        <v>5</v>
      </c>
      <c r="BE9" s="31" t="s">
        <v>5</v>
      </c>
      <c r="BF9" s="31" t="s">
        <v>5</v>
      </c>
      <c r="BG9" s="31" t="s">
        <v>5</v>
      </c>
      <c r="BH9" s="31" t="s">
        <v>5</v>
      </c>
      <c r="BI9" s="31" t="s">
        <v>5</v>
      </c>
      <c r="BJ9" s="31" t="s">
        <v>5</v>
      </c>
      <c r="BK9" s="31" t="s">
        <v>4</v>
      </c>
      <c r="BL9" s="31" t="s">
        <v>4</v>
      </c>
      <c r="BM9" s="31" t="s">
        <v>4</v>
      </c>
      <c r="BN9" s="31" t="s">
        <v>4</v>
      </c>
      <c r="BO9" s="31" t="s">
        <v>4</v>
      </c>
      <c r="BP9" s="31" t="s">
        <v>4</v>
      </c>
      <c r="BQ9" s="31" t="s">
        <v>4</v>
      </c>
      <c r="BR9" s="31" t="s">
        <v>4</v>
      </c>
      <c r="BS9" s="31" t="s">
        <v>4</v>
      </c>
    </row>
    <row r="10" spans="1:71" x14ac:dyDescent="0.3">
      <c r="A10" s="2">
        <f t="shared" si="15"/>
        <v>91</v>
      </c>
      <c r="B10" s="12">
        <f t="shared" si="15"/>
        <v>8</v>
      </c>
      <c r="C10" s="26">
        <v>44652.708333333336</v>
      </c>
      <c r="D10" s="4">
        <v>24</v>
      </c>
      <c r="E10" s="4">
        <f t="shared" si="2"/>
        <v>168</v>
      </c>
      <c r="F10" s="5">
        <f t="shared" si="3"/>
        <v>7</v>
      </c>
      <c r="G10">
        <f t="shared" si="16"/>
        <v>9</v>
      </c>
      <c r="H10">
        <f t="shared" si="4"/>
        <v>36</v>
      </c>
      <c r="I10">
        <f t="shared" si="5"/>
        <v>0</v>
      </c>
      <c r="J10">
        <f t="shared" si="6"/>
        <v>0</v>
      </c>
      <c r="K10">
        <f t="shared" si="7"/>
        <v>0</v>
      </c>
      <c r="L10">
        <f t="shared" si="0"/>
        <v>0</v>
      </c>
      <c r="M10">
        <f t="shared" si="1"/>
        <v>0</v>
      </c>
      <c r="N10" s="30"/>
      <c r="O10">
        <f t="shared" si="8"/>
        <v>0</v>
      </c>
      <c r="P10">
        <f>COUNTIF($V10:$BS10, "L1_D")</f>
        <v>5</v>
      </c>
      <c r="Q10">
        <f t="shared" si="10"/>
        <v>0</v>
      </c>
      <c r="R10">
        <f>COUNTIF($V10:$BS10, "L3_D")</f>
        <v>0</v>
      </c>
      <c r="S10">
        <f>COUNTIF($V10:$BS10, "P_D")</f>
        <v>0</v>
      </c>
      <c r="T10">
        <f t="shared" si="13"/>
        <v>0</v>
      </c>
      <c r="U10">
        <f t="shared" si="14"/>
        <v>0</v>
      </c>
      <c r="V10" s="31" t="s">
        <v>5</v>
      </c>
      <c r="W10" s="31" t="s">
        <v>5</v>
      </c>
      <c r="X10" s="31" t="s">
        <v>5</v>
      </c>
      <c r="Y10" s="31" t="s">
        <v>18</v>
      </c>
      <c r="Z10" s="31" t="s">
        <v>5</v>
      </c>
      <c r="AA10" s="31" t="s">
        <v>5</v>
      </c>
      <c r="AB10" s="31" t="s">
        <v>5</v>
      </c>
      <c r="AC10" s="31" t="s">
        <v>18</v>
      </c>
      <c r="AD10" s="31" t="s">
        <v>5</v>
      </c>
      <c r="AE10" s="31" t="s">
        <v>5</v>
      </c>
      <c r="AF10" s="31" t="s">
        <v>5</v>
      </c>
      <c r="AG10" s="31" t="s">
        <v>5</v>
      </c>
      <c r="AH10" s="31" t="s">
        <v>5</v>
      </c>
      <c r="AI10" s="31" t="s">
        <v>5</v>
      </c>
      <c r="AJ10" s="31" t="s">
        <v>5</v>
      </c>
      <c r="AK10" s="31" t="s">
        <v>5</v>
      </c>
      <c r="AL10" s="31" t="s">
        <v>5</v>
      </c>
      <c r="AM10" s="31" t="s">
        <v>5</v>
      </c>
      <c r="AN10" s="31" t="s">
        <v>5</v>
      </c>
      <c r="AO10" s="31" t="s">
        <v>18</v>
      </c>
      <c r="AP10" s="31" t="s">
        <v>5</v>
      </c>
      <c r="AQ10" s="31" t="s">
        <v>5</v>
      </c>
      <c r="AR10" s="31" t="s">
        <v>5</v>
      </c>
      <c r="AS10" s="31" t="s">
        <v>5</v>
      </c>
      <c r="AT10" s="31" t="s">
        <v>5</v>
      </c>
      <c r="AU10" s="31" t="s">
        <v>5</v>
      </c>
      <c r="AV10" s="31" t="s">
        <v>5</v>
      </c>
      <c r="AW10" s="31" t="s">
        <v>5</v>
      </c>
      <c r="AX10" s="31" t="s">
        <v>5</v>
      </c>
      <c r="AY10" s="31" t="s">
        <v>18</v>
      </c>
      <c r="AZ10" s="31" t="s">
        <v>5</v>
      </c>
      <c r="BA10" s="31" t="s">
        <v>5</v>
      </c>
      <c r="BB10" s="31" t="s">
        <v>5</v>
      </c>
      <c r="BC10" s="31" t="s">
        <v>5</v>
      </c>
      <c r="BD10" s="31" t="s">
        <v>5</v>
      </c>
      <c r="BE10" s="31" t="s">
        <v>5</v>
      </c>
      <c r="BF10" s="31" t="s">
        <v>5</v>
      </c>
      <c r="BG10" s="31" t="s">
        <v>5</v>
      </c>
      <c r="BH10" s="31" t="s">
        <v>18</v>
      </c>
      <c r="BI10" s="31" t="s">
        <v>5</v>
      </c>
      <c r="BJ10" s="31" t="s">
        <v>5</v>
      </c>
      <c r="BK10" s="31" t="s">
        <v>4</v>
      </c>
      <c r="BL10" s="31" t="s">
        <v>4</v>
      </c>
      <c r="BM10" s="31" t="s">
        <v>4</v>
      </c>
      <c r="BN10" s="31" t="s">
        <v>4</v>
      </c>
      <c r="BO10" s="31" t="s">
        <v>4</v>
      </c>
      <c r="BP10" s="31" t="s">
        <v>4</v>
      </c>
      <c r="BQ10" s="31" t="s">
        <v>4</v>
      </c>
      <c r="BR10" s="31" t="s">
        <v>4</v>
      </c>
      <c r="BS10" s="31" t="s">
        <v>4</v>
      </c>
    </row>
    <row r="11" spans="1:71" x14ac:dyDescent="0.3">
      <c r="A11" s="2">
        <f t="shared" si="15"/>
        <v>92</v>
      </c>
      <c r="B11" s="12">
        <f t="shared" si="15"/>
        <v>9</v>
      </c>
      <c r="C11" s="26">
        <v>44653.708333333336</v>
      </c>
      <c r="D11" s="4">
        <v>24</v>
      </c>
      <c r="E11" s="4">
        <f t="shared" si="2"/>
        <v>192</v>
      </c>
      <c r="F11" s="5">
        <f t="shared" si="3"/>
        <v>8</v>
      </c>
      <c r="G11">
        <f t="shared" si="16"/>
        <v>9</v>
      </c>
      <c r="H11">
        <f t="shared" si="4"/>
        <v>32</v>
      </c>
      <c r="I11">
        <f t="shared" si="5"/>
        <v>1</v>
      </c>
      <c r="J11">
        <f t="shared" si="6"/>
        <v>0</v>
      </c>
      <c r="K11">
        <f t="shared" si="7"/>
        <v>0</v>
      </c>
      <c r="L11">
        <f t="shared" si="0"/>
        <v>0</v>
      </c>
      <c r="M11">
        <f t="shared" si="1"/>
        <v>0</v>
      </c>
      <c r="N11" s="30"/>
      <c r="O11">
        <f t="shared" si="8"/>
        <v>0</v>
      </c>
      <c r="P11">
        <f>COUNTIF($V11:$BS11, "L1_D")</f>
        <v>8</v>
      </c>
      <c r="Q11">
        <f t="shared" si="10"/>
        <v>0</v>
      </c>
      <c r="R11">
        <f t="shared" si="11"/>
        <v>0</v>
      </c>
      <c r="S11">
        <f t="shared" si="12"/>
        <v>0</v>
      </c>
      <c r="T11">
        <f t="shared" si="13"/>
        <v>0</v>
      </c>
      <c r="U11">
        <f t="shared" si="14"/>
        <v>0</v>
      </c>
      <c r="V11" s="31" t="s">
        <v>5</v>
      </c>
      <c r="W11" s="31" t="s">
        <v>8</v>
      </c>
      <c r="X11" s="31" t="s">
        <v>5</v>
      </c>
      <c r="Y11" s="31" t="s">
        <v>18</v>
      </c>
      <c r="Z11" s="31" t="s">
        <v>5</v>
      </c>
      <c r="AA11" s="31" t="s">
        <v>5</v>
      </c>
      <c r="AB11" s="31" t="s">
        <v>5</v>
      </c>
      <c r="AC11" s="31" t="s">
        <v>18</v>
      </c>
      <c r="AD11" s="31" t="s">
        <v>5</v>
      </c>
      <c r="AE11" s="31" t="s">
        <v>5</v>
      </c>
      <c r="AF11" s="31" t="s">
        <v>5</v>
      </c>
      <c r="AG11" s="31" t="s">
        <v>5</v>
      </c>
      <c r="AH11" s="31" t="s">
        <v>5</v>
      </c>
      <c r="AI11" s="31" t="s">
        <v>5</v>
      </c>
      <c r="AJ11" s="31" t="s">
        <v>5</v>
      </c>
      <c r="AK11" s="31" t="s">
        <v>5</v>
      </c>
      <c r="AL11" s="31" t="s">
        <v>5</v>
      </c>
      <c r="AM11" s="31" t="s">
        <v>18</v>
      </c>
      <c r="AN11" s="31" t="s">
        <v>5</v>
      </c>
      <c r="AO11" s="31" t="s">
        <v>18</v>
      </c>
      <c r="AP11" s="31" t="s">
        <v>5</v>
      </c>
      <c r="AQ11" s="31" t="s">
        <v>5</v>
      </c>
      <c r="AR11" s="31" t="s">
        <v>5</v>
      </c>
      <c r="AS11" s="31" t="s">
        <v>5</v>
      </c>
      <c r="AT11" s="31" t="s">
        <v>5</v>
      </c>
      <c r="AU11" s="31" t="s">
        <v>5</v>
      </c>
      <c r="AV11" s="31" t="s">
        <v>18</v>
      </c>
      <c r="AW11" s="31" t="s">
        <v>5</v>
      </c>
      <c r="AX11" s="31" t="s">
        <v>5</v>
      </c>
      <c r="AY11" s="31" t="s">
        <v>18</v>
      </c>
      <c r="AZ11" s="31" t="s">
        <v>5</v>
      </c>
      <c r="BA11" s="31" t="s">
        <v>5</v>
      </c>
      <c r="BB11" s="31" t="s">
        <v>5</v>
      </c>
      <c r="BC11" s="31" t="s">
        <v>5</v>
      </c>
      <c r="BD11" s="31" t="s">
        <v>5</v>
      </c>
      <c r="BE11" s="31" t="s">
        <v>18</v>
      </c>
      <c r="BF11" s="31" t="s">
        <v>5</v>
      </c>
      <c r="BG11" s="31" t="s">
        <v>5</v>
      </c>
      <c r="BH11" s="31" t="s">
        <v>18</v>
      </c>
      <c r="BI11" s="31" t="s">
        <v>5</v>
      </c>
      <c r="BJ11" s="31" t="s">
        <v>5</v>
      </c>
      <c r="BK11" s="31" t="s">
        <v>4</v>
      </c>
      <c r="BL11" s="31" t="s">
        <v>4</v>
      </c>
      <c r="BM11" s="31" t="s">
        <v>4</v>
      </c>
      <c r="BN11" s="31" t="s">
        <v>4</v>
      </c>
      <c r="BO11" s="31" t="s">
        <v>4</v>
      </c>
      <c r="BP11" s="31" t="s">
        <v>4</v>
      </c>
      <c r="BQ11" s="31" t="s">
        <v>4</v>
      </c>
      <c r="BR11" s="31" t="s">
        <v>4</v>
      </c>
      <c r="BS11" s="31" t="s">
        <v>4</v>
      </c>
    </row>
    <row r="12" spans="1:71" x14ac:dyDescent="0.3">
      <c r="A12" s="2">
        <f t="shared" si="15"/>
        <v>93</v>
      </c>
      <c r="B12" s="12">
        <f t="shared" si="15"/>
        <v>10</v>
      </c>
      <c r="C12" s="26">
        <v>44654.708333333336</v>
      </c>
      <c r="D12" s="4">
        <v>24</v>
      </c>
      <c r="E12" s="4">
        <f t="shared" si="2"/>
        <v>216</v>
      </c>
      <c r="F12" s="5">
        <f t="shared" si="3"/>
        <v>9</v>
      </c>
      <c r="G12">
        <f t="shared" si="16"/>
        <v>9</v>
      </c>
      <c r="H12">
        <f t="shared" si="4"/>
        <v>27</v>
      </c>
      <c r="I12">
        <f t="shared" si="5"/>
        <v>3</v>
      </c>
      <c r="J12">
        <f t="shared" si="6"/>
        <v>0</v>
      </c>
      <c r="K12">
        <f t="shared" si="7"/>
        <v>0</v>
      </c>
      <c r="L12">
        <f t="shared" si="0"/>
        <v>0</v>
      </c>
      <c r="M12">
        <f t="shared" si="1"/>
        <v>0</v>
      </c>
      <c r="N12" s="30"/>
      <c r="O12">
        <f t="shared" si="8"/>
        <v>0</v>
      </c>
      <c r="P12">
        <f t="shared" si="9"/>
        <v>11</v>
      </c>
      <c r="Q12">
        <f t="shared" si="10"/>
        <v>0</v>
      </c>
      <c r="R12">
        <f t="shared" si="11"/>
        <v>0</v>
      </c>
      <c r="S12">
        <f t="shared" si="12"/>
        <v>0</v>
      </c>
      <c r="T12">
        <f t="shared" si="13"/>
        <v>0</v>
      </c>
      <c r="U12">
        <f t="shared" si="14"/>
        <v>0</v>
      </c>
      <c r="V12" s="31" t="s">
        <v>8</v>
      </c>
      <c r="W12" s="31" t="s">
        <v>8</v>
      </c>
      <c r="X12" s="31" t="s">
        <v>5</v>
      </c>
      <c r="Y12" s="31" t="s">
        <v>18</v>
      </c>
      <c r="Z12" s="31" t="s">
        <v>5</v>
      </c>
      <c r="AA12" s="31" t="s">
        <v>5</v>
      </c>
      <c r="AB12" s="31" t="s">
        <v>5</v>
      </c>
      <c r="AC12" s="31" t="s">
        <v>18</v>
      </c>
      <c r="AD12" s="31" t="s">
        <v>5</v>
      </c>
      <c r="AE12" s="31" t="s">
        <v>8</v>
      </c>
      <c r="AF12" s="31" t="s">
        <v>5</v>
      </c>
      <c r="AG12" s="31" t="s">
        <v>18</v>
      </c>
      <c r="AH12" s="31" t="s">
        <v>5</v>
      </c>
      <c r="AI12" s="31" t="s">
        <v>5</v>
      </c>
      <c r="AJ12" s="31" t="s">
        <v>5</v>
      </c>
      <c r="AK12" s="31" t="s">
        <v>5</v>
      </c>
      <c r="AL12" s="31" t="s">
        <v>5</v>
      </c>
      <c r="AM12" s="31" t="s">
        <v>18</v>
      </c>
      <c r="AN12" s="31" t="s">
        <v>5</v>
      </c>
      <c r="AO12" s="31" t="s">
        <v>18</v>
      </c>
      <c r="AP12" s="31" t="s">
        <v>5</v>
      </c>
      <c r="AQ12" s="31" t="s">
        <v>5</v>
      </c>
      <c r="AR12" s="31" t="s">
        <v>5</v>
      </c>
      <c r="AS12" s="31" t="s">
        <v>5</v>
      </c>
      <c r="AT12" s="31" t="s">
        <v>5</v>
      </c>
      <c r="AU12" s="31" t="s">
        <v>5</v>
      </c>
      <c r="AV12" s="31" t="s">
        <v>18</v>
      </c>
      <c r="AW12" s="31" t="s">
        <v>5</v>
      </c>
      <c r="AX12" s="31" t="s">
        <v>5</v>
      </c>
      <c r="AY12" s="31" t="s">
        <v>18</v>
      </c>
      <c r="AZ12" s="31" t="s">
        <v>5</v>
      </c>
      <c r="BA12" s="31" t="s">
        <v>18</v>
      </c>
      <c r="BB12" s="31" t="s">
        <v>5</v>
      </c>
      <c r="BC12" s="31" t="s">
        <v>5</v>
      </c>
      <c r="BD12" s="31" t="s">
        <v>5</v>
      </c>
      <c r="BE12" s="31" t="s">
        <v>18</v>
      </c>
      <c r="BF12" s="31" t="s">
        <v>5</v>
      </c>
      <c r="BG12" s="31" t="s">
        <v>5</v>
      </c>
      <c r="BH12" s="31" t="s">
        <v>18</v>
      </c>
      <c r="BI12" s="31" t="s">
        <v>5</v>
      </c>
      <c r="BJ12" s="31" t="s">
        <v>18</v>
      </c>
      <c r="BK12" s="31" t="s">
        <v>4</v>
      </c>
      <c r="BL12" s="31" t="s">
        <v>4</v>
      </c>
      <c r="BM12" s="31" t="s">
        <v>4</v>
      </c>
      <c r="BN12" s="31" t="s">
        <v>4</v>
      </c>
      <c r="BO12" s="31" t="s">
        <v>4</v>
      </c>
      <c r="BP12" s="31" t="s">
        <v>4</v>
      </c>
      <c r="BQ12" s="31" t="s">
        <v>4</v>
      </c>
      <c r="BR12" s="31" t="s">
        <v>4</v>
      </c>
      <c r="BS12" s="31" t="s">
        <v>4</v>
      </c>
    </row>
    <row r="13" spans="1:71" x14ac:dyDescent="0.3">
      <c r="A13" s="2">
        <f t="shared" si="15"/>
        <v>94</v>
      </c>
      <c r="B13" s="12">
        <f t="shared" si="15"/>
        <v>11</v>
      </c>
      <c r="C13" s="26">
        <v>44655.708333333336</v>
      </c>
      <c r="D13" s="4">
        <v>24</v>
      </c>
      <c r="E13" s="4">
        <f t="shared" si="2"/>
        <v>240</v>
      </c>
      <c r="F13" s="5">
        <f t="shared" si="3"/>
        <v>10</v>
      </c>
      <c r="G13">
        <f t="shared" si="16"/>
        <v>9</v>
      </c>
      <c r="H13">
        <f t="shared" si="4"/>
        <v>16</v>
      </c>
      <c r="I13">
        <f t="shared" si="5"/>
        <v>14</v>
      </c>
      <c r="J13">
        <f t="shared" si="6"/>
        <v>0</v>
      </c>
      <c r="K13">
        <f t="shared" si="7"/>
        <v>0</v>
      </c>
      <c r="L13">
        <f t="shared" si="0"/>
        <v>0</v>
      </c>
      <c r="M13">
        <f t="shared" si="1"/>
        <v>0</v>
      </c>
      <c r="N13" s="30"/>
      <c r="O13">
        <f t="shared" si="8"/>
        <v>0</v>
      </c>
      <c r="P13">
        <f t="shared" si="9"/>
        <v>11</v>
      </c>
      <c r="Q13">
        <f t="shared" si="10"/>
        <v>0</v>
      </c>
      <c r="R13">
        <f t="shared" si="11"/>
        <v>0</v>
      </c>
      <c r="S13">
        <f t="shared" si="12"/>
        <v>0</v>
      </c>
      <c r="T13">
        <f t="shared" si="13"/>
        <v>0</v>
      </c>
      <c r="U13">
        <f t="shared" si="14"/>
        <v>0</v>
      </c>
      <c r="V13" s="31" t="s">
        <v>8</v>
      </c>
      <c r="W13" s="31" t="s">
        <v>8</v>
      </c>
      <c r="X13" s="31" t="s">
        <v>8</v>
      </c>
      <c r="Y13" s="31" t="s">
        <v>18</v>
      </c>
      <c r="Z13" s="31" t="s">
        <v>5</v>
      </c>
      <c r="AA13" s="31" t="s">
        <v>8</v>
      </c>
      <c r="AB13" s="31" t="s">
        <v>5</v>
      </c>
      <c r="AC13" s="31" t="s">
        <v>18</v>
      </c>
      <c r="AD13" s="31" t="s">
        <v>5</v>
      </c>
      <c r="AE13" s="31" t="s">
        <v>8</v>
      </c>
      <c r="AF13" s="31" t="s">
        <v>8</v>
      </c>
      <c r="AG13" s="31" t="s">
        <v>18</v>
      </c>
      <c r="AH13" s="31" t="s">
        <v>5</v>
      </c>
      <c r="AI13" s="31" t="s">
        <v>8</v>
      </c>
      <c r="AJ13" s="31" t="s">
        <v>8</v>
      </c>
      <c r="AK13" s="31" t="s">
        <v>8</v>
      </c>
      <c r="AL13" s="31" t="s">
        <v>8</v>
      </c>
      <c r="AM13" s="31" t="s">
        <v>18</v>
      </c>
      <c r="AN13" s="31" t="s">
        <v>5</v>
      </c>
      <c r="AO13" s="31" t="s">
        <v>18</v>
      </c>
      <c r="AP13" s="31" t="s">
        <v>5</v>
      </c>
      <c r="AQ13" s="31" t="s">
        <v>5</v>
      </c>
      <c r="AR13" s="31" t="s">
        <v>5</v>
      </c>
      <c r="AS13" s="31" t="s">
        <v>8</v>
      </c>
      <c r="AT13" s="31" t="s">
        <v>5</v>
      </c>
      <c r="AU13" s="31" t="s">
        <v>5</v>
      </c>
      <c r="AV13" s="31" t="s">
        <v>18</v>
      </c>
      <c r="AW13" s="31" t="s">
        <v>8</v>
      </c>
      <c r="AX13" s="31" t="s">
        <v>5</v>
      </c>
      <c r="AY13" s="31" t="s">
        <v>18</v>
      </c>
      <c r="AZ13" s="31" t="s">
        <v>5</v>
      </c>
      <c r="BA13" s="31" t="s">
        <v>18</v>
      </c>
      <c r="BB13" s="31" t="s">
        <v>5</v>
      </c>
      <c r="BC13" s="31" t="s">
        <v>5</v>
      </c>
      <c r="BD13" s="31" t="s">
        <v>8</v>
      </c>
      <c r="BE13" s="31" t="s">
        <v>18</v>
      </c>
      <c r="BF13" s="31" t="s">
        <v>5</v>
      </c>
      <c r="BG13" s="31" t="s">
        <v>5</v>
      </c>
      <c r="BH13" s="31" t="s">
        <v>18</v>
      </c>
      <c r="BI13" s="31" t="s">
        <v>8</v>
      </c>
      <c r="BJ13" s="31" t="s">
        <v>18</v>
      </c>
      <c r="BK13" s="31" t="s">
        <v>4</v>
      </c>
      <c r="BL13" s="31" t="s">
        <v>4</v>
      </c>
      <c r="BM13" s="31" t="s">
        <v>4</v>
      </c>
      <c r="BN13" s="31" t="s">
        <v>4</v>
      </c>
      <c r="BO13" s="31" t="s">
        <v>4</v>
      </c>
      <c r="BP13" s="31" t="s">
        <v>4</v>
      </c>
      <c r="BQ13" s="31" t="s">
        <v>4</v>
      </c>
      <c r="BR13" s="31" t="s">
        <v>4</v>
      </c>
      <c r="BS13" s="31" t="s">
        <v>4</v>
      </c>
    </row>
    <row r="14" spans="1:71" x14ac:dyDescent="0.3">
      <c r="A14" s="2">
        <f t="shared" si="15"/>
        <v>95</v>
      </c>
      <c r="B14" s="12">
        <f t="shared" si="15"/>
        <v>12</v>
      </c>
      <c r="C14" s="26">
        <v>44656.708333333336</v>
      </c>
      <c r="D14" s="4">
        <v>24</v>
      </c>
      <c r="E14" s="4">
        <f t="shared" si="2"/>
        <v>264</v>
      </c>
      <c r="F14" s="5">
        <f t="shared" si="3"/>
        <v>11</v>
      </c>
      <c r="G14">
        <f t="shared" si="16"/>
        <v>9</v>
      </c>
      <c r="H14">
        <f t="shared" si="4"/>
        <v>6</v>
      </c>
      <c r="I14">
        <f t="shared" si="5"/>
        <v>24</v>
      </c>
      <c r="J14">
        <f t="shared" si="6"/>
        <v>0</v>
      </c>
      <c r="K14">
        <f t="shared" si="7"/>
        <v>0</v>
      </c>
      <c r="L14">
        <f t="shared" si="0"/>
        <v>0</v>
      </c>
      <c r="M14">
        <f t="shared" si="1"/>
        <v>0</v>
      </c>
      <c r="N14" s="30"/>
      <c r="O14">
        <f t="shared" si="8"/>
        <v>0</v>
      </c>
      <c r="P14">
        <f t="shared" si="9"/>
        <v>11</v>
      </c>
      <c r="Q14">
        <f t="shared" si="10"/>
        <v>0</v>
      </c>
      <c r="R14">
        <f t="shared" si="11"/>
        <v>0</v>
      </c>
      <c r="S14">
        <f t="shared" si="12"/>
        <v>0</v>
      </c>
      <c r="T14">
        <f t="shared" si="13"/>
        <v>0</v>
      </c>
      <c r="U14">
        <f t="shared" si="14"/>
        <v>0</v>
      </c>
      <c r="V14" s="31" t="s">
        <v>8</v>
      </c>
      <c r="W14" s="31" t="s">
        <v>8</v>
      </c>
      <c r="X14" s="31" t="s">
        <v>8</v>
      </c>
      <c r="Y14" s="31" t="s">
        <v>18</v>
      </c>
      <c r="Z14" s="31" t="s">
        <v>5</v>
      </c>
      <c r="AA14" s="31" t="s">
        <v>8</v>
      </c>
      <c r="AB14" s="31" t="s">
        <v>8</v>
      </c>
      <c r="AC14" s="31" t="s">
        <v>18</v>
      </c>
      <c r="AD14" s="31" t="s">
        <v>8</v>
      </c>
      <c r="AE14" s="31" t="s">
        <v>8</v>
      </c>
      <c r="AF14" s="31" t="s">
        <v>8</v>
      </c>
      <c r="AG14" s="31" t="s">
        <v>18</v>
      </c>
      <c r="AH14" s="31" t="s">
        <v>5</v>
      </c>
      <c r="AI14" s="31" t="s">
        <v>8</v>
      </c>
      <c r="AJ14" s="31" t="s">
        <v>8</v>
      </c>
      <c r="AK14" s="31" t="s">
        <v>8</v>
      </c>
      <c r="AL14" s="31" t="s">
        <v>8</v>
      </c>
      <c r="AM14" s="31" t="s">
        <v>18</v>
      </c>
      <c r="AN14" s="31" t="s">
        <v>5</v>
      </c>
      <c r="AO14" s="31" t="s">
        <v>18</v>
      </c>
      <c r="AP14" s="31" t="s">
        <v>5</v>
      </c>
      <c r="AQ14" s="31" t="s">
        <v>8</v>
      </c>
      <c r="AR14" s="31" t="s">
        <v>8</v>
      </c>
      <c r="AS14" s="31" t="s">
        <v>8</v>
      </c>
      <c r="AT14" s="31" t="s">
        <v>8</v>
      </c>
      <c r="AU14" s="31" t="s">
        <v>5</v>
      </c>
      <c r="AV14" s="31" t="s">
        <v>18</v>
      </c>
      <c r="AW14" s="31" t="s">
        <v>8</v>
      </c>
      <c r="AX14" s="31" t="s">
        <v>8</v>
      </c>
      <c r="AY14" s="31" t="s">
        <v>18</v>
      </c>
      <c r="AZ14" s="31" t="s">
        <v>5</v>
      </c>
      <c r="BA14" s="31" t="s">
        <v>18</v>
      </c>
      <c r="BB14" s="31" t="s">
        <v>8</v>
      </c>
      <c r="BC14" s="31" t="s">
        <v>8</v>
      </c>
      <c r="BD14" s="31" t="s">
        <v>8</v>
      </c>
      <c r="BE14" s="31" t="s">
        <v>18</v>
      </c>
      <c r="BF14" s="31" t="s">
        <v>8</v>
      </c>
      <c r="BG14" s="31" t="s">
        <v>8</v>
      </c>
      <c r="BH14" s="31" t="s">
        <v>18</v>
      </c>
      <c r="BI14" s="31" t="s">
        <v>8</v>
      </c>
      <c r="BJ14" s="31" t="s">
        <v>18</v>
      </c>
      <c r="BK14" s="31" t="s">
        <v>4</v>
      </c>
      <c r="BL14" s="31" t="s">
        <v>4</v>
      </c>
      <c r="BM14" s="31" t="s">
        <v>4</v>
      </c>
      <c r="BN14" s="31" t="s">
        <v>4</v>
      </c>
      <c r="BO14" s="31" t="s">
        <v>4</v>
      </c>
      <c r="BP14" s="31" t="s">
        <v>4</v>
      </c>
      <c r="BQ14" s="31" t="s">
        <v>4</v>
      </c>
      <c r="BR14" s="31" t="s">
        <v>4</v>
      </c>
      <c r="BS14" s="31" t="s">
        <v>4</v>
      </c>
    </row>
    <row r="15" spans="1:71" x14ac:dyDescent="0.3">
      <c r="A15" s="2">
        <f t="shared" si="15"/>
        <v>96</v>
      </c>
      <c r="B15" s="12">
        <f t="shared" si="15"/>
        <v>13</v>
      </c>
      <c r="C15" s="26">
        <v>44657.708333333336</v>
      </c>
      <c r="D15" s="4">
        <v>24</v>
      </c>
      <c r="E15" s="4">
        <f>E14+D15</f>
        <v>288</v>
      </c>
      <c r="F15" s="5">
        <f t="shared" si="3"/>
        <v>12</v>
      </c>
      <c r="G15">
        <f t="shared" si="16"/>
        <v>9</v>
      </c>
      <c r="H15">
        <f t="shared" si="4"/>
        <v>2</v>
      </c>
      <c r="I15">
        <f t="shared" si="5"/>
        <v>27</v>
      </c>
      <c r="J15">
        <f t="shared" si="6"/>
        <v>0</v>
      </c>
      <c r="K15">
        <f t="shared" si="7"/>
        <v>0</v>
      </c>
      <c r="L15">
        <f t="shared" si="0"/>
        <v>0</v>
      </c>
      <c r="M15">
        <f t="shared" si="1"/>
        <v>0</v>
      </c>
      <c r="N15" s="30"/>
      <c r="O15">
        <f t="shared" si="8"/>
        <v>0</v>
      </c>
      <c r="P15">
        <f t="shared" si="9"/>
        <v>11</v>
      </c>
      <c r="Q15">
        <f>COUNTIF($V15:$BS15, "L2_D")</f>
        <v>1</v>
      </c>
      <c r="R15">
        <f t="shared" si="11"/>
        <v>0</v>
      </c>
      <c r="S15">
        <f t="shared" si="12"/>
        <v>0</v>
      </c>
      <c r="T15">
        <f t="shared" si="13"/>
        <v>0</v>
      </c>
      <c r="U15">
        <f t="shared" si="14"/>
        <v>0</v>
      </c>
      <c r="V15" s="31" t="s">
        <v>8</v>
      </c>
      <c r="W15" s="31" t="s">
        <v>8</v>
      </c>
      <c r="X15" s="31" t="s">
        <v>8</v>
      </c>
      <c r="Y15" s="31" t="s">
        <v>18</v>
      </c>
      <c r="Z15" s="31" t="s">
        <v>8</v>
      </c>
      <c r="AA15" s="31" t="s">
        <v>8</v>
      </c>
      <c r="AB15" s="31" t="s">
        <v>8</v>
      </c>
      <c r="AC15" s="31" t="s">
        <v>18</v>
      </c>
      <c r="AD15" s="31" t="s">
        <v>8</v>
      </c>
      <c r="AE15" s="31" t="s">
        <v>8</v>
      </c>
      <c r="AF15" s="31" t="s">
        <v>8</v>
      </c>
      <c r="AG15" s="31" t="s">
        <v>18</v>
      </c>
      <c r="AH15" s="31" t="s">
        <v>8</v>
      </c>
      <c r="AI15" s="31" t="s">
        <v>8</v>
      </c>
      <c r="AJ15" s="31" t="s">
        <v>8</v>
      </c>
      <c r="AK15" s="31" t="s">
        <v>8</v>
      </c>
      <c r="AL15" s="31" t="s">
        <v>8</v>
      </c>
      <c r="AM15" s="31" t="s">
        <v>18</v>
      </c>
      <c r="AN15" s="31" t="s">
        <v>8</v>
      </c>
      <c r="AO15" s="31" t="s">
        <v>18</v>
      </c>
      <c r="AP15" s="31" t="s">
        <v>8</v>
      </c>
      <c r="AQ15" s="31" t="s">
        <v>8</v>
      </c>
      <c r="AR15" s="31" t="s">
        <v>8</v>
      </c>
      <c r="AS15" s="31" t="s">
        <v>8</v>
      </c>
      <c r="AT15" s="31" t="s">
        <v>8</v>
      </c>
      <c r="AU15" s="31" t="s">
        <v>5</v>
      </c>
      <c r="AV15" s="31" t="s">
        <v>18</v>
      </c>
      <c r="AW15" s="31" t="s">
        <v>8</v>
      </c>
      <c r="AX15" s="31" t="s">
        <v>8</v>
      </c>
      <c r="AY15" s="31" t="s">
        <v>18</v>
      </c>
      <c r="AZ15" s="31" t="s">
        <v>5</v>
      </c>
      <c r="BA15" s="31" t="s">
        <v>18</v>
      </c>
      <c r="BB15" s="31" t="s">
        <v>8</v>
      </c>
      <c r="BC15" s="31" t="s">
        <v>8</v>
      </c>
      <c r="BD15" s="31" t="s">
        <v>8</v>
      </c>
      <c r="BE15" s="31" t="s">
        <v>18</v>
      </c>
      <c r="BF15" s="31" t="s">
        <v>8</v>
      </c>
      <c r="BG15" s="31" t="s">
        <v>8</v>
      </c>
      <c r="BH15" s="31" t="s">
        <v>18</v>
      </c>
      <c r="BI15" s="31" t="s">
        <v>22</v>
      </c>
      <c r="BJ15" s="31" t="s">
        <v>18</v>
      </c>
      <c r="BK15" s="31" t="s">
        <v>4</v>
      </c>
      <c r="BL15" s="31" t="s">
        <v>4</v>
      </c>
      <c r="BM15" s="31" t="s">
        <v>4</v>
      </c>
      <c r="BN15" s="31" t="s">
        <v>4</v>
      </c>
      <c r="BO15" s="31" t="s">
        <v>4</v>
      </c>
      <c r="BP15" s="31" t="s">
        <v>4</v>
      </c>
      <c r="BQ15" s="31" t="s">
        <v>4</v>
      </c>
      <c r="BR15" s="31" t="s">
        <v>4</v>
      </c>
      <c r="BS15" s="31" t="s">
        <v>4</v>
      </c>
    </row>
    <row r="16" spans="1:71" x14ac:dyDescent="0.3">
      <c r="A16" s="2">
        <f t="shared" si="15"/>
        <v>97</v>
      </c>
      <c r="B16" s="12">
        <f t="shared" si="15"/>
        <v>14</v>
      </c>
      <c r="C16" s="26">
        <v>44658.708333333336</v>
      </c>
      <c r="D16" s="4">
        <v>24</v>
      </c>
      <c r="E16" s="4">
        <f t="shared" si="2"/>
        <v>312</v>
      </c>
      <c r="F16" s="5">
        <f t="shared" si="3"/>
        <v>13</v>
      </c>
      <c r="G16">
        <f t="shared" si="16"/>
        <v>0</v>
      </c>
      <c r="H16">
        <f t="shared" si="4"/>
        <v>1</v>
      </c>
      <c r="I16">
        <f t="shared" si="5"/>
        <v>26</v>
      </c>
      <c r="J16">
        <f t="shared" si="6"/>
        <v>1</v>
      </c>
      <c r="K16">
        <f t="shared" si="7"/>
        <v>0</v>
      </c>
      <c r="L16">
        <f t="shared" si="0"/>
        <v>0</v>
      </c>
      <c r="M16">
        <f t="shared" si="1"/>
        <v>0</v>
      </c>
      <c r="N16" s="30"/>
      <c r="O16">
        <f t="shared" si="8"/>
        <v>9</v>
      </c>
      <c r="P16">
        <f t="shared" si="9"/>
        <v>11</v>
      </c>
      <c r="Q16">
        <f t="shared" si="10"/>
        <v>2</v>
      </c>
      <c r="R16">
        <f t="shared" si="11"/>
        <v>0</v>
      </c>
      <c r="S16">
        <f t="shared" si="12"/>
        <v>0</v>
      </c>
      <c r="T16">
        <f t="shared" si="13"/>
        <v>0</v>
      </c>
      <c r="U16">
        <f t="shared" si="14"/>
        <v>0</v>
      </c>
      <c r="V16" s="31" t="s">
        <v>8</v>
      </c>
      <c r="W16" s="31" t="s">
        <v>10</v>
      </c>
      <c r="X16" s="31" t="s">
        <v>8</v>
      </c>
      <c r="Y16" s="31" t="s">
        <v>18</v>
      </c>
      <c r="Z16" s="31" t="s">
        <v>8</v>
      </c>
      <c r="AA16" s="31" t="s">
        <v>8</v>
      </c>
      <c r="AB16" s="31" t="s">
        <v>8</v>
      </c>
      <c r="AC16" s="31" t="s">
        <v>18</v>
      </c>
      <c r="AD16" s="31" t="s">
        <v>8</v>
      </c>
      <c r="AE16" s="31" t="s">
        <v>8</v>
      </c>
      <c r="AF16" s="31" t="s">
        <v>8</v>
      </c>
      <c r="AG16" s="31" t="s">
        <v>18</v>
      </c>
      <c r="AH16" s="31" t="s">
        <v>8</v>
      </c>
      <c r="AI16" s="31" t="s">
        <v>8</v>
      </c>
      <c r="AJ16" s="31" t="s">
        <v>8</v>
      </c>
      <c r="AK16" s="31" t="s">
        <v>8</v>
      </c>
      <c r="AL16" s="31" t="s">
        <v>8</v>
      </c>
      <c r="AM16" s="31" t="s">
        <v>18</v>
      </c>
      <c r="AN16" s="31" t="s">
        <v>8</v>
      </c>
      <c r="AO16" s="31" t="s">
        <v>18</v>
      </c>
      <c r="AP16" s="31" t="s">
        <v>8</v>
      </c>
      <c r="AQ16" s="31" t="s">
        <v>8</v>
      </c>
      <c r="AR16" s="31" t="s">
        <v>8</v>
      </c>
      <c r="AS16" s="31" t="s">
        <v>8</v>
      </c>
      <c r="AT16" s="31" t="s">
        <v>8</v>
      </c>
      <c r="AU16" s="31" t="s">
        <v>5</v>
      </c>
      <c r="AV16" s="31" t="s">
        <v>18</v>
      </c>
      <c r="AW16" s="31" t="s">
        <v>8</v>
      </c>
      <c r="AX16" s="31" t="s">
        <v>8</v>
      </c>
      <c r="AY16" s="31" t="s">
        <v>18</v>
      </c>
      <c r="AZ16" s="31" t="s">
        <v>8</v>
      </c>
      <c r="BA16" s="31" t="s">
        <v>18</v>
      </c>
      <c r="BB16" s="31" t="s">
        <v>8</v>
      </c>
      <c r="BC16" s="31" t="s">
        <v>8</v>
      </c>
      <c r="BD16" s="31" t="s">
        <v>22</v>
      </c>
      <c r="BE16" s="31" t="s">
        <v>18</v>
      </c>
      <c r="BF16" s="31" t="s">
        <v>8</v>
      </c>
      <c r="BG16" s="31" t="s">
        <v>8</v>
      </c>
      <c r="BH16" s="31" t="s">
        <v>18</v>
      </c>
      <c r="BI16" s="31" t="s">
        <v>22</v>
      </c>
      <c r="BJ16" s="31" t="s">
        <v>18</v>
      </c>
      <c r="BK16" s="31" t="s">
        <v>17</v>
      </c>
      <c r="BL16" s="31" t="s">
        <v>17</v>
      </c>
      <c r="BM16" s="31" t="s">
        <v>17</v>
      </c>
      <c r="BN16" s="31" t="s">
        <v>17</v>
      </c>
      <c r="BO16" s="31" t="s">
        <v>17</v>
      </c>
      <c r="BP16" s="31" t="s">
        <v>17</v>
      </c>
      <c r="BQ16" s="31" t="s">
        <v>17</v>
      </c>
      <c r="BR16" s="31" t="s">
        <v>17</v>
      </c>
      <c r="BS16" s="31" t="s">
        <v>17</v>
      </c>
    </row>
    <row r="17" spans="1:71" x14ac:dyDescent="0.3">
      <c r="A17" s="2">
        <f t="shared" si="15"/>
        <v>98</v>
      </c>
      <c r="B17" s="12">
        <f t="shared" si="15"/>
        <v>15</v>
      </c>
      <c r="C17" s="26">
        <v>44659.708333333336</v>
      </c>
      <c r="D17" s="4">
        <v>24</v>
      </c>
      <c r="E17" s="4">
        <f t="shared" si="2"/>
        <v>336</v>
      </c>
      <c r="F17" s="5">
        <f t="shared" si="3"/>
        <v>14</v>
      </c>
      <c r="G17">
        <f t="shared" si="16"/>
        <v>0</v>
      </c>
      <c r="H17">
        <f t="shared" si="4"/>
        <v>1</v>
      </c>
      <c r="I17">
        <f t="shared" si="5"/>
        <v>25</v>
      </c>
      <c r="J17">
        <f t="shared" si="6"/>
        <v>1</v>
      </c>
      <c r="K17">
        <f t="shared" si="7"/>
        <v>0</v>
      </c>
      <c r="L17">
        <f t="shared" si="0"/>
        <v>0</v>
      </c>
      <c r="M17">
        <f t="shared" si="1"/>
        <v>0</v>
      </c>
      <c r="N17" s="30"/>
      <c r="O17">
        <f t="shared" si="8"/>
        <v>9</v>
      </c>
      <c r="P17">
        <f t="shared" si="9"/>
        <v>11</v>
      </c>
      <c r="Q17">
        <f t="shared" si="10"/>
        <v>3</v>
      </c>
      <c r="R17">
        <f t="shared" si="11"/>
        <v>0</v>
      </c>
      <c r="S17">
        <f t="shared" si="12"/>
        <v>0</v>
      </c>
      <c r="T17">
        <f t="shared" si="13"/>
        <v>0</v>
      </c>
      <c r="U17">
        <f t="shared" si="14"/>
        <v>0</v>
      </c>
      <c r="V17" s="31" t="s">
        <v>8</v>
      </c>
      <c r="W17" s="31" t="s">
        <v>10</v>
      </c>
      <c r="X17" s="31" t="s">
        <v>8</v>
      </c>
      <c r="Y17" s="31" t="s">
        <v>18</v>
      </c>
      <c r="Z17" s="31" t="s">
        <v>8</v>
      </c>
      <c r="AA17" s="31" t="s">
        <v>8</v>
      </c>
      <c r="AB17" s="31" t="s">
        <v>8</v>
      </c>
      <c r="AC17" s="31" t="s">
        <v>18</v>
      </c>
      <c r="AD17" s="31" t="s">
        <v>8</v>
      </c>
      <c r="AE17" s="31" t="s">
        <v>8</v>
      </c>
      <c r="AF17" s="31" t="s">
        <v>8</v>
      </c>
      <c r="AG17" s="31" t="s">
        <v>18</v>
      </c>
      <c r="AH17" s="31" t="s">
        <v>8</v>
      </c>
      <c r="AI17" s="31" t="s">
        <v>8</v>
      </c>
      <c r="AJ17" s="31" t="s">
        <v>8</v>
      </c>
      <c r="AK17" s="31" t="s">
        <v>8</v>
      </c>
      <c r="AL17" s="31" t="s">
        <v>8</v>
      </c>
      <c r="AM17" s="31" t="s">
        <v>18</v>
      </c>
      <c r="AN17" s="31" t="s">
        <v>8</v>
      </c>
      <c r="AO17" s="31" t="s">
        <v>18</v>
      </c>
      <c r="AP17" s="31" t="s">
        <v>8</v>
      </c>
      <c r="AQ17" s="31" t="s">
        <v>8</v>
      </c>
      <c r="AR17" s="31" t="s">
        <v>8</v>
      </c>
      <c r="AS17" s="31" t="s">
        <v>8</v>
      </c>
      <c r="AT17" s="31" t="s">
        <v>8</v>
      </c>
      <c r="AU17" s="31" t="s">
        <v>5</v>
      </c>
      <c r="AV17" s="31" t="s">
        <v>18</v>
      </c>
      <c r="AW17" s="31" t="s">
        <v>8</v>
      </c>
      <c r="AX17" s="31" t="s">
        <v>8</v>
      </c>
      <c r="AY17" s="31" t="s">
        <v>18</v>
      </c>
      <c r="AZ17" s="31" t="s">
        <v>8</v>
      </c>
      <c r="BA17" s="31" t="s">
        <v>18</v>
      </c>
      <c r="BB17" s="31" t="s">
        <v>22</v>
      </c>
      <c r="BC17" s="31" t="s">
        <v>8</v>
      </c>
      <c r="BD17" s="31" t="s">
        <v>22</v>
      </c>
      <c r="BE17" s="31" t="s">
        <v>18</v>
      </c>
      <c r="BF17" s="31" t="s">
        <v>8</v>
      </c>
      <c r="BG17" s="31" t="s">
        <v>8</v>
      </c>
      <c r="BH17" s="31" t="s">
        <v>18</v>
      </c>
      <c r="BI17" s="31" t="s">
        <v>22</v>
      </c>
      <c r="BJ17" s="31" t="s">
        <v>18</v>
      </c>
      <c r="BK17" s="31" t="s">
        <v>17</v>
      </c>
      <c r="BL17" s="31" t="s">
        <v>17</v>
      </c>
      <c r="BM17" s="31" t="s">
        <v>17</v>
      </c>
      <c r="BN17" s="31" t="s">
        <v>17</v>
      </c>
      <c r="BO17" s="31" t="s">
        <v>17</v>
      </c>
      <c r="BP17" s="31" t="s">
        <v>17</v>
      </c>
      <c r="BQ17" s="31" t="s">
        <v>17</v>
      </c>
      <c r="BR17" s="31" t="s">
        <v>17</v>
      </c>
      <c r="BS17" s="31" t="s">
        <v>17</v>
      </c>
    </row>
    <row r="18" spans="1:71" x14ac:dyDescent="0.3">
      <c r="A18" s="2">
        <f t="shared" si="15"/>
        <v>99</v>
      </c>
      <c r="B18" s="12">
        <f t="shared" si="15"/>
        <v>16</v>
      </c>
      <c r="C18" s="26">
        <v>44660.708333333336</v>
      </c>
      <c r="D18" s="4">
        <v>24</v>
      </c>
      <c r="E18" s="4">
        <f t="shared" si="2"/>
        <v>360</v>
      </c>
      <c r="F18" s="5">
        <f>E18/24</f>
        <v>15</v>
      </c>
      <c r="G18">
        <f t="shared" si="16"/>
        <v>0</v>
      </c>
      <c r="H18">
        <f t="shared" si="4"/>
        <v>0</v>
      </c>
      <c r="I18">
        <f t="shared" si="5"/>
        <v>22</v>
      </c>
      <c r="J18">
        <f t="shared" si="6"/>
        <v>4</v>
      </c>
      <c r="K18">
        <f t="shared" si="7"/>
        <v>0</v>
      </c>
      <c r="L18">
        <f t="shared" si="0"/>
        <v>0</v>
      </c>
      <c r="M18">
        <f t="shared" si="1"/>
        <v>0</v>
      </c>
      <c r="N18" s="30"/>
      <c r="O18">
        <f t="shared" si="8"/>
        <v>9</v>
      </c>
      <c r="P18">
        <f t="shared" si="9"/>
        <v>11</v>
      </c>
      <c r="Q18">
        <f t="shared" si="10"/>
        <v>4</v>
      </c>
      <c r="R18">
        <f t="shared" si="11"/>
        <v>0</v>
      </c>
      <c r="S18">
        <f t="shared" si="12"/>
        <v>0</v>
      </c>
      <c r="T18">
        <f t="shared" si="13"/>
        <v>0</v>
      </c>
      <c r="U18">
        <f t="shared" si="14"/>
        <v>0</v>
      </c>
      <c r="V18" s="31" t="s">
        <v>10</v>
      </c>
      <c r="W18" s="31" t="s">
        <v>10</v>
      </c>
      <c r="X18" s="31" t="s">
        <v>10</v>
      </c>
      <c r="Y18" s="31" t="s">
        <v>18</v>
      </c>
      <c r="Z18" s="31" t="s">
        <v>8</v>
      </c>
      <c r="AA18" s="31" t="s">
        <v>8</v>
      </c>
      <c r="AB18" s="31" t="s">
        <v>8</v>
      </c>
      <c r="AC18" s="31" t="s">
        <v>18</v>
      </c>
      <c r="AD18" s="31" t="s">
        <v>8</v>
      </c>
      <c r="AE18" s="31" t="s">
        <v>8</v>
      </c>
      <c r="AF18" s="31" t="s">
        <v>8</v>
      </c>
      <c r="AG18" s="31" t="s">
        <v>18</v>
      </c>
      <c r="AH18" s="31" t="s">
        <v>8</v>
      </c>
      <c r="AI18" s="31" t="s">
        <v>8</v>
      </c>
      <c r="AJ18" s="31" t="s">
        <v>8</v>
      </c>
      <c r="AK18" s="31" t="s">
        <v>8</v>
      </c>
      <c r="AL18" s="31" t="s">
        <v>8</v>
      </c>
      <c r="AM18" s="31" t="s">
        <v>18</v>
      </c>
      <c r="AN18" s="31" t="s">
        <v>8</v>
      </c>
      <c r="AO18" s="31" t="s">
        <v>18</v>
      </c>
      <c r="AP18" s="31" t="s">
        <v>22</v>
      </c>
      <c r="AQ18" s="31" t="s">
        <v>8</v>
      </c>
      <c r="AR18" s="31" t="s">
        <v>8</v>
      </c>
      <c r="AS18" s="31" t="s">
        <v>10</v>
      </c>
      <c r="AT18" s="31" t="s">
        <v>8</v>
      </c>
      <c r="AU18" s="31" t="s">
        <v>8</v>
      </c>
      <c r="AV18" s="31" t="s">
        <v>18</v>
      </c>
      <c r="AW18" s="31" t="s">
        <v>8</v>
      </c>
      <c r="AX18" s="31" t="s">
        <v>8</v>
      </c>
      <c r="AY18" s="31" t="s">
        <v>18</v>
      </c>
      <c r="AZ18" s="31" t="s">
        <v>8</v>
      </c>
      <c r="BA18" s="31" t="s">
        <v>18</v>
      </c>
      <c r="BB18" s="31" t="s">
        <v>22</v>
      </c>
      <c r="BC18" s="31" t="s">
        <v>8</v>
      </c>
      <c r="BD18" s="31" t="s">
        <v>22</v>
      </c>
      <c r="BE18" s="31" t="s">
        <v>18</v>
      </c>
      <c r="BF18" s="31" t="s">
        <v>8</v>
      </c>
      <c r="BG18" s="31" t="s">
        <v>8</v>
      </c>
      <c r="BH18" s="31" t="s">
        <v>18</v>
      </c>
      <c r="BI18" s="31" t="s">
        <v>22</v>
      </c>
      <c r="BJ18" s="31" t="s">
        <v>18</v>
      </c>
      <c r="BK18" s="31" t="s">
        <v>17</v>
      </c>
      <c r="BL18" s="31" t="s">
        <v>17</v>
      </c>
      <c r="BM18" s="31" t="s">
        <v>17</v>
      </c>
      <c r="BN18" s="31" t="s">
        <v>17</v>
      </c>
      <c r="BO18" s="31" t="s">
        <v>17</v>
      </c>
      <c r="BP18" s="31" t="s">
        <v>17</v>
      </c>
      <c r="BQ18" s="31" t="s">
        <v>17</v>
      </c>
      <c r="BR18" s="31" t="s">
        <v>17</v>
      </c>
      <c r="BS18" s="31" t="s">
        <v>17</v>
      </c>
    </row>
    <row r="19" spans="1:71" x14ac:dyDescent="0.3">
      <c r="A19" s="2">
        <f t="shared" si="15"/>
        <v>100</v>
      </c>
      <c r="B19" s="12">
        <f t="shared" si="15"/>
        <v>17</v>
      </c>
      <c r="C19" s="26">
        <v>44661.708333333336</v>
      </c>
      <c r="D19" s="4">
        <v>24</v>
      </c>
      <c r="E19" s="4">
        <f t="shared" si="2"/>
        <v>384</v>
      </c>
      <c r="F19" s="5">
        <f t="shared" si="3"/>
        <v>16</v>
      </c>
      <c r="G19">
        <f t="shared" si="16"/>
        <v>0</v>
      </c>
      <c r="H19">
        <f t="shared" si="4"/>
        <v>0</v>
      </c>
      <c r="I19">
        <f t="shared" si="5"/>
        <v>13</v>
      </c>
      <c r="J19">
        <f t="shared" si="6"/>
        <v>12</v>
      </c>
      <c r="K19">
        <f t="shared" si="7"/>
        <v>0</v>
      </c>
      <c r="L19">
        <f t="shared" si="0"/>
        <v>0</v>
      </c>
      <c r="M19">
        <f t="shared" si="1"/>
        <v>0</v>
      </c>
      <c r="N19" s="30"/>
      <c r="O19">
        <f t="shared" si="8"/>
        <v>9</v>
      </c>
      <c r="P19">
        <f t="shared" si="9"/>
        <v>11</v>
      </c>
      <c r="Q19">
        <f t="shared" si="10"/>
        <v>5</v>
      </c>
      <c r="R19">
        <f t="shared" si="11"/>
        <v>0</v>
      </c>
      <c r="S19">
        <f t="shared" si="12"/>
        <v>0</v>
      </c>
      <c r="T19">
        <f t="shared" si="13"/>
        <v>0</v>
      </c>
      <c r="U19">
        <f t="shared" si="14"/>
        <v>0</v>
      </c>
      <c r="V19" s="31" t="s">
        <v>10</v>
      </c>
      <c r="W19" s="31" t="s">
        <v>10</v>
      </c>
      <c r="X19" s="31" t="s">
        <v>10</v>
      </c>
      <c r="Y19" s="31" t="s">
        <v>18</v>
      </c>
      <c r="Z19" s="31" t="s">
        <v>22</v>
      </c>
      <c r="AA19" s="31" t="s">
        <v>8</v>
      </c>
      <c r="AB19" s="31" t="s">
        <v>10</v>
      </c>
      <c r="AC19" s="31" t="s">
        <v>18</v>
      </c>
      <c r="AD19" s="31" t="s">
        <v>10</v>
      </c>
      <c r="AE19" s="31" t="s">
        <v>10</v>
      </c>
      <c r="AF19" s="31" t="s">
        <v>10</v>
      </c>
      <c r="AG19" s="31" t="s">
        <v>18</v>
      </c>
      <c r="AH19" s="31" t="s">
        <v>8</v>
      </c>
      <c r="AI19" s="31" t="s">
        <v>10</v>
      </c>
      <c r="AJ19" s="31" t="s">
        <v>10</v>
      </c>
      <c r="AK19" s="31" t="s">
        <v>8</v>
      </c>
      <c r="AL19" s="31" t="s">
        <v>8</v>
      </c>
      <c r="AM19" s="31" t="s">
        <v>18</v>
      </c>
      <c r="AN19" s="31" t="s">
        <v>8</v>
      </c>
      <c r="AO19" s="31" t="s">
        <v>18</v>
      </c>
      <c r="AP19" s="31" t="s">
        <v>22</v>
      </c>
      <c r="AQ19" s="31" t="s">
        <v>8</v>
      </c>
      <c r="AR19" s="31" t="s">
        <v>8</v>
      </c>
      <c r="AS19" s="31" t="s">
        <v>10</v>
      </c>
      <c r="AT19" s="31" t="s">
        <v>8</v>
      </c>
      <c r="AU19" s="31" t="s">
        <v>8</v>
      </c>
      <c r="AV19" s="31" t="s">
        <v>18</v>
      </c>
      <c r="AW19" s="31" t="s">
        <v>8</v>
      </c>
      <c r="AX19" s="31" t="s">
        <v>10</v>
      </c>
      <c r="AY19" s="31" t="s">
        <v>18</v>
      </c>
      <c r="AZ19" s="31" t="s">
        <v>8</v>
      </c>
      <c r="BA19" s="31" t="s">
        <v>18</v>
      </c>
      <c r="BB19" s="31" t="s">
        <v>22</v>
      </c>
      <c r="BC19" s="31" t="s">
        <v>10</v>
      </c>
      <c r="BD19" s="31" t="s">
        <v>22</v>
      </c>
      <c r="BE19" s="31" t="s">
        <v>18</v>
      </c>
      <c r="BF19" s="31" t="s">
        <v>8</v>
      </c>
      <c r="BG19" s="31" t="s">
        <v>8</v>
      </c>
      <c r="BH19" s="31" t="s">
        <v>18</v>
      </c>
      <c r="BI19" s="31" t="s">
        <v>22</v>
      </c>
      <c r="BJ19" s="31" t="s">
        <v>18</v>
      </c>
      <c r="BK19" s="31" t="s">
        <v>17</v>
      </c>
      <c r="BL19" s="31" t="s">
        <v>17</v>
      </c>
      <c r="BM19" s="31" t="s">
        <v>17</v>
      </c>
      <c r="BN19" s="31" t="s">
        <v>17</v>
      </c>
      <c r="BO19" s="31" t="s">
        <v>17</v>
      </c>
      <c r="BP19" s="31" t="s">
        <v>17</v>
      </c>
      <c r="BQ19" s="31" t="s">
        <v>17</v>
      </c>
      <c r="BR19" s="31" t="s">
        <v>17</v>
      </c>
      <c r="BS19" s="31" t="s">
        <v>17</v>
      </c>
    </row>
    <row r="20" spans="1:71" x14ac:dyDescent="0.3">
      <c r="A20" s="2">
        <f t="shared" si="15"/>
        <v>101</v>
      </c>
      <c r="B20" s="12">
        <f t="shared" si="15"/>
        <v>18</v>
      </c>
      <c r="C20" s="26">
        <v>44662.708333333336</v>
      </c>
      <c r="D20" s="4">
        <v>24</v>
      </c>
      <c r="E20" s="4">
        <f t="shared" si="2"/>
        <v>408</v>
      </c>
      <c r="F20" s="5">
        <f t="shared" si="3"/>
        <v>17</v>
      </c>
      <c r="G20">
        <f t="shared" si="16"/>
        <v>0</v>
      </c>
      <c r="H20">
        <f t="shared" si="4"/>
        <v>0</v>
      </c>
      <c r="I20">
        <f t="shared" si="5"/>
        <v>7</v>
      </c>
      <c r="J20">
        <f t="shared" si="6"/>
        <v>18</v>
      </c>
      <c r="K20">
        <f t="shared" si="7"/>
        <v>0</v>
      </c>
      <c r="L20">
        <f t="shared" si="0"/>
        <v>0</v>
      </c>
      <c r="M20">
        <f t="shared" si="1"/>
        <v>0</v>
      </c>
      <c r="N20" s="30"/>
      <c r="O20">
        <f t="shared" si="8"/>
        <v>9</v>
      </c>
      <c r="P20">
        <f t="shared" si="9"/>
        <v>11</v>
      </c>
      <c r="Q20">
        <f t="shared" si="10"/>
        <v>5</v>
      </c>
      <c r="R20">
        <f t="shared" si="11"/>
        <v>0</v>
      </c>
      <c r="S20">
        <f t="shared" si="12"/>
        <v>0</v>
      </c>
      <c r="T20">
        <f t="shared" si="13"/>
        <v>0</v>
      </c>
      <c r="U20">
        <f t="shared" si="14"/>
        <v>0</v>
      </c>
      <c r="V20" s="31" t="s">
        <v>10</v>
      </c>
      <c r="W20" s="31" t="s">
        <v>10</v>
      </c>
      <c r="X20" s="31" t="s">
        <v>10</v>
      </c>
      <c r="Y20" s="31" t="s">
        <v>18</v>
      </c>
      <c r="Z20" s="31" t="s">
        <v>22</v>
      </c>
      <c r="AA20" s="31" t="s">
        <v>8</v>
      </c>
      <c r="AB20" s="31" t="s">
        <v>10</v>
      </c>
      <c r="AC20" s="31" t="s">
        <v>18</v>
      </c>
      <c r="AD20" s="31" t="s">
        <v>10</v>
      </c>
      <c r="AE20" s="31" t="s">
        <v>10</v>
      </c>
      <c r="AF20" s="31" t="s">
        <v>10</v>
      </c>
      <c r="AG20" s="31" t="s">
        <v>18</v>
      </c>
      <c r="AH20" s="31" t="s">
        <v>8</v>
      </c>
      <c r="AI20" s="31" t="s">
        <v>10</v>
      </c>
      <c r="AJ20" s="31" t="s">
        <v>10</v>
      </c>
      <c r="AK20" s="31" t="s">
        <v>10</v>
      </c>
      <c r="AL20" s="31" t="s">
        <v>10</v>
      </c>
      <c r="AM20" s="31" t="s">
        <v>18</v>
      </c>
      <c r="AN20" s="31" t="s">
        <v>10</v>
      </c>
      <c r="AO20" s="31" t="s">
        <v>18</v>
      </c>
      <c r="AP20" s="31" t="s">
        <v>22</v>
      </c>
      <c r="AQ20" s="31" t="s">
        <v>8</v>
      </c>
      <c r="AR20" s="31" t="s">
        <v>10</v>
      </c>
      <c r="AS20" s="31" t="s">
        <v>10</v>
      </c>
      <c r="AT20" s="31" t="s">
        <v>8</v>
      </c>
      <c r="AU20" s="31" t="s">
        <v>8</v>
      </c>
      <c r="AV20" s="31" t="s">
        <v>18</v>
      </c>
      <c r="AW20" s="31" t="s">
        <v>8</v>
      </c>
      <c r="AX20" s="31" t="s">
        <v>10</v>
      </c>
      <c r="AY20" s="31" t="s">
        <v>18</v>
      </c>
      <c r="AZ20" s="31" t="s">
        <v>8</v>
      </c>
      <c r="BA20" s="31" t="s">
        <v>18</v>
      </c>
      <c r="BB20" s="31" t="s">
        <v>22</v>
      </c>
      <c r="BC20" s="31" t="s">
        <v>10</v>
      </c>
      <c r="BD20" s="31" t="s">
        <v>22</v>
      </c>
      <c r="BE20" s="31" t="s">
        <v>18</v>
      </c>
      <c r="BF20" s="31" t="s">
        <v>10</v>
      </c>
      <c r="BG20" s="31" t="s">
        <v>10</v>
      </c>
      <c r="BH20" s="31" t="s">
        <v>18</v>
      </c>
      <c r="BI20" s="31" t="s">
        <v>22</v>
      </c>
      <c r="BJ20" s="31" t="s">
        <v>18</v>
      </c>
      <c r="BK20" s="31" t="s">
        <v>17</v>
      </c>
      <c r="BL20" s="31" t="s">
        <v>17</v>
      </c>
      <c r="BM20" s="31" t="s">
        <v>17</v>
      </c>
      <c r="BN20" s="31" t="s">
        <v>17</v>
      </c>
      <c r="BO20" s="31" t="s">
        <v>17</v>
      </c>
      <c r="BP20" s="31" t="s">
        <v>17</v>
      </c>
      <c r="BQ20" s="31" t="s">
        <v>17</v>
      </c>
      <c r="BR20" s="31" t="s">
        <v>17</v>
      </c>
      <c r="BS20" s="31" t="s">
        <v>17</v>
      </c>
    </row>
    <row r="21" spans="1:71" x14ac:dyDescent="0.3">
      <c r="A21" s="2">
        <f t="shared" ref="A21:B36" si="17">A20+1</f>
        <v>102</v>
      </c>
      <c r="B21" s="12">
        <f t="shared" si="17"/>
        <v>19</v>
      </c>
      <c r="C21" s="26">
        <v>44663.708333333336</v>
      </c>
      <c r="D21" s="4">
        <v>24</v>
      </c>
      <c r="E21" s="4">
        <f t="shared" si="2"/>
        <v>432</v>
      </c>
      <c r="F21" s="5">
        <f t="shared" si="3"/>
        <v>18</v>
      </c>
      <c r="G21">
        <f t="shared" si="16"/>
        <v>0</v>
      </c>
      <c r="H21">
        <f t="shared" si="4"/>
        <v>0</v>
      </c>
      <c r="I21">
        <f t="shared" si="5"/>
        <v>4</v>
      </c>
      <c r="J21">
        <f t="shared" si="6"/>
        <v>20</v>
      </c>
      <c r="K21">
        <f t="shared" si="7"/>
        <v>0</v>
      </c>
      <c r="L21">
        <f t="shared" si="0"/>
        <v>0</v>
      </c>
      <c r="M21">
        <f t="shared" si="1"/>
        <v>0</v>
      </c>
      <c r="N21" s="30"/>
      <c r="O21">
        <f t="shared" si="8"/>
        <v>9</v>
      </c>
      <c r="P21">
        <f t="shared" si="9"/>
        <v>11</v>
      </c>
      <c r="Q21">
        <f t="shared" si="10"/>
        <v>6</v>
      </c>
      <c r="R21">
        <f t="shared" si="11"/>
        <v>0</v>
      </c>
      <c r="S21">
        <f t="shared" si="12"/>
        <v>0</v>
      </c>
      <c r="T21">
        <f t="shared" si="13"/>
        <v>0</v>
      </c>
      <c r="U21">
        <f t="shared" si="14"/>
        <v>0</v>
      </c>
      <c r="V21" s="31" t="s">
        <v>10</v>
      </c>
      <c r="W21" s="31" t="s">
        <v>10</v>
      </c>
      <c r="X21" s="31" t="s">
        <v>10</v>
      </c>
      <c r="Y21" s="31" t="s">
        <v>18</v>
      </c>
      <c r="Z21" s="31" t="s">
        <v>22</v>
      </c>
      <c r="AA21" s="31" t="s">
        <v>10</v>
      </c>
      <c r="AB21" s="31" t="s">
        <v>10</v>
      </c>
      <c r="AC21" s="31" t="s">
        <v>18</v>
      </c>
      <c r="AD21" s="31" t="s">
        <v>10</v>
      </c>
      <c r="AE21" s="31" t="s">
        <v>10</v>
      </c>
      <c r="AF21" s="31" t="s">
        <v>10</v>
      </c>
      <c r="AG21" s="31" t="s">
        <v>18</v>
      </c>
      <c r="AH21" s="31" t="s">
        <v>10</v>
      </c>
      <c r="AI21" s="31" t="s">
        <v>10</v>
      </c>
      <c r="AJ21" s="31" t="s">
        <v>10</v>
      </c>
      <c r="AK21" s="31" t="s">
        <v>10</v>
      </c>
      <c r="AL21" s="31" t="s">
        <v>10</v>
      </c>
      <c r="AM21" s="31" t="s">
        <v>18</v>
      </c>
      <c r="AN21" s="31" t="s">
        <v>10</v>
      </c>
      <c r="AO21" s="31" t="s">
        <v>18</v>
      </c>
      <c r="AP21" s="31" t="s">
        <v>22</v>
      </c>
      <c r="AQ21" s="31" t="s">
        <v>8</v>
      </c>
      <c r="AR21" s="31" t="s">
        <v>10</v>
      </c>
      <c r="AS21" s="31" t="s">
        <v>10</v>
      </c>
      <c r="AT21" s="31" t="s">
        <v>8</v>
      </c>
      <c r="AU21" s="31" t="s">
        <v>8</v>
      </c>
      <c r="AV21" s="31" t="s">
        <v>18</v>
      </c>
      <c r="AW21" s="31" t="s">
        <v>8</v>
      </c>
      <c r="AX21" s="31" t="s">
        <v>10</v>
      </c>
      <c r="AY21" s="31" t="s">
        <v>18</v>
      </c>
      <c r="AZ21" s="31" t="s">
        <v>22</v>
      </c>
      <c r="BA21" s="31" t="s">
        <v>18</v>
      </c>
      <c r="BB21" s="31" t="s">
        <v>22</v>
      </c>
      <c r="BC21" s="31" t="s">
        <v>10</v>
      </c>
      <c r="BD21" s="31" t="s">
        <v>22</v>
      </c>
      <c r="BE21" s="31" t="s">
        <v>18</v>
      </c>
      <c r="BF21" s="31" t="s">
        <v>10</v>
      </c>
      <c r="BG21" s="31" t="s">
        <v>10</v>
      </c>
      <c r="BH21" s="31" t="s">
        <v>18</v>
      </c>
      <c r="BI21" s="31" t="s">
        <v>22</v>
      </c>
      <c r="BJ21" s="31" t="s">
        <v>18</v>
      </c>
      <c r="BK21" s="31" t="s">
        <v>17</v>
      </c>
      <c r="BL21" s="31" t="s">
        <v>17</v>
      </c>
      <c r="BM21" s="31" t="s">
        <v>17</v>
      </c>
      <c r="BN21" s="31" t="s">
        <v>17</v>
      </c>
      <c r="BO21" s="31" t="s">
        <v>17</v>
      </c>
      <c r="BP21" s="31" t="s">
        <v>17</v>
      </c>
      <c r="BQ21" s="31" t="s">
        <v>17</v>
      </c>
      <c r="BR21" s="31" t="s">
        <v>17</v>
      </c>
      <c r="BS21" s="31" t="s">
        <v>17</v>
      </c>
    </row>
    <row r="22" spans="1:71" x14ac:dyDescent="0.3">
      <c r="A22" s="2">
        <f t="shared" si="17"/>
        <v>103</v>
      </c>
      <c r="B22" s="12">
        <f t="shared" si="17"/>
        <v>20</v>
      </c>
      <c r="C22" s="26">
        <v>44664.708333333336</v>
      </c>
      <c r="D22" s="4">
        <v>24</v>
      </c>
      <c r="E22" s="4">
        <f t="shared" si="2"/>
        <v>456</v>
      </c>
      <c r="F22" s="5">
        <f t="shared" si="3"/>
        <v>19</v>
      </c>
      <c r="G22">
        <f t="shared" si="16"/>
        <v>0</v>
      </c>
      <c r="H22">
        <f t="shared" si="4"/>
        <v>0</v>
      </c>
      <c r="I22">
        <f t="shared" si="5"/>
        <v>2</v>
      </c>
      <c r="J22">
        <f t="shared" si="6"/>
        <v>21</v>
      </c>
      <c r="K22">
        <f t="shared" si="7"/>
        <v>0</v>
      </c>
      <c r="L22">
        <f t="shared" si="0"/>
        <v>0</v>
      </c>
      <c r="M22">
        <f t="shared" si="1"/>
        <v>0</v>
      </c>
      <c r="N22" s="30"/>
      <c r="O22">
        <f t="shared" si="8"/>
        <v>9</v>
      </c>
      <c r="P22">
        <f t="shared" si="9"/>
        <v>11</v>
      </c>
      <c r="Q22">
        <f t="shared" si="10"/>
        <v>7</v>
      </c>
      <c r="R22">
        <f t="shared" si="11"/>
        <v>0</v>
      </c>
      <c r="S22">
        <f t="shared" si="12"/>
        <v>0</v>
      </c>
      <c r="T22">
        <f t="shared" si="13"/>
        <v>0</v>
      </c>
      <c r="U22">
        <f t="shared" si="14"/>
        <v>0</v>
      </c>
      <c r="V22" s="31" t="s">
        <v>10</v>
      </c>
      <c r="W22" s="31" t="s">
        <v>10</v>
      </c>
      <c r="X22" s="31" t="s">
        <v>10</v>
      </c>
      <c r="Y22" s="31" t="s">
        <v>18</v>
      </c>
      <c r="Z22" s="31" t="s">
        <v>22</v>
      </c>
      <c r="AA22" s="31" t="s">
        <v>10</v>
      </c>
      <c r="AB22" s="31" t="s">
        <v>10</v>
      </c>
      <c r="AC22" s="31" t="s">
        <v>18</v>
      </c>
      <c r="AD22" s="31" t="s">
        <v>10</v>
      </c>
      <c r="AE22" s="31" t="s">
        <v>10</v>
      </c>
      <c r="AF22" s="31" t="s">
        <v>10</v>
      </c>
      <c r="AG22" s="31" t="s">
        <v>18</v>
      </c>
      <c r="AH22" s="31" t="s">
        <v>10</v>
      </c>
      <c r="AI22" s="31" t="s">
        <v>10</v>
      </c>
      <c r="AJ22" s="31" t="s">
        <v>10</v>
      </c>
      <c r="AK22" s="31" t="s">
        <v>10</v>
      </c>
      <c r="AL22" s="31" t="s">
        <v>10</v>
      </c>
      <c r="AM22" s="31" t="s">
        <v>18</v>
      </c>
      <c r="AN22" s="31" t="s">
        <v>10</v>
      </c>
      <c r="AO22" s="31" t="s">
        <v>18</v>
      </c>
      <c r="AP22" s="31" t="s">
        <v>22</v>
      </c>
      <c r="AQ22" s="31" t="s">
        <v>8</v>
      </c>
      <c r="AR22" s="31" t="s">
        <v>10</v>
      </c>
      <c r="AS22" s="31" t="s">
        <v>10</v>
      </c>
      <c r="AT22" s="31" t="s">
        <v>10</v>
      </c>
      <c r="AU22" s="31" t="s">
        <v>8</v>
      </c>
      <c r="AV22" s="31" t="s">
        <v>18</v>
      </c>
      <c r="AW22" s="31" t="s">
        <v>22</v>
      </c>
      <c r="AX22" s="31" t="s">
        <v>10</v>
      </c>
      <c r="AY22" s="31" t="s">
        <v>18</v>
      </c>
      <c r="AZ22" s="31" t="s">
        <v>22</v>
      </c>
      <c r="BA22" s="31" t="s">
        <v>18</v>
      </c>
      <c r="BB22" s="31" t="s">
        <v>22</v>
      </c>
      <c r="BC22" s="31" t="s">
        <v>10</v>
      </c>
      <c r="BD22" s="31" t="s">
        <v>22</v>
      </c>
      <c r="BE22" s="31" t="s">
        <v>18</v>
      </c>
      <c r="BF22" s="31" t="s">
        <v>10</v>
      </c>
      <c r="BG22" s="31" t="s">
        <v>10</v>
      </c>
      <c r="BH22" s="31" t="s">
        <v>18</v>
      </c>
      <c r="BI22" s="31" t="s">
        <v>22</v>
      </c>
      <c r="BJ22" s="31" t="s">
        <v>18</v>
      </c>
      <c r="BK22" s="31" t="s">
        <v>17</v>
      </c>
      <c r="BL22" s="31" t="s">
        <v>17</v>
      </c>
      <c r="BM22" s="31" t="s">
        <v>17</v>
      </c>
      <c r="BN22" s="31" t="s">
        <v>17</v>
      </c>
      <c r="BO22" s="31" t="s">
        <v>17</v>
      </c>
      <c r="BP22" s="31" t="s">
        <v>17</v>
      </c>
      <c r="BQ22" s="31" t="s">
        <v>17</v>
      </c>
      <c r="BR22" s="31" t="s">
        <v>17</v>
      </c>
      <c r="BS22" s="31" t="s">
        <v>17</v>
      </c>
    </row>
    <row r="23" spans="1:71" x14ac:dyDescent="0.3">
      <c r="A23" s="2">
        <f t="shared" si="17"/>
        <v>104</v>
      </c>
      <c r="B23" s="12">
        <f t="shared" si="17"/>
        <v>21</v>
      </c>
      <c r="C23" s="26">
        <v>44665.708333333336</v>
      </c>
      <c r="D23" s="4">
        <v>24</v>
      </c>
      <c r="E23" s="4">
        <f t="shared" si="2"/>
        <v>480</v>
      </c>
      <c r="F23" s="5">
        <f t="shared" si="3"/>
        <v>20</v>
      </c>
      <c r="G23">
        <f t="shared" si="16"/>
        <v>0</v>
      </c>
      <c r="H23">
        <f t="shared" si="4"/>
        <v>0</v>
      </c>
      <c r="I23">
        <f t="shared" si="5"/>
        <v>2</v>
      </c>
      <c r="J23">
        <f t="shared" si="6"/>
        <v>21</v>
      </c>
      <c r="K23">
        <f t="shared" si="7"/>
        <v>0</v>
      </c>
      <c r="L23">
        <f t="shared" si="0"/>
        <v>0</v>
      </c>
      <c r="M23">
        <f t="shared" si="1"/>
        <v>0</v>
      </c>
      <c r="N23" s="30"/>
      <c r="O23">
        <f t="shared" si="8"/>
        <v>9</v>
      </c>
      <c r="P23">
        <f t="shared" si="9"/>
        <v>11</v>
      </c>
      <c r="Q23">
        <f t="shared" si="10"/>
        <v>7</v>
      </c>
      <c r="R23">
        <f t="shared" si="11"/>
        <v>0</v>
      </c>
      <c r="S23">
        <f t="shared" si="12"/>
        <v>0</v>
      </c>
      <c r="T23">
        <f t="shared" si="13"/>
        <v>0</v>
      </c>
      <c r="U23">
        <f t="shared" si="14"/>
        <v>0</v>
      </c>
      <c r="V23" s="31" t="s">
        <v>10</v>
      </c>
      <c r="W23" s="31" t="s">
        <v>10</v>
      </c>
      <c r="X23" s="31" t="s">
        <v>10</v>
      </c>
      <c r="Y23" s="31" t="s">
        <v>18</v>
      </c>
      <c r="Z23" s="31" t="s">
        <v>22</v>
      </c>
      <c r="AA23" s="31" t="s">
        <v>10</v>
      </c>
      <c r="AB23" s="31" t="s">
        <v>10</v>
      </c>
      <c r="AC23" s="31" t="s">
        <v>18</v>
      </c>
      <c r="AD23" s="31" t="s">
        <v>10</v>
      </c>
      <c r="AE23" s="31" t="s">
        <v>10</v>
      </c>
      <c r="AF23" s="31" t="s">
        <v>10</v>
      </c>
      <c r="AG23" s="31" t="s">
        <v>18</v>
      </c>
      <c r="AH23" s="31" t="s">
        <v>10</v>
      </c>
      <c r="AI23" s="31" t="s">
        <v>10</v>
      </c>
      <c r="AJ23" s="31" t="s">
        <v>10</v>
      </c>
      <c r="AK23" s="31" t="s">
        <v>10</v>
      </c>
      <c r="AL23" s="31" t="s">
        <v>10</v>
      </c>
      <c r="AM23" s="31" t="s">
        <v>18</v>
      </c>
      <c r="AN23" s="31" t="s">
        <v>10</v>
      </c>
      <c r="AO23" s="31" t="s">
        <v>18</v>
      </c>
      <c r="AP23" s="31" t="s">
        <v>22</v>
      </c>
      <c r="AQ23" s="31" t="s">
        <v>8</v>
      </c>
      <c r="AR23" s="31" t="s">
        <v>10</v>
      </c>
      <c r="AS23" s="31" t="s">
        <v>10</v>
      </c>
      <c r="AT23" s="31" t="s">
        <v>10</v>
      </c>
      <c r="AU23" s="31" t="s">
        <v>8</v>
      </c>
      <c r="AV23" s="31" t="s">
        <v>18</v>
      </c>
      <c r="AW23" s="31" t="s">
        <v>22</v>
      </c>
      <c r="AX23" s="31" t="s">
        <v>10</v>
      </c>
      <c r="AY23" s="31" t="s">
        <v>18</v>
      </c>
      <c r="AZ23" s="31" t="s">
        <v>22</v>
      </c>
      <c r="BA23" s="31" t="s">
        <v>18</v>
      </c>
      <c r="BB23" s="31" t="s">
        <v>22</v>
      </c>
      <c r="BC23" s="31" t="s">
        <v>10</v>
      </c>
      <c r="BD23" s="31" t="s">
        <v>22</v>
      </c>
      <c r="BE23" s="31" t="s">
        <v>18</v>
      </c>
      <c r="BF23" s="31" t="s">
        <v>10</v>
      </c>
      <c r="BG23" s="31" t="s">
        <v>10</v>
      </c>
      <c r="BH23" s="31" t="s">
        <v>18</v>
      </c>
      <c r="BI23" s="31" t="s">
        <v>22</v>
      </c>
      <c r="BJ23" s="31" t="s">
        <v>18</v>
      </c>
      <c r="BK23" s="31" t="s">
        <v>17</v>
      </c>
      <c r="BL23" s="31" t="s">
        <v>17</v>
      </c>
      <c r="BM23" s="31" t="s">
        <v>17</v>
      </c>
      <c r="BN23" s="31" t="s">
        <v>17</v>
      </c>
      <c r="BO23" s="31" t="s">
        <v>17</v>
      </c>
      <c r="BP23" s="31" t="s">
        <v>17</v>
      </c>
      <c r="BQ23" s="31" t="s">
        <v>17</v>
      </c>
      <c r="BR23" s="31" t="s">
        <v>17</v>
      </c>
      <c r="BS23" s="31" t="s">
        <v>17</v>
      </c>
    </row>
    <row r="24" spans="1:71" x14ac:dyDescent="0.3">
      <c r="A24" s="2">
        <f t="shared" si="17"/>
        <v>105</v>
      </c>
      <c r="B24" s="12">
        <f t="shared" si="17"/>
        <v>22</v>
      </c>
      <c r="C24" s="26">
        <v>44666.708333333336</v>
      </c>
      <c r="D24" s="4">
        <v>24</v>
      </c>
      <c r="E24" s="4">
        <f t="shared" si="2"/>
        <v>504</v>
      </c>
      <c r="F24" s="5">
        <f t="shared" si="3"/>
        <v>21</v>
      </c>
      <c r="G24">
        <f t="shared" si="16"/>
        <v>0</v>
      </c>
      <c r="H24">
        <f t="shared" si="4"/>
        <v>0</v>
      </c>
      <c r="I24">
        <f t="shared" si="5"/>
        <v>0</v>
      </c>
      <c r="J24">
        <f t="shared" si="6"/>
        <v>21</v>
      </c>
      <c r="K24">
        <f t="shared" si="7"/>
        <v>2</v>
      </c>
      <c r="L24">
        <f t="shared" si="0"/>
        <v>0</v>
      </c>
      <c r="M24">
        <f t="shared" si="1"/>
        <v>0</v>
      </c>
      <c r="N24" s="30"/>
      <c r="O24">
        <f t="shared" si="8"/>
        <v>9</v>
      </c>
      <c r="P24">
        <f t="shared" si="9"/>
        <v>11</v>
      </c>
      <c r="Q24">
        <f t="shared" si="10"/>
        <v>7</v>
      </c>
      <c r="R24">
        <f t="shared" si="11"/>
        <v>0</v>
      </c>
      <c r="S24">
        <f t="shared" si="12"/>
        <v>0</v>
      </c>
      <c r="T24">
        <f t="shared" si="13"/>
        <v>0</v>
      </c>
      <c r="U24">
        <f t="shared" si="14"/>
        <v>0</v>
      </c>
      <c r="V24" s="31" t="s">
        <v>10</v>
      </c>
      <c r="W24" s="31" t="s">
        <v>11</v>
      </c>
      <c r="X24" s="31" t="s">
        <v>11</v>
      </c>
      <c r="Y24" s="31" t="s">
        <v>18</v>
      </c>
      <c r="Z24" s="31" t="s">
        <v>22</v>
      </c>
      <c r="AA24" s="31" t="s">
        <v>10</v>
      </c>
      <c r="AB24" s="31" t="s">
        <v>10</v>
      </c>
      <c r="AC24" s="31" t="s">
        <v>18</v>
      </c>
      <c r="AD24" s="31" t="s">
        <v>10</v>
      </c>
      <c r="AE24" s="31" t="s">
        <v>10</v>
      </c>
      <c r="AF24" s="31" t="s">
        <v>10</v>
      </c>
      <c r="AG24" s="31" t="s">
        <v>18</v>
      </c>
      <c r="AH24" s="31" t="s">
        <v>10</v>
      </c>
      <c r="AI24" s="31" t="s">
        <v>10</v>
      </c>
      <c r="AJ24" s="31" t="s">
        <v>10</v>
      </c>
      <c r="AK24" s="31" t="s">
        <v>10</v>
      </c>
      <c r="AL24" s="31" t="s">
        <v>10</v>
      </c>
      <c r="AM24" s="31" t="s">
        <v>18</v>
      </c>
      <c r="AN24" s="31" t="s">
        <v>10</v>
      </c>
      <c r="AO24" s="31" t="s">
        <v>18</v>
      </c>
      <c r="AP24" s="31" t="s">
        <v>22</v>
      </c>
      <c r="AQ24" s="31" t="s">
        <v>10</v>
      </c>
      <c r="AR24" s="31" t="s">
        <v>10</v>
      </c>
      <c r="AS24" s="31" t="s">
        <v>10</v>
      </c>
      <c r="AT24" s="31" t="s">
        <v>10</v>
      </c>
      <c r="AU24" s="31" t="s">
        <v>10</v>
      </c>
      <c r="AV24" s="31" t="s">
        <v>18</v>
      </c>
      <c r="AW24" s="31" t="s">
        <v>22</v>
      </c>
      <c r="AX24" s="31" t="s">
        <v>10</v>
      </c>
      <c r="AY24" s="31" t="s">
        <v>18</v>
      </c>
      <c r="AZ24" s="31" t="s">
        <v>22</v>
      </c>
      <c r="BA24" s="31" t="s">
        <v>18</v>
      </c>
      <c r="BB24" s="31" t="s">
        <v>22</v>
      </c>
      <c r="BC24" s="31" t="s">
        <v>10</v>
      </c>
      <c r="BD24" s="31" t="s">
        <v>22</v>
      </c>
      <c r="BE24" s="31" t="s">
        <v>18</v>
      </c>
      <c r="BF24" s="31" t="s">
        <v>10</v>
      </c>
      <c r="BG24" s="31" t="s">
        <v>10</v>
      </c>
      <c r="BH24" s="31" t="s">
        <v>18</v>
      </c>
      <c r="BI24" s="31" t="s">
        <v>22</v>
      </c>
      <c r="BJ24" s="31" t="s">
        <v>18</v>
      </c>
      <c r="BK24" s="31" t="s">
        <v>17</v>
      </c>
      <c r="BL24" s="31" t="s">
        <v>17</v>
      </c>
      <c r="BM24" s="31" t="s">
        <v>17</v>
      </c>
      <c r="BN24" s="31" t="s">
        <v>17</v>
      </c>
      <c r="BO24" s="31" t="s">
        <v>17</v>
      </c>
      <c r="BP24" s="31" t="s">
        <v>17</v>
      </c>
      <c r="BQ24" s="31" t="s">
        <v>17</v>
      </c>
      <c r="BR24" s="31" t="s">
        <v>17</v>
      </c>
      <c r="BS24" s="31" t="s">
        <v>17</v>
      </c>
    </row>
    <row r="25" spans="1:71" x14ac:dyDescent="0.3">
      <c r="A25" s="2">
        <f t="shared" si="17"/>
        <v>106</v>
      </c>
      <c r="B25" s="12">
        <f t="shared" si="17"/>
        <v>23</v>
      </c>
      <c r="C25" s="26">
        <v>44667.708333333336</v>
      </c>
      <c r="D25" s="4">
        <v>24</v>
      </c>
      <c r="E25" s="4">
        <f t="shared" si="2"/>
        <v>528</v>
      </c>
      <c r="F25" s="5">
        <f t="shared" si="3"/>
        <v>22</v>
      </c>
      <c r="G25">
        <f t="shared" si="16"/>
        <v>0</v>
      </c>
      <c r="H25">
        <f t="shared" si="4"/>
        <v>0</v>
      </c>
      <c r="I25">
        <f t="shared" si="5"/>
        <v>0</v>
      </c>
      <c r="J25">
        <f t="shared" si="6"/>
        <v>21</v>
      </c>
      <c r="K25">
        <f t="shared" si="7"/>
        <v>2</v>
      </c>
      <c r="L25">
        <f t="shared" si="0"/>
        <v>0</v>
      </c>
      <c r="M25">
        <f t="shared" si="1"/>
        <v>0</v>
      </c>
      <c r="N25" s="30"/>
      <c r="O25">
        <f t="shared" si="8"/>
        <v>9</v>
      </c>
      <c r="P25">
        <f t="shared" si="9"/>
        <v>11</v>
      </c>
      <c r="Q25">
        <f t="shared" si="10"/>
        <v>7</v>
      </c>
      <c r="R25">
        <f t="shared" si="11"/>
        <v>0</v>
      </c>
      <c r="S25">
        <f t="shared" si="12"/>
        <v>0</v>
      </c>
      <c r="T25">
        <f t="shared" si="13"/>
        <v>0</v>
      </c>
      <c r="U25">
        <f t="shared" si="14"/>
        <v>0</v>
      </c>
      <c r="V25" s="31" t="s">
        <v>10</v>
      </c>
      <c r="W25" s="31" t="s">
        <v>11</v>
      </c>
      <c r="X25" s="31" t="s">
        <v>11</v>
      </c>
      <c r="Y25" s="31" t="s">
        <v>18</v>
      </c>
      <c r="Z25" s="31" t="s">
        <v>22</v>
      </c>
      <c r="AA25" s="31" t="s">
        <v>10</v>
      </c>
      <c r="AB25" s="31" t="s">
        <v>10</v>
      </c>
      <c r="AC25" s="31" t="s">
        <v>18</v>
      </c>
      <c r="AD25" s="31" t="s">
        <v>10</v>
      </c>
      <c r="AE25" s="31" t="s">
        <v>10</v>
      </c>
      <c r="AF25" s="31" t="s">
        <v>10</v>
      </c>
      <c r="AG25" s="31" t="s">
        <v>18</v>
      </c>
      <c r="AH25" s="31" t="s">
        <v>10</v>
      </c>
      <c r="AI25" s="31" t="s">
        <v>10</v>
      </c>
      <c r="AJ25" s="31" t="s">
        <v>10</v>
      </c>
      <c r="AK25" s="31" t="s">
        <v>10</v>
      </c>
      <c r="AL25" s="31" t="s">
        <v>10</v>
      </c>
      <c r="AM25" s="31" t="s">
        <v>18</v>
      </c>
      <c r="AN25" s="31" t="s">
        <v>10</v>
      </c>
      <c r="AO25" s="31" t="s">
        <v>18</v>
      </c>
      <c r="AP25" s="31" t="s">
        <v>22</v>
      </c>
      <c r="AQ25" s="31" t="s">
        <v>10</v>
      </c>
      <c r="AR25" s="31" t="s">
        <v>10</v>
      </c>
      <c r="AS25" s="31" t="s">
        <v>10</v>
      </c>
      <c r="AT25" s="31" t="s">
        <v>10</v>
      </c>
      <c r="AU25" s="31" t="s">
        <v>10</v>
      </c>
      <c r="AV25" s="31" t="s">
        <v>18</v>
      </c>
      <c r="AW25" s="31" t="s">
        <v>22</v>
      </c>
      <c r="AX25" s="31" t="s">
        <v>10</v>
      </c>
      <c r="AY25" s="31" t="s">
        <v>18</v>
      </c>
      <c r="AZ25" s="31" t="s">
        <v>22</v>
      </c>
      <c r="BA25" s="31" t="s">
        <v>18</v>
      </c>
      <c r="BB25" s="31" t="s">
        <v>22</v>
      </c>
      <c r="BC25" s="31" t="s">
        <v>10</v>
      </c>
      <c r="BD25" s="31" t="s">
        <v>22</v>
      </c>
      <c r="BE25" s="31" t="s">
        <v>18</v>
      </c>
      <c r="BF25" s="31" t="s">
        <v>10</v>
      </c>
      <c r="BG25" s="31" t="s">
        <v>10</v>
      </c>
      <c r="BH25" s="31" t="s">
        <v>18</v>
      </c>
      <c r="BI25" s="31" t="s">
        <v>22</v>
      </c>
      <c r="BJ25" s="31" t="s">
        <v>18</v>
      </c>
      <c r="BK25" s="31" t="s">
        <v>17</v>
      </c>
      <c r="BL25" s="31" t="s">
        <v>17</v>
      </c>
      <c r="BM25" s="31" t="s">
        <v>17</v>
      </c>
      <c r="BN25" s="31" t="s">
        <v>17</v>
      </c>
      <c r="BO25" s="31" t="s">
        <v>17</v>
      </c>
      <c r="BP25" s="31" t="s">
        <v>17</v>
      </c>
      <c r="BQ25" s="31" t="s">
        <v>17</v>
      </c>
      <c r="BR25" s="31" t="s">
        <v>17</v>
      </c>
      <c r="BS25" s="31" t="s">
        <v>17</v>
      </c>
    </row>
    <row r="26" spans="1:71" x14ac:dyDescent="0.3">
      <c r="A26" s="2">
        <f t="shared" si="17"/>
        <v>107</v>
      </c>
      <c r="B26" s="12">
        <f t="shared" si="17"/>
        <v>24</v>
      </c>
      <c r="C26" s="26">
        <v>44668.708333333336</v>
      </c>
      <c r="D26" s="4">
        <v>24</v>
      </c>
      <c r="E26" s="4">
        <f t="shared" si="2"/>
        <v>552</v>
      </c>
      <c r="F26" s="5">
        <f t="shared" si="3"/>
        <v>23</v>
      </c>
      <c r="G26">
        <f t="shared" si="16"/>
        <v>0</v>
      </c>
      <c r="H26">
        <f t="shared" si="4"/>
        <v>0</v>
      </c>
      <c r="I26">
        <f t="shared" si="5"/>
        <v>0</v>
      </c>
      <c r="J26">
        <f t="shared" si="6"/>
        <v>16</v>
      </c>
      <c r="K26">
        <f t="shared" si="7"/>
        <v>7</v>
      </c>
      <c r="L26">
        <f t="shared" si="0"/>
        <v>0</v>
      </c>
      <c r="M26">
        <f t="shared" si="1"/>
        <v>0</v>
      </c>
      <c r="N26" s="30"/>
      <c r="O26">
        <f t="shared" si="8"/>
        <v>9</v>
      </c>
      <c r="P26">
        <f t="shared" si="9"/>
        <v>11</v>
      </c>
      <c r="Q26">
        <f t="shared" si="10"/>
        <v>7</v>
      </c>
      <c r="R26">
        <f t="shared" si="11"/>
        <v>0</v>
      </c>
      <c r="S26">
        <f t="shared" si="12"/>
        <v>0</v>
      </c>
      <c r="T26">
        <f t="shared" si="13"/>
        <v>0</v>
      </c>
      <c r="U26">
        <f t="shared" si="14"/>
        <v>0</v>
      </c>
      <c r="V26" s="31" t="s">
        <v>10</v>
      </c>
      <c r="W26" s="31" t="s">
        <v>11</v>
      </c>
      <c r="X26" s="31" t="s">
        <v>11</v>
      </c>
      <c r="Y26" s="31" t="s">
        <v>18</v>
      </c>
      <c r="Z26" s="31" t="s">
        <v>22</v>
      </c>
      <c r="AA26" s="31" t="s">
        <v>10</v>
      </c>
      <c r="AB26" s="31" t="s">
        <v>11</v>
      </c>
      <c r="AC26" s="31" t="s">
        <v>18</v>
      </c>
      <c r="AD26" s="31" t="s">
        <v>10</v>
      </c>
      <c r="AE26" s="31" t="s">
        <v>10</v>
      </c>
      <c r="AF26" s="31" t="s">
        <v>10</v>
      </c>
      <c r="AG26" s="31" t="s">
        <v>18</v>
      </c>
      <c r="AH26" s="31" t="s">
        <v>10</v>
      </c>
      <c r="AI26" s="31" t="s">
        <v>11</v>
      </c>
      <c r="AJ26" s="31" t="s">
        <v>11</v>
      </c>
      <c r="AK26" s="31" t="s">
        <v>10</v>
      </c>
      <c r="AL26" s="31" t="s">
        <v>10</v>
      </c>
      <c r="AM26" s="31" t="s">
        <v>18</v>
      </c>
      <c r="AN26" s="31" t="s">
        <v>10</v>
      </c>
      <c r="AO26" s="31" t="s">
        <v>18</v>
      </c>
      <c r="AP26" s="31" t="s">
        <v>22</v>
      </c>
      <c r="AQ26" s="31" t="s">
        <v>10</v>
      </c>
      <c r="AR26" s="31" t="s">
        <v>10</v>
      </c>
      <c r="AS26" s="31" t="s">
        <v>10</v>
      </c>
      <c r="AT26" s="31" t="s">
        <v>10</v>
      </c>
      <c r="AU26" s="31" t="s">
        <v>10</v>
      </c>
      <c r="AV26" s="31" t="s">
        <v>18</v>
      </c>
      <c r="AW26" s="31" t="s">
        <v>22</v>
      </c>
      <c r="AX26" s="31" t="s">
        <v>11</v>
      </c>
      <c r="AY26" s="31" t="s">
        <v>18</v>
      </c>
      <c r="AZ26" s="31" t="s">
        <v>22</v>
      </c>
      <c r="BA26" s="31" t="s">
        <v>18</v>
      </c>
      <c r="BB26" s="31" t="s">
        <v>22</v>
      </c>
      <c r="BC26" s="31" t="s">
        <v>11</v>
      </c>
      <c r="BD26" s="31" t="s">
        <v>22</v>
      </c>
      <c r="BE26" s="31" t="s">
        <v>18</v>
      </c>
      <c r="BF26" s="31" t="s">
        <v>10</v>
      </c>
      <c r="BG26" s="31" t="s">
        <v>10</v>
      </c>
      <c r="BH26" s="31" t="s">
        <v>18</v>
      </c>
      <c r="BI26" s="31" t="s">
        <v>22</v>
      </c>
      <c r="BJ26" s="31" t="s">
        <v>18</v>
      </c>
      <c r="BK26" s="31" t="s">
        <v>17</v>
      </c>
      <c r="BL26" s="31" t="s">
        <v>17</v>
      </c>
      <c r="BM26" s="31" t="s">
        <v>17</v>
      </c>
      <c r="BN26" s="31" t="s">
        <v>17</v>
      </c>
      <c r="BO26" s="31" t="s">
        <v>17</v>
      </c>
      <c r="BP26" s="31" t="s">
        <v>17</v>
      </c>
      <c r="BQ26" s="31" t="s">
        <v>17</v>
      </c>
      <c r="BR26" s="31" t="s">
        <v>17</v>
      </c>
      <c r="BS26" s="31" t="s">
        <v>17</v>
      </c>
    </row>
    <row r="27" spans="1:71" x14ac:dyDescent="0.3">
      <c r="A27" s="2">
        <f t="shared" si="17"/>
        <v>108</v>
      </c>
      <c r="B27" s="12">
        <f t="shared" si="17"/>
        <v>25</v>
      </c>
      <c r="C27" s="26">
        <v>44669.708333333336</v>
      </c>
      <c r="D27" s="4">
        <v>24</v>
      </c>
      <c r="E27" s="4">
        <f t="shared" si="2"/>
        <v>576</v>
      </c>
      <c r="F27" s="5">
        <f t="shared" si="3"/>
        <v>24</v>
      </c>
      <c r="G27">
        <f t="shared" si="16"/>
        <v>0</v>
      </c>
      <c r="H27">
        <f t="shared" si="4"/>
        <v>0</v>
      </c>
      <c r="I27">
        <f t="shared" si="5"/>
        <v>0</v>
      </c>
      <c r="J27">
        <f t="shared" si="6"/>
        <v>15</v>
      </c>
      <c r="K27">
        <f t="shared" si="7"/>
        <v>8</v>
      </c>
      <c r="L27">
        <f t="shared" si="0"/>
        <v>0</v>
      </c>
      <c r="M27">
        <f t="shared" si="1"/>
        <v>0</v>
      </c>
      <c r="N27" s="30"/>
      <c r="O27">
        <f t="shared" si="8"/>
        <v>9</v>
      </c>
      <c r="P27">
        <f t="shared" si="9"/>
        <v>11</v>
      </c>
      <c r="Q27">
        <f t="shared" si="10"/>
        <v>7</v>
      </c>
      <c r="R27">
        <f t="shared" si="11"/>
        <v>0</v>
      </c>
      <c r="S27">
        <f t="shared" si="12"/>
        <v>0</v>
      </c>
      <c r="T27">
        <f t="shared" si="13"/>
        <v>0</v>
      </c>
      <c r="U27">
        <f t="shared" si="14"/>
        <v>0</v>
      </c>
      <c r="V27" s="31" t="s">
        <v>10</v>
      </c>
      <c r="W27" s="31" t="s">
        <v>11</v>
      </c>
      <c r="X27" s="31" t="s">
        <v>11</v>
      </c>
      <c r="Y27" s="31" t="s">
        <v>18</v>
      </c>
      <c r="Z27" s="31" t="s">
        <v>22</v>
      </c>
      <c r="AA27" s="31" t="s">
        <v>10</v>
      </c>
      <c r="AB27" s="31" t="s">
        <v>11</v>
      </c>
      <c r="AC27" s="31" t="s">
        <v>18</v>
      </c>
      <c r="AD27" s="31" t="s">
        <v>10</v>
      </c>
      <c r="AE27" s="31" t="s">
        <v>10</v>
      </c>
      <c r="AF27" s="31" t="s">
        <v>10</v>
      </c>
      <c r="AG27" s="31" t="s">
        <v>18</v>
      </c>
      <c r="AH27" s="31" t="s">
        <v>10</v>
      </c>
      <c r="AI27" s="31" t="s">
        <v>11</v>
      </c>
      <c r="AJ27" s="31" t="s">
        <v>11</v>
      </c>
      <c r="AK27" s="31" t="s">
        <v>10</v>
      </c>
      <c r="AL27" s="31" t="s">
        <v>10</v>
      </c>
      <c r="AM27" s="31" t="s">
        <v>18</v>
      </c>
      <c r="AN27" s="31" t="s">
        <v>10</v>
      </c>
      <c r="AO27" s="31" t="s">
        <v>18</v>
      </c>
      <c r="AP27" s="31" t="s">
        <v>22</v>
      </c>
      <c r="AQ27" s="31" t="s">
        <v>10</v>
      </c>
      <c r="AR27" s="31" t="s">
        <v>10</v>
      </c>
      <c r="AS27" s="31" t="s">
        <v>11</v>
      </c>
      <c r="AT27" s="31" t="s">
        <v>10</v>
      </c>
      <c r="AU27" s="31" t="s">
        <v>10</v>
      </c>
      <c r="AV27" s="31" t="s">
        <v>18</v>
      </c>
      <c r="AW27" s="31" t="s">
        <v>22</v>
      </c>
      <c r="AX27" s="31" t="s">
        <v>11</v>
      </c>
      <c r="AY27" s="31" t="s">
        <v>18</v>
      </c>
      <c r="AZ27" s="31" t="s">
        <v>22</v>
      </c>
      <c r="BA27" s="31" t="s">
        <v>18</v>
      </c>
      <c r="BB27" s="31" t="s">
        <v>22</v>
      </c>
      <c r="BC27" s="31" t="s">
        <v>11</v>
      </c>
      <c r="BD27" s="31" t="s">
        <v>22</v>
      </c>
      <c r="BE27" s="31" t="s">
        <v>18</v>
      </c>
      <c r="BF27" s="31" t="s">
        <v>10</v>
      </c>
      <c r="BG27" s="31" t="s">
        <v>10</v>
      </c>
      <c r="BH27" s="31" t="s">
        <v>18</v>
      </c>
      <c r="BI27" s="31" t="s">
        <v>22</v>
      </c>
      <c r="BJ27" s="31" t="s">
        <v>18</v>
      </c>
      <c r="BK27" s="31" t="s">
        <v>17</v>
      </c>
      <c r="BL27" s="31" t="s">
        <v>17</v>
      </c>
      <c r="BM27" s="31" t="s">
        <v>17</v>
      </c>
      <c r="BN27" s="31" t="s">
        <v>17</v>
      </c>
      <c r="BO27" s="31" t="s">
        <v>17</v>
      </c>
      <c r="BP27" s="31" t="s">
        <v>17</v>
      </c>
      <c r="BQ27" s="31" t="s">
        <v>17</v>
      </c>
      <c r="BR27" s="31" t="s">
        <v>17</v>
      </c>
      <c r="BS27" s="31" t="s">
        <v>17</v>
      </c>
    </row>
    <row r="28" spans="1:71" x14ac:dyDescent="0.3">
      <c r="A28" s="2">
        <f t="shared" si="17"/>
        <v>109</v>
      </c>
      <c r="B28" s="12">
        <f t="shared" si="17"/>
        <v>26</v>
      </c>
      <c r="C28" s="26">
        <v>44670.708333333336</v>
      </c>
      <c r="D28" s="4">
        <v>24</v>
      </c>
      <c r="E28" s="4">
        <f t="shared" si="2"/>
        <v>600</v>
      </c>
      <c r="F28" s="5">
        <f t="shared" si="3"/>
        <v>25</v>
      </c>
      <c r="G28">
        <f t="shared" si="16"/>
        <v>0</v>
      </c>
      <c r="H28">
        <f t="shared" si="4"/>
        <v>0</v>
      </c>
      <c r="I28">
        <f t="shared" si="5"/>
        <v>0</v>
      </c>
      <c r="J28">
        <f t="shared" si="6"/>
        <v>4</v>
      </c>
      <c r="K28">
        <f t="shared" si="7"/>
        <v>19</v>
      </c>
      <c r="L28">
        <f t="shared" si="0"/>
        <v>0</v>
      </c>
      <c r="M28">
        <f t="shared" si="1"/>
        <v>0</v>
      </c>
      <c r="N28" s="30"/>
      <c r="O28">
        <f t="shared" si="8"/>
        <v>9</v>
      </c>
      <c r="P28">
        <f t="shared" si="9"/>
        <v>11</v>
      </c>
      <c r="Q28">
        <f t="shared" si="10"/>
        <v>7</v>
      </c>
      <c r="R28">
        <f t="shared" si="11"/>
        <v>0</v>
      </c>
      <c r="S28">
        <f t="shared" si="12"/>
        <v>0</v>
      </c>
      <c r="T28">
        <f t="shared" si="13"/>
        <v>0</v>
      </c>
      <c r="U28">
        <f t="shared" si="14"/>
        <v>0</v>
      </c>
      <c r="V28" s="31" t="s">
        <v>11</v>
      </c>
      <c r="W28" s="31" t="s">
        <v>11</v>
      </c>
      <c r="X28" s="31" t="s">
        <v>11</v>
      </c>
      <c r="Y28" s="31" t="s">
        <v>18</v>
      </c>
      <c r="Z28" s="31" t="s">
        <v>22</v>
      </c>
      <c r="AA28" s="31" t="s">
        <v>11</v>
      </c>
      <c r="AB28" s="31" t="s">
        <v>11</v>
      </c>
      <c r="AC28" s="31" t="s">
        <v>18</v>
      </c>
      <c r="AD28" s="31" t="s">
        <v>11</v>
      </c>
      <c r="AE28" s="31" t="s">
        <v>11</v>
      </c>
      <c r="AF28" s="31" t="s">
        <v>11</v>
      </c>
      <c r="AG28" s="31" t="s">
        <v>18</v>
      </c>
      <c r="AH28" s="31" t="s">
        <v>11</v>
      </c>
      <c r="AI28" s="31" t="s">
        <v>11</v>
      </c>
      <c r="AJ28" s="31" t="s">
        <v>11</v>
      </c>
      <c r="AK28" s="31" t="s">
        <v>11</v>
      </c>
      <c r="AL28" s="31" t="s">
        <v>10</v>
      </c>
      <c r="AM28" s="31" t="s">
        <v>18</v>
      </c>
      <c r="AN28" s="31" t="s">
        <v>11</v>
      </c>
      <c r="AO28" s="31" t="s">
        <v>18</v>
      </c>
      <c r="AP28" s="31" t="s">
        <v>22</v>
      </c>
      <c r="AQ28" s="31" t="s">
        <v>10</v>
      </c>
      <c r="AR28" s="31" t="s">
        <v>11</v>
      </c>
      <c r="AS28" s="31" t="s">
        <v>11</v>
      </c>
      <c r="AT28" s="31" t="s">
        <v>10</v>
      </c>
      <c r="AU28" s="31" t="s">
        <v>10</v>
      </c>
      <c r="AV28" s="31" t="s">
        <v>18</v>
      </c>
      <c r="AW28" s="31" t="s">
        <v>22</v>
      </c>
      <c r="AX28" s="31" t="s">
        <v>11</v>
      </c>
      <c r="AY28" s="31" t="s">
        <v>18</v>
      </c>
      <c r="AZ28" s="31" t="s">
        <v>22</v>
      </c>
      <c r="BA28" s="31" t="s">
        <v>18</v>
      </c>
      <c r="BB28" s="31" t="s">
        <v>22</v>
      </c>
      <c r="BC28" s="31" t="s">
        <v>11</v>
      </c>
      <c r="BD28" s="31" t="s">
        <v>22</v>
      </c>
      <c r="BE28" s="31" t="s">
        <v>18</v>
      </c>
      <c r="BF28" s="31" t="s">
        <v>11</v>
      </c>
      <c r="BG28" s="31" t="s">
        <v>11</v>
      </c>
      <c r="BH28" s="31" t="s">
        <v>18</v>
      </c>
      <c r="BI28" s="31" t="s">
        <v>22</v>
      </c>
      <c r="BJ28" s="31" t="s">
        <v>18</v>
      </c>
      <c r="BK28" s="31" t="s">
        <v>17</v>
      </c>
      <c r="BL28" s="31" t="s">
        <v>17</v>
      </c>
      <c r="BM28" s="31" t="s">
        <v>17</v>
      </c>
      <c r="BN28" s="31" t="s">
        <v>17</v>
      </c>
      <c r="BO28" s="31" t="s">
        <v>17</v>
      </c>
      <c r="BP28" s="31" t="s">
        <v>17</v>
      </c>
      <c r="BQ28" s="31" t="s">
        <v>17</v>
      </c>
      <c r="BR28" s="31" t="s">
        <v>17</v>
      </c>
      <c r="BS28" s="31" t="s">
        <v>17</v>
      </c>
    </row>
    <row r="29" spans="1:71" x14ac:dyDescent="0.3">
      <c r="A29" s="2">
        <f t="shared" si="17"/>
        <v>110</v>
      </c>
      <c r="B29" s="12">
        <f t="shared" si="17"/>
        <v>27</v>
      </c>
      <c r="C29" s="26">
        <v>44671.708333333336</v>
      </c>
      <c r="D29" s="4">
        <v>24</v>
      </c>
      <c r="E29" s="4">
        <f t="shared" si="2"/>
        <v>624</v>
      </c>
      <c r="F29" s="5">
        <f t="shared" si="3"/>
        <v>26</v>
      </c>
      <c r="G29">
        <f t="shared" si="16"/>
        <v>0</v>
      </c>
      <c r="H29">
        <f t="shared" si="4"/>
        <v>0</v>
      </c>
      <c r="I29">
        <f t="shared" si="5"/>
        <v>0</v>
      </c>
      <c r="J29">
        <f t="shared" si="6"/>
        <v>3</v>
      </c>
      <c r="K29">
        <f t="shared" si="7"/>
        <v>20</v>
      </c>
      <c r="L29">
        <f t="shared" si="0"/>
        <v>0</v>
      </c>
      <c r="M29">
        <f t="shared" si="1"/>
        <v>0</v>
      </c>
      <c r="N29" s="30"/>
      <c r="O29">
        <f t="shared" si="8"/>
        <v>9</v>
      </c>
      <c r="P29">
        <f t="shared" si="9"/>
        <v>11</v>
      </c>
      <c r="Q29">
        <f t="shared" si="10"/>
        <v>7</v>
      </c>
      <c r="R29">
        <f t="shared" si="11"/>
        <v>0</v>
      </c>
      <c r="S29">
        <f t="shared" si="12"/>
        <v>0</v>
      </c>
      <c r="T29">
        <f t="shared" si="13"/>
        <v>0</v>
      </c>
      <c r="U29">
        <f t="shared" si="14"/>
        <v>0</v>
      </c>
      <c r="V29" s="31" t="s">
        <v>11</v>
      </c>
      <c r="W29" s="31" t="s">
        <v>11</v>
      </c>
      <c r="X29" s="31" t="s">
        <v>11</v>
      </c>
      <c r="Y29" s="31" t="s">
        <v>18</v>
      </c>
      <c r="Z29" s="31" t="s">
        <v>22</v>
      </c>
      <c r="AA29" s="31" t="s">
        <v>11</v>
      </c>
      <c r="AB29" s="31" t="s">
        <v>11</v>
      </c>
      <c r="AC29" s="31" t="s">
        <v>18</v>
      </c>
      <c r="AD29" s="31" t="s">
        <v>11</v>
      </c>
      <c r="AE29" s="31" t="s">
        <v>11</v>
      </c>
      <c r="AF29" s="31" t="s">
        <v>11</v>
      </c>
      <c r="AG29" s="31" t="s">
        <v>18</v>
      </c>
      <c r="AH29" s="31" t="s">
        <v>11</v>
      </c>
      <c r="AI29" s="31" t="s">
        <v>11</v>
      </c>
      <c r="AJ29" s="31" t="s">
        <v>11</v>
      </c>
      <c r="AK29" s="31" t="s">
        <v>11</v>
      </c>
      <c r="AL29" s="31" t="s">
        <v>11</v>
      </c>
      <c r="AM29" s="31" t="s">
        <v>18</v>
      </c>
      <c r="AN29" s="31" t="s">
        <v>11</v>
      </c>
      <c r="AO29" s="31" t="s">
        <v>18</v>
      </c>
      <c r="AP29" s="31" t="s">
        <v>22</v>
      </c>
      <c r="AQ29" s="31" t="s">
        <v>10</v>
      </c>
      <c r="AR29" s="31" t="s">
        <v>11</v>
      </c>
      <c r="AS29" s="31" t="s">
        <v>11</v>
      </c>
      <c r="AT29" s="31" t="s">
        <v>10</v>
      </c>
      <c r="AU29" s="31" t="s">
        <v>10</v>
      </c>
      <c r="AV29" s="31" t="s">
        <v>18</v>
      </c>
      <c r="AW29" s="31" t="s">
        <v>22</v>
      </c>
      <c r="AX29" s="31" t="s">
        <v>11</v>
      </c>
      <c r="AY29" s="31" t="s">
        <v>18</v>
      </c>
      <c r="AZ29" s="31" t="s">
        <v>22</v>
      </c>
      <c r="BA29" s="31" t="s">
        <v>18</v>
      </c>
      <c r="BB29" s="31" t="s">
        <v>22</v>
      </c>
      <c r="BC29" s="31" t="s">
        <v>11</v>
      </c>
      <c r="BD29" s="31" t="s">
        <v>22</v>
      </c>
      <c r="BE29" s="31" t="s">
        <v>18</v>
      </c>
      <c r="BF29" s="31" t="s">
        <v>11</v>
      </c>
      <c r="BG29" s="31" t="s">
        <v>11</v>
      </c>
      <c r="BH29" s="31" t="s">
        <v>18</v>
      </c>
      <c r="BI29" s="31" t="s">
        <v>22</v>
      </c>
      <c r="BJ29" s="31" t="s">
        <v>18</v>
      </c>
      <c r="BK29" s="31" t="s">
        <v>17</v>
      </c>
      <c r="BL29" s="31" t="s">
        <v>17</v>
      </c>
      <c r="BM29" s="31" t="s">
        <v>17</v>
      </c>
      <c r="BN29" s="31" t="s">
        <v>17</v>
      </c>
      <c r="BO29" s="31" t="s">
        <v>17</v>
      </c>
      <c r="BP29" s="31" t="s">
        <v>17</v>
      </c>
      <c r="BQ29" s="31" t="s">
        <v>17</v>
      </c>
      <c r="BR29" s="31" t="s">
        <v>17</v>
      </c>
      <c r="BS29" s="31" t="s">
        <v>17</v>
      </c>
    </row>
    <row r="30" spans="1:71" x14ac:dyDescent="0.3">
      <c r="A30" s="2">
        <f t="shared" si="17"/>
        <v>111</v>
      </c>
      <c r="B30" s="12">
        <f t="shared" si="17"/>
        <v>28</v>
      </c>
      <c r="C30" s="26">
        <v>44672.708333333336</v>
      </c>
      <c r="D30" s="4">
        <v>24</v>
      </c>
      <c r="E30" s="4">
        <f t="shared" si="2"/>
        <v>648</v>
      </c>
      <c r="F30" s="5">
        <f t="shared" si="3"/>
        <v>27</v>
      </c>
      <c r="G30">
        <f t="shared" si="16"/>
        <v>0</v>
      </c>
      <c r="H30">
        <f t="shared" si="4"/>
        <v>0</v>
      </c>
      <c r="I30">
        <f t="shared" si="5"/>
        <v>0</v>
      </c>
      <c r="J30">
        <f t="shared" si="6"/>
        <v>3</v>
      </c>
      <c r="K30">
        <f t="shared" si="7"/>
        <v>20</v>
      </c>
      <c r="L30">
        <f t="shared" si="0"/>
        <v>0</v>
      </c>
      <c r="M30">
        <f t="shared" si="1"/>
        <v>0</v>
      </c>
      <c r="N30" s="30"/>
      <c r="O30">
        <f t="shared" si="8"/>
        <v>9</v>
      </c>
      <c r="P30">
        <f t="shared" si="9"/>
        <v>11</v>
      </c>
      <c r="Q30">
        <f t="shared" si="10"/>
        <v>7</v>
      </c>
      <c r="R30">
        <f t="shared" si="11"/>
        <v>0</v>
      </c>
      <c r="S30">
        <f t="shared" si="12"/>
        <v>0</v>
      </c>
      <c r="T30">
        <f t="shared" si="13"/>
        <v>0</v>
      </c>
      <c r="U30">
        <f t="shared" si="14"/>
        <v>0</v>
      </c>
      <c r="V30" s="31" t="s">
        <v>11</v>
      </c>
      <c r="W30" s="31" t="s">
        <v>11</v>
      </c>
      <c r="X30" s="31" t="s">
        <v>11</v>
      </c>
      <c r="Y30" s="31" t="s">
        <v>18</v>
      </c>
      <c r="Z30" s="31" t="s">
        <v>22</v>
      </c>
      <c r="AA30" s="31" t="s">
        <v>11</v>
      </c>
      <c r="AB30" s="31" t="s">
        <v>11</v>
      </c>
      <c r="AC30" s="31" t="s">
        <v>18</v>
      </c>
      <c r="AD30" s="31" t="s">
        <v>11</v>
      </c>
      <c r="AE30" s="31" t="s">
        <v>11</v>
      </c>
      <c r="AF30" s="31" t="s">
        <v>11</v>
      </c>
      <c r="AG30" s="31" t="s">
        <v>18</v>
      </c>
      <c r="AH30" s="31" t="s">
        <v>11</v>
      </c>
      <c r="AI30" s="31" t="s">
        <v>11</v>
      </c>
      <c r="AJ30" s="31" t="s">
        <v>11</v>
      </c>
      <c r="AK30" s="31" t="s">
        <v>11</v>
      </c>
      <c r="AL30" s="31" t="s">
        <v>11</v>
      </c>
      <c r="AM30" s="31" t="s">
        <v>18</v>
      </c>
      <c r="AN30" s="31" t="s">
        <v>11</v>
      </c>
      <c r="AO30" s="31" t="s">
        <v>18</v>
      </c>
      <c r="AP30" s="31" t="s">
        <v>22</v>
      </c>
      <c r="AQ30" s="31" t="s">
        <v>10</v>
      </c>
      <c r="AR30" s="31" t="s">
        <v>11</v>
      </c>
      <c r="AS30" s="31" t="s">
        <v>11</v>
      </c>
      <c r="AT30" s="31" t="s">
        <v>10</v>
      </c>
      <c r="AU30" s="31" t="s">
        <v>10</v>
      </c>
      <c r="AV30" s="31" t="s">
        <v>18</v>
      </c>
      <c r="AW30" s="31" t="s">
        <v>22</v>
      </c>
      <c r="AX30" s="31" t="s">
        <v>11</v>
      </c>
      <c r="AY30" s="31" t="s">
        <v>18</v>
      </c>
      <c r="AZ30" s="31" t="s">
        <v>22</v>
      </c>
      <c r="BA30" s="31" t="s">
        <v>18</v>
      </c>
      <c r="BB30" s="31" t="s">
        <v>22</v>
      </c>
      <c r="BC30" s="31" t="s">
        <v>11</v>
      </c>
      <c r="BD30" s="31" t="s">
        <v>22</v>
      </c>
      <c r="BE30" s="31" t="s">
        <v>18</v>
      </c>
      <c r="BF30" s="31" t="s">
        <v>11</v>
      </c>
      <c r="BG30" s="31" t="s">
        <v>11</v>
      </c>
      <c r="BH30" s="31" t="s">
        <v>18</v>
      </c>
      <c r="BI30" s="31" t="s">
        <v>22</v>
      </c>
      <c r="BJ30" s="31" t="s">
        <v>18</v>
      </c>
      <c r="BK30" s="31" t="s">
        <v>17</v>
      </c>
      <c r="BL30" s="31" t="s">
        <v>17</v>
      </c>
      <c r="BM30" s="31" t="s">
        <v>17</v>
      </c>
      <c r="BN30" s="31" t="s">
        <v>17</v>
      </c>
      <c r="BO30" s="31" t="s">
        <v>17</v>
      </c>
      <c r="BP30" s="31" t="s">
        <v>17</v>
      </c>
      <c r="BQ30" s="31" t="s">
        <v>17</v>
      </c>
      <c r="BR30" s="31" t="s">
        <v>17</v>
      </c>
      <c r="BS30" s="31" t="s">
        <v>17</v>
      </c>
    </row>
    <row r="31" spans="1:71" x14ac:dyDescent="0.3">
      <c r="A31" s="2">
        <f t="shared" si="17"/>
        <v>112</v>
      </c>
      <c r="B31" s="12">
        <f t="shared" si="17"/>
        <v>29</v>
      </c>
      <c r="C31" s="26">
        <v>44673.708333333336</v>
      </c>
      <c r="D31" s="4">
        <v>24</v>
      </c>
      <c r="E31" s="4">
        <f t="shared" si="2"/>
        <v>672</v>
      </c>
      <c r="F31" s="5">
        <f t="shared" si="3"/>
        <v>28</v>
      </c>
      <c r="G31">
        <f t="shared" si="16"/>
        <v>0</v>
      </c>
      <c r="H31">
        <f t="shared" si="4"/>
        <v>0</v>
      </c>
      <c r="I31">
        <f t="shared" si="5"/>
        <v>0</v>
      </c>
      <c r="J31">
        <f t="shared" si="6"/>
        <v>3</v>
      </c>
      <c r="K31">
        <f t="shared" si="7"/>
        <v>20</v>
      </c>
      <c r="L31">
        <f t="shared" si="0"/>
        <v>0</v>
      </c>
      <c r="M31">
        <f t="shared" si="1"/>
        <v>0</v>
      </c>
      <c r="N31" s="30"/>
      <c r="O31">
        <f t="shared" si="8"/>
        <v>9</v>
      </c>
      <c r="P31">
        <f t="shared" si="9"/>
        <v>11</v>
      </c>
      <c r="Q31">
        <f t="shared" si="10"/>
        <v>7</v>
      </c>
      <c r="R31">
        <f t="shared" si="11"/>
        <v>0</v>
      </c>
      <c r="S31">
        <f t="shared" si="12"/>
        <v>0</v>
      </c>
      <c r="T31">
        <f t="shared" si="13"/>
        <v>0</v>
      </c>
      <c r="U31">
        <f t="shared" si="14"/>
        <v>0</v>
      </c>
      <c r="V31" s="31" t="s">
        <v>11</v>
      </c>
      <c r="W31" s="31" t="s">
        <v>11</v>
      </c>
      <c r="X31" s="31" t="s">
        <v>11</v>
      </c>
      <c r="Y31" s="31" t="s">
        <v>18</v>
      </c>
      <c r="Z31" s="31" t="s">
        <v>22</v>
      </c>
      <c r="AA31" s="31" t="s">
        <v>11</v>
      </c>
      <c r="AB31" s="31" t="s">
        <v>11</v>
      </c>
      <c r="AC31" s="31" t="s">
        <v>18</v>
      </c>
      <c r="AD31" s="31" t="s">
        <v>11</v>
      </c>
      <c r="AE31" s="31" t="s">
        <v>11</v>
      </c>
      <c r="AF31" s="31" t="s">
        <v>11</v>
      </c>
      <c r="AG31" s="31" t="s">
        <v>18</v>
      </c>
      <c r="AH31" s="31" t="s">
        <v>11</v>
      </c>
      <c r="AI31" s="31" t="s">
        <v>11</v>
      </c>
      <c r="AJ31" s="31" t="s">
        <v>11</v>
      </c>
      <c r="AK31" s="31" t="s">
        <v>11</v>
      </c>
      <c r="AL31" s="31" t="s">
        <v>11</v>
      </c>
      <c r="AM31" s="31" t="s">
        <v>18</v>
      </c>
      <c r="AN31" s="31" t="s">
        <v>11</v>
      </c>
      <c r="AO31" s="31" t="s">
        <v>18</v>
      </c>
      <c r="AP31" s="31" t="s">
        <v>22</v>
      </c>
      <c r="AQ31" s="31" t="s">
        <v>10</v>
      </c>
      <c r="AR31" s="31" t="s">
        <v>11</v>
      </c>
      <c r="AS31" s="31" t="s">
        <v>11</v>
      </c>
      <c r="AT31" s="31" t="s">
        <v>10</v>
      </c>
      <c r="AU31" s="31" t="s">
        <v>10</v>
      </c>
      <c r="AV31" s="31" t="s">
        <v>18</v>
      </c>
      <c r="AW31" s="31" t="s">
        <v>22</v>
      </c>
      <c r="AX31" s="31" t="s">
        <v>11</v>
      </c>
      <c r="AY31" s="31" t="s">
        <v>18</v>
      </c>
      <c r="AZ31" s="31" t="s">
        <v>22</v>
      </c>
      <c r="BA31" s="31" t="s">
        <v>18</v>
      </c>
      <c r="BB31" s="31" t="s">
        <v>22</v>
      </c>
      <c r="BC31" s="31" t="s">
        <v>11</v>
      </c>
      <c r="BD31" s="31" t="s">
        <v>22</v>
      </c>
      <c r="BE31" s="31" t="s">
        <v>18</v>
      </c>
      <c r="BF31" s="31" t="s">
        <v>11</v>
      </c>
      <c r="BG31" s="31" t="s">
        <v>11</v>
      </c>
      <c r="BH31" s="31" t="s">
        <v>18</v>
      </c>
      <c r="BI31" s="31" t="s">
        <v>22</v>
      </c>
      <c r="BJ31" s="31" t="s">
        <v>18</v>
      </c>
      <c r="BK31" s="31" t="s">
        <v>17</v>
      </c>
      <c r="BL31" s="31" t="s">
        <v>17</v>
      </c>
      <c r="BM31" s="31" t="s">
        <v>17</v>
      </c>
      <c r="BN31" s="31" t="s">
        <v>17</v>
      </c>
      <c r="BO31" s="31" t="s">
        <v>17</v>
      </c>
      <c r="BP31" s="31" t="s">
        <v>17</v>
      </c>
      <c r="BQ31" s="31" t="s">
        <v>17</v>
      </c>
      <c r="BR31" s="31" t="s">
        <v>17</v>
      </c>
      <c r="BS31" s="31" t="s">
        <v>17</v>
      </c>
    </row>
    <row r="32" spans="1:71" x14ac:dyDescent="0.3">
      <c r="A32" s="2">
        <f t="shared" si="17"/>
        <v>113</v>
      </c>
      <c r="B32" s="12">
        <f t="shared" si="17"/>
        <v>30</v>
      </c>
      <c r="C32" s="26">
        <v>44674.708333333336</v>
      </c>
      <c r="D32" s="4">
        <v>24</v>
      </c>
      <c r="E32" s="4">
        <f t="shared" si="2"/>
        <v>696</v>
      </c>
      <c r="F32" s="5">
        <f t="shared" si="3"/>
        <v>29</v>
      </c>
      <c r="G32">
        <f t="shared" si="16"/>
        <v>0</v>
      </c>
      <c r="H32">
        <f t="shared" si="4"/>
        <v>0</v>
      </c>
      <c r="I32">
        <f t="shared" si="5"/>
        <v>0</v>
      </c>
      <c r="J32">
        <f t="shared" si="6"/>
        <v>3</v>
      </c>
      <c r="K32">
        <f t="shared" si="7"/>
        <v>20</v>
      </c>
      <c r="L32">
        <f t="shared" si="0"/>
        <v>0</v>
      </c>
      <c r="M32">
        <f t="shared" si="1"/>
        <v>0</v>
      </c>
      <c r="N32" s="30"/>
      <c r="O32">
        <f t="shared" si="8"/>
        <v>9</v>
      </c>
      <c r="P32">
        <f t="shared" si="9"/>
        <v>11</v>
      </c>
      <c r="Q32">
        <f t="shared" si="10"/>
        <v>7</v>
      </c>
      <c r="R32">
        <f t="shared" si="11"/>
        <v>0</v>
      </c>
      <c r="S32">
        <f t="shared" si="12"/>
        <v>0</v>
      </c>
      <c r="T32">
        <f t="shared" si="13"/>
        <v>0</v>
      </c>
      <c r="U32">
        <f t="shared" si="14"/>
        <v>0</v>
      </c>
      <c r="V32" s="31" t="s">
        <v>11</v>
      </c>
      <c r="W32" s="31" t="s">
        <v>11</v>
      </c>
      <c r="X32" s="31" t="s">
        <v>11</v>
      </c>
      <c r="Y32" s="31" t="s">
        <v>18</v>
      </c>
      <c r="Z32" s="31" t="s">
        <v>22</v>
      </c>
      <c r="AA32" s="31" t="s">
        <v>11</v>
      </c>
      <c r="AB32" s="31" t="s">
        <v>11</v>
      </c>
      <c r="AC32" s="31" t="s">
        <v>18</v>
      </c>
      <c r="AD32" s="31" t="s">
        <v>11</v>
      </c>
      <c r="AE32" s="31" t="s">
        <v>11</v>
      </c>
      <c r="AF32" s="31" t="s">
        <v>11</v>
      </c>
      <c r="AG32" s="31" t="s">
        <v>18</v>
      </c>
      <c r="AH32" s="31" t="s">
        <v>11</v>
      </c>
      <c r="AI32" s="31" t="s">
        <v>11</v>
      </c>
      <c r="AJ32" s="31" t="s">
        <v>11</v>
      </c>
      <c r="AK32" s="31" t="s">
        <v>11</v>
      </c>
      <c r="AL32" s="31" t="s">
        <v>11</v>
      </c>
      <c r="AM32" s="31" t="s">
        <v>18</v>
      </c>
      <c r="AN32" s="31" t="s">
        <v>11</v>
      </c>
      <c r="AO32" s="31" t="s">
        <v>18</v>
      </c>
      <c r="AP32" s="31" t="s">
        <v>22</v>
      </c>
      <c r="AQ32" s="31" t="s">
        <v>10</v>
      </c>
      <c r="AR32" s="31" t="s">
        <v>11</v>
      </c>
      <c r="AS32" s="31" t="s">
        <v>11</v>
      </c>
      <c r="AT32" s="31" t="s">
        <v>10</v>
      </c>
      <c r="AU32" s="31" t="s">
        <v>10</v>
      </c>
      <c r="AV32" s="31" t="s">
        <v>18</v>
      </c>
      <c r="AW32" s="31" t="s">
        <v>22</v>
      </c>
      <c r="AX32" s="31" t="s">
        <v>11</v>
      </c>
      <c r="AY32" s="31" t="s">
        <v>18</v>
      </c>
      <c r="AZ32" s="31" t="s">
        <v>22</v>
      </c>
      <c r="BA32" s="31" t="s">
        <v>18</v>
      </c>
      <c r="BB32" s="31" t="s">
        <v>22</v>
      </c>
      <c r="BC32" s="31" t="s">
        <v>11</v>
      </c>
      <c r="BD32" s="31" t="s">
        <v>22</v>
      </c>
      <c r="BE32" s="31" t="s">
        <v>18</v>
      </c>
      <c r="BF32" s="31" t="s">
        <v>11</v>
      </c>
      <c r="BG32" s="31" t="s">
        <v>11</v>
      </c>
      <c r="BH32" s="31" t="s">
        <v>18</v>
      </c>
      <c r="BI32" s="31" t="s">
        <v>22</v>
      </c>
      <c r="BJ32" s="31" t="s">
        <v>18</v>
      </c>
      <c r="BK32" s="31" t="s">
        <v>17</v>
      </c>
      <c r="BL32" s="31" t="s">
        <v>17</v>
      </c>
      <c r="BM32" s="31" t="s">
        <v>17</v>
      </c>
      <c r="BN32" s="31" t="s">
        <v>17</v>
      </c>
      <c r="BO32" s="31" t="s">
        <v>17</v>
      </c>
      <c r="BP32" s="31" t="s">
        <v>17</v>
      </c>
      <c r="BQ32" s="31" t="s">
        <v>17</v>
      </c>
      <c r="BR32" s="31" t="s">
        <v>17</v>
      </c>
      <c r="BS32" s="31" t="s">
        <v>17</v>
      </c>
    </row>
    <row r="33" spans="1:71" x14ac:dyDescent="0.3">
      <c r="A33" s="2">
        <f t="shared" si="17"/>
        <v>114</v>
      </c>
      <c r="B33" s="12">
        <f t="shared" si="17"/>
        <v>31</v>
      </c>
      <c r="C33" s="26">
        <v>44675.708333333336</v>
      </c>
      <c r="D33" s="4">
        <v>24</v>
      </c>
      <c r="E33" s="4">
        <f t="shared" si="2"/>
        <v>720</v>
      </c>
      <c r="F33" s="5">
        <f t="shared" si="3"/>
        <v>30</v>
      </c>
      <c r="G33">
        <f t="shared" si="16"/>
        <v>0</v>
      </c>
      <c r="H33">
        <f t="shared" si="4"/>
        <v>0</v>
      </c>
      <c r="I33">
        <f t="shared" si="5"/>
        <v>0</v>
      </c>
      <c r="J33">
        <f t="shared" si="6"/>
        <v>2</v>
      </c>
      <c r="K33">
        <f t="shared" si="7"/>
        <v>21</v>
      </c>
      <c r="L33">
        <f t="shared" si="0"/>
        <v>0</v>
      </c>
      <c r="M33">
        <f t="shared" si="1"/>
        <v>0</v>
      </c>
      <c r="N33" s="30"/>
      <c r="O33">
        <f t="shared" si="8"/>
        <v>9</v>
      </c>
      <c r="P33">
        <f t="shared" si="9"/>
        <v>11</v>
      </c>
      <c r="Q33">
        <f t="shared" si="10"/>
        <v>7</v>
      </c>
      <c r="R33">
        <f t="shared" si="11"/>
        <v>0</v>
      </c>
      <c r="S33">
        <f t="shared" si="12"/>
        <v>0</v>
      </c>
      <c r="T33">
        <f t="shared" si="13"/>
        <v>0</v>
      </c>
      <c r="U33">
        <f t="shared" si="14"/>
        <v>0</v>
      </c>
      <c r="V33" s="31" t="s">
        <v>11</v>
      </c>
      <c r="W33" s="31" t="s">
        <v>11</v>
      </c>
      <c r="X33" s="31" t="s">
        <v>11</v>
      </c>
      <c r="Y33" s="31" t="s">
        <v>18</v>
      </c>
      <c r="Z33" s="31" t="s">
        <v>22</v>
      </c>
      <c r="AA33" s="31" t="s">
        <v>11</v>
      </c>
      <c r="AB33" s="31" t="s">
        <v>11</v>
      </c>
      <c r="AC33" s="31" t="s">
        <v>18</v>
      </c>
      <c r="AD33" s="31" t="s">
        <v>11</v>
      </c>
      <c r="AE33" s="31" t="s">
        <v>11</v>
      </c>
      <c r="AF33" s="31" t="s">
        <v>11</v>
      </c>
      <c r="AG33" s="31" t="s">
        <v>18</v>
      </c>
      <c r="AH33" s="31" t="s">
        <v>11</v>
      </c>
      <c r="AI33" s="31" t="s">
        <v>11</v>
      </c>
      <c r="AJ33" s="31" t="s">
        <v>11</v>
      </c>
      <c r="AK33" s="31" t="s">
        <v>11</v>
      </c>
      <c r="AL33" s="31" t="s">
        <v>11</v>
      </c>
      <c r="AM33" s="31" t="s">
        <v>18</v>
      </c>
      <c r="AN33" s="31" t="s">
        <v>11</v>
      </c>
      <c r="AO33" s="31" t="s">
        <v>18</v>
      </c>
      <c r="AP33" s="31" t="s">
        <v>22</v>
      </c>
      <c r="AQ33" s="31" t="s">
        <v>11</v>
      </c>
      <c r="AR33" s="31" t="s">
        <v>11</v>
      </c>
      <c r="AS33" s="31" t="s">
        <v>11</v>
      </c>
      <c r="AT33" s="31" t="s">
        <v>10</v>
      </c>
      <c r="AU33" s="31" t="s">
        <v>10</v>
      </c>
      <c r="AV33" s="31" t="s">
        <v>18</v>
      </c>
      <c r="AW33" s="31" t="s">
        <v>22</v>
      </c>
      <c r="AX33" s="31" t="s">
        <v>11</v>
      </c>
      <c r="AY33" s="31" t="s">
        <v>18</v>
      </c>
      <c r="AZ33" s="31" t="s">
        <v>22</v>
      </c>
      <c r="BA33" s="31" t="s">
        <v>18</v>
      </c>
      <c r="BB33" s="31" t="s">
        <v>22</v>
      </c>
      <c r="BC33" s="31" t="s">
        <v>11</v>
      </c>
      <c r="BD33" s="31" t="s">
        <v>22</v>
      </c>
      <c r="BE33" s="31" t="s">
        <v>18</v>
      </c>
      <c r="BF33" s="31" t="s">
        <v>11</v>
      </c>
      <c r="BG33" s="31" t="s">
        <v>11</v>
      </c>
      <c r="BH33" s="31" t="s">
        <v>18</v>
      </c>
      <c r="BI33" s="31" t="s">
        <v>22</v>
      </c>
      <c r="BJ33" s="31" t="s">
        <v>18</v>
      </c>
      <c r="BK33" s="31" t="s">
        <v>17</v>
      </c>
      <c r="BL33" s="31" t="s">
        <v>17</v>
      </c>
      <c r="BM33" s="31" t="s">
        <v>17</v>
      </c>
      <c r="BN33" s="31" t="s">
        <v>17</v>
      </c>
      <c r="BO33" s="31" t="s">
        <v>17</v>
      </c>
      <c r="BP33" s="31" t="s">
        <v>17</v>
      </c>
      <c r="BQ33" s="31" t="s">
        <v>17</v>
      </c>
      <c r="BR33" s="31" t="s">
        <v>17</v>
      </c>
      <c r="BS33" s="31" t="s">
        <v>17</v>
      </c>
    </row>
    <row r="34" spans="1:71" x14ac:dyDescent="0.3">
      <c r="A34" s="2">
        <f t="shared" si="17"/>
        <v>115</v>
      </c>
      <c r="B34" s="12">
        <f t="shared" si="17"/>
        <v>32</v>
      </c>
      <c r="C34" s="26">
        <v>44676.708333333336</v>
      </c>
      <c r="D34" s="4">
        <v>24</v>
      </c>
      <c r="E34" s="4">
        <f t="shared" si="2"/>
        <v>744</v>
      </c>
      <c r="F34" s="5">
        <f t="shared" si="3"/>
        <v>31</v>
      </c>
      <c r="G34">
        <f t="shared" si="16"/>
        <v>0</v>
      </c>
      <c r="H34">
        <f t="shared" si="4"/>
        <v>0</v>
      </c>
      <c r="I34">
        <f t="shared" si="5"/>
        <v>0</v>
      </c>
      <c r="J34">
        <f t="shared" si="6"/>
        <v>2</v>
      </c>
      <c r="K34">
        <f t="shared" si="7"/>
        <v>21</v>
      </c>
      <c r="L34">
        <f t="shared" si="0"/>
        <v>0</v>
      </c>
      <c r="M34">
        <f t="shared" si="1"/>
        <v>0</v>
      </c>
      <c r="N34" s="30"/>
      <c r="O34">
        <f t="shared" si="8"/>
        <v>9</v>
      </c>
      <c r="P34">
        <f t="shared" si="9"/>
        <v>11</v>
      </c>
      <c r="Q34">
        <f t="shared" si="10"/>
        <v>7</v>
      </c>
      <c r="R34">
        <f t="shared" si="11"/>
        <v>0</v>
      </c>
      <c r="S34">
        <f t="shared" si="12"/>
        <v>0</v>
      </c>
      <c r="T34">
        <f t="shared" si="13"/>
        <v>0</v>
      </c>
      <c r="U34">
        <f t="shared" si="14"/>
        <v>0</v>
      </c>
      <c r="V34" s="31" t="s">
        <v>11</v>
      </c>
      <c r="W34" s="31" t="s">
        <v>11</v>
      </c>
      <c r="X34" s="31" t="s">
        <v>11</v>
      </c>
      <c r="Y34" s="31" t="s">
        <v>18</v>
      </c>
      <c r="Z34" s="31" t="s">
        <v>22</v>
      </c>
      <c r="AA34" s="31" t="s">
        <v>11</v>
      </c>
      <c r="AB34" s="31" t="s">
        <v>11</v>
      </c>
      <c r="AC34" s="31" t="s">
        <v>18</v>
      </c>
      <c r="AD34" s="31" t="s">
        <v>11</v>
      </c>
      <c r="AE34" s="31" t="s">
        <v>11</v>
      </c>
      <c r="AF34" s="31" t="s">
        <v>11</v>
      </c>
      <c r="AG34" s="31" t="s">
        <v>18</v>
      </c>
      <c r="AH34" s="31" t="s">
        <v>11</v>
      </c>
      <c r="AI34" s="31" t="s">
        <v>11</v>
      </c>
      <c r="AJ34" s="31" t="s">
        <v>11</v>
      </c>
      <c r="AK34" s="31" t="s">
        <v>11</v>
      </c>
      <c r="AL34" s="31" t="s">
        <v>11</v>
      </c>
      <c r="AM34" s="31" t="s">
        <v>18</v>
      </c>
      <c r="AN34" s="31" t="s">
        <v>11</v>
      </c>
      <c r="AO34" s="31" t="s">
        <v>18</v>
      </c>
      <c r="AP34" s="31" t="s">
        <v>22</v>
      </c>
      <c r="AQ34" s="31" t="s">
        <v>11</v>
      </c>
      <c r="AR34" s="31" t="s">
        <v>11</v>
      </c>
      <c r="AS34" s="31" t="s">
        <v>11</v>
      </c>
      <c r="AT34" s="31" t="s">
        <v>10</v>
      </c>
      <c r="AU34" s="31" t="s">
        <v>10</v>
      </c>
      <c r="AV34" s="31" t="s">
        <v>18</v>
      </c>
      <c r="AW34" s="31" t="s">
        <v>22</v>
      </c>
      <c r="AX34" s="31" t="s">
        <v>11</v>
      </c>
      <c r="AY34" s="31" t="s">
        <v>18</v>
      </c>
      <c r="AZ34" s="31" t="s">
        <v>22</v>
      </c>
      <c r="BA34" s="31" t="s">
        <v>18</v>
      </c>
      <c r="BB34" s="31" t="s">
        <v>22</v>
      </c>
      <c r="BC34" s="31" t="s">
        <v>11</v>
      </c>
      <c r="BD34" s="31" t="s">
        <v>22</v>
      </c>
      <c r="BE34" s="31" t="s">
        <v>18</v>
      </c>
      <c r="BF34" s="31" t="s">
        <v>11</v>
      </c>
      <c r="BG34" s="31" t="s">
        <v>11</v>
      </c>
      <c r="BH34" s="31" t="s">
        <v>18</v>
      </c>
      <c r="BI34" s="31" t="s">
        <v>22</v>
      </c>
      <c r="BJ34" s="31" t="s">
        <v>18</v>
      </c>
      <c r="BK34" s="31" t="s">
        <v>17</v>
      </c>
      <c r="BL34" s="31" t="s">
        <v>17</v>
      </c>
      <c r="BM34" s="31" t="s">
        <v>17</v>
      </c>
      <c r="BN34" s="31" t="s">
        <v>17</v>
      </c>
      <c r="BO34" s="31" t="s">
        <v>17</v>
      </c>
      <c r="BP34" s="31" t="s">
        <v>17</v>
      </c>
      <c r="BQ34" s="31" t="s">
        <v>17</v>
      </c>
      <c r="BR34" s="31" t="s">
        <v>17</v>
      </c>
      <c r="BS34" s="31" t="s">
        <v>17</v>
      </c>
    </row>
    <row r="35" spans="1:71" x14ac:dyDescent="0.3">
      <c r="A35" s="2">
        <f t="shared" si="17"/>
        <v>116</v>
      </c>
      <c r="B35" s="12">
        <f t="shared" si="17"/>
        <v>33</v>
      </c>
      <c r="C35" s="26">
        <v>44677.708333333336</v>
      </c>
      <c r="D35" s="4">
        <v>24</v>
      </c>
      <c r="E35" s="4">
        <f t="shared" si="2"/>
        <v>768</v>
      </c>
      <c r="F35" s="5">
        <f t="shared" si="3"/>
        <v>32</v>
      </c>
      <c r="G35">
        <f t="shared" si="16"/>
        <v>0</v>
      </c>
      <c r="H35">
        <f t="shared" si="4"/>
        <v>0</v>
      </c>
      <c r="I35">
        <f t="shared" si="5"/>
        <v>0</v>
      </c>
      <c r="J35">
        <f t="shared" si="6"/>
        <v>0</v>
      </c>
      <c r="K35">
        <f t="shared" si="7"/>
        <v>23</v>
      </c>
      <c r="L35">
        <f t="shared" ref="L35:L98" si="18">COUNTIF($V35:$BS35, "AM")</f>
        <v>0</v>
      </c>
      <c r="M35">
        <f t="shared" ref="M35:M54" si="19">COUNTIF($V35:$BS35, "AF")</f>
        <v>0</v>
      </c>
      <c r="N35" s="30"/>
      <c r="O35">
        <f t="shared" si="8"/>
        <v>9</v>
      </c>
      <c r="P35">
        <f t="shared" si="9"/>
        <v>11</v>
      </c>
      <c r="Q35">
        <f t="shared" si="10"/>
        <v>7</v>
      </c>
      <c r="R35">
        <f t="shared" si="11"/>
        <v>0</v>
      </c>
      <c r="S35">
        <f t="shared" si="12"/>
        <v>0</v>
      </c>
      <c r="T35">
        <f t="shared" si="13"/>
        <v>0</v>
      </c>
      <c r="U35">
        <f t="shared" si="14"/>
        <v>0</v>
      </c>
      <c r="V35" s="31" t="s">
        <v>11</v>
      </c>
      <c r="W35" s="31" t="s">
        <v>11</v>
      </c>
      <c r="X35" s="31" t="s">
        <v>11</v>
      </c>
      <c r="Y35" s="31" t="s">
        <v>18</v>
      </c>
      <c r="Z35" s="31" t="s">
        <v>22</v>
      </c>
      <c r="AA35" s="31" t="s">
        <v>11</v>
      </c>
      <c r="AB35" s="31" t="s">
        <v>11</v>
      </c>
      <c r="AC35" s="31" t="s">
        <v>18</v>
      </c>
      <c r="AD35" s="31" t="s">
        <v>11</v>
      </c>
      <c r="AE35" s="31" t="s">
        <v>11</v>
      </c>
      <c r="AF35" s="31" t="s">
        <v>11</v>
      </c>
      <c r="AG35" s="31" t="s">
        <v>18</v>
      </c>
      <c r="AH35" s="31" t="s">
        <v>11</v>
      </c>
      <c r="AI35" s="31" t="s">
        <v>11</v>
      </c>
      <c r="AJ35" s="31" t="s">
        <v>11</v>
      </c>
      <c r="AK35" s="31" t="s">
        <v>11</v>
      </c>
      <c r="AL35" s="31" t="s">
        <v>11</v>
      </c>
      <c r="AM35" s="31" t="s">
        <v>18</v>
      </c>
      <c r="AN35" s="31" t="s">
        <v>11</v>
      </c>
      <c r="AO35" s="31" t="s">
        <v>18</v>
      </c>
      <c r="AP35" s="31" t="s">
        <v>22</v>
      </c>
      <c r="AQ35" s="31" t="s">
        <v>11</v>
      </c>
      <c r="AR35" s="31" t="s">
        <v>11</v>
      </c>
      <c r="AS35" s="31" t="s">
        <v>11</v>
      </c>
      <c r="AT35" s="31" t="s">
        <v>11</v>
      </c>
      <c r="AU35" s="31" t="s">
        <v>11</v>
      </c>
      <c r="AV35" s="31" t="s">
        <v>18</v>
      </c>
      <c r="AW35" s="31" t="s">
        <v>22</v>
      </c>
      <c r="AX35" s="31" t="s">
        <v>11</v>
      </c>
      <c r="AY35" s="31" t="s">
        <v>18</v>
      </c>
      <c r="AZ35" s="31" t="s">
        <v>22</v>
      </c>
      <c r="BA35" s="31" t="s">
        <v>18</v>
      </c>
      <c r="BB35" s="31" t="s">
        <v>22</v>
      </c>
      <c r="BC35" s="31" t="s">
        <v>11</v>
      </c>
      <c r="BD35" s="31" t="s">
        <v>22</v>
      </c>
      <c r="BE35" s="31" t="s">
        <v>18</v>
      </c>
      <c r="BF35" s="31" t="s">
        <v>11</v>
      </c>
      <c r="BG35" s="31" t="s">
        <v>11</v>
      </c>
      <c r="BH35" s="31" t="s">
        <v>18</v>
      </c>
      <c r="BI35" s="31" t="s">
        <v>22</v>
      </c>
      <c r="BJ35" s="31" t="s">
        <v>18</v>
      </c>
      <c r="BK35" s="31" t="s">
        <v>17</v>
      </c>
      <c r="BL35" s="31" t="s">
        <v>17</v>
      </c>
      <c r="BM35" s="31" t="s">
        <v>17</v>
      </c>
      <c r="BN35" s="31" t="s">
        <v>17</v>
      </c>
      <c r="BO35" s="31" t="s">
        <v>17</v>
      </c>
      <c r="BP35" s="31" t="s">
        <v>17</v>
      </c>
      <c r="BQ35" s="31" t="s">
        <v>17</v>
      </c>
      <c r="BR35" s="31" t="s">
        <v>17</v>
      </c>
      <c r="BS35" s="31" t="s">
        <v>17</v>
      </c>
    </row>
    <row r="36" spans="1:71" x14ac:dyDescent="0.3">
      <c r="A36" s="2">
        <f t="shared" si="17"/>
        <v>117</v>
      </c>
      <c r="B36" s="12">
        <f t="shared" si="17"/>
        <v>34</v>
      </c>
      <c r="C36" s="26">
        <v>44678.708333333336</v>
      </c>
      <c r="D36" s="4">
        <v>24</v>
      </c>
      <c r="E36" s="4">
        <f t="shared" ref="E36:E53" si="20">E35+D36</f>
        <v>792</v>
      </c>
      <c r="F36" s="5">
        <f t="shared" ref="F36:F51" si="21">E36/24</f>
        <v>33</v>
      </c>
      <c r="G36">
        <f t="shared" si="16"/>
        <v>0</v>
      </c>
      <c r="H36">
        <f t="shared" si="4"/>
        <v>0</v>
      </c>
      <c r="I36">
        <f t="shared" si="5"/>
        <v>0</v>
      </c>
      <c r="J36">
        <f t="shared" si="6"/>
        <v>0</v>
      </c>
      <c r="K36">
        <f t="shared" si="7"/>
        <v>23</v>
      </c>
      <c r="L36">
        <f t="shared" si="18"/>
        <v>0</v>
      </c>
      <c r="M36">
        <f t="shared" si="19"/>
        <v>0</v>
      </c>
      <c r="N36" s="30"/>
      <c r="O36">
        <f t="shared" si="8"/>
        <v>9</v>
      </c>
      <c r="P36">
        <f t="shared" si="9"/>
        <v>11</v>
      </c>
      <c r="Q36">
        <f t="shared" si="10"/>
        <v>7</v>
      </c>
      <c r="R36">
        <f t="shared" si="11"/>
        <v>0</v>
      </c>
      <c r="S36">
        <f t="shared" si="12"/>
        <v>0</v>
      </c>
      <c r="T36">
        <f t="shared" si="13"/>
        <v>0</v>
      </c>
      <c r="U36">
        <f t="shared" si="14"/>
        <v>0</v>
      </c>
      <c r="V36" s="31" t="s">
        <v>11</v>
      </c>
      <c r="W36" s="31" t="s">
        <v>11</v>
      </c>
      <c r="X36" s="31" t="s">
        <v>11</v>
      </c>
      <c r="Y36" s="31" t="s">
        <v>18</v>
      </c>
      <c r="Z36" s="31" t="s">
        <v>22</v>
      </c>
      <c r="AA36" s="31" t="s">
        <v>11</v>
      </c>
      <c r="AB36" s="31" t="s">
        <v>11</v>
      </c>
      <c r="AC36" s="31" t="s">
        <v>18</v>
      </c>
      <c r="AD36" s="31" t="s">
        <v>11</v>
      </c>
      <c r="AE36" s="31" t="s">
        <v>11</v>
      </c>
      <c r="AF36" s="31" t="s">
        <v>11</v>
      </c>
      <c r="AG36" s="31" t="s">
        <v>18</v>
      </c>
      <c r="AH36" s="31" t="s">
        <v>11</v>
      </c>
      <c r="AI36" s="31" t="s">
        <v>11</v>
      </c>
      <c r="AJ36" s="31" t="s">
        <v>11</v>
      </c>
      <c r="AK36" s="31" t="s">
        <v>11</v>
      </c>
      <c r="AL36" s="31" t="s">
        <v>11</v>
      </c>
      <c r="AM36" s="31" t="s">
        <v>18</v>
      </c>
      <c r="AN36" s="31" t="s">
        <v>11</v>
      </c>
      <c r="AO36" s="31" t="s">
        <v>18</v>
      </c>
      <c r="AP36" s="31" t="s">
        <v>22</v>
      </c>
      <c r="AQ36" s="31" t="s">
        <v>11</v>
      </c>
      <c r="AR36" s="31" t="s">
        <v>11</v>
      </c>
      <c r="AS36" s="31" t="s">
        <v>11</v>
      </c>
      <c r="AT36" s="31" t="s">
        <v>11</v>
      </c>
      <c r="AU36" s="31" t="s">
        <v>11</v>
      </c>
      <c r="AV36" s="31" t="s">
        <v>18</v>
      </c>
      <c r="AW36" s="31" t="s">
        <v>22</v>
      </c>
      <c r="AX36" s="31" t="s">
        <v>11</v>
      </c>
      <c r="AY36" s="31" t="s">
        <v>18</v>
      </c>
      <c r="AZ36" s="31" t="s">
        <v>22</v>
      </c>
      <c r="BA36" s="31" t="s">
        <v>18</v>
      </c>
      <c r="BB36" s="31" t="s">
        <v>22</v>
      </c>
      <c r="BC36" s="31" t="s">
        <v>11</v>
      </c>
      <c r="BD36" s="31" t="s">
        <v>22</v>
      </c>
      <c r="BE36" s="31" t="s">
        <v>18</v>
      </c>
      <c r="BF36" s="31" t="s">
        <v>11</v>
      </c>
      <c r="BG36" s="31" t="s">
        <v>11</v>
      </c>
      <c r="BH36" s="31" t="s">
        <v>18</v>
      </c>
      <c r="BI36" s="31" t="s">
        <v>22</v>
      </c>
      <c r="BJ36" s="31" t="s">
        <v>18</v>
      </c>
      <c r="BK36" s="31" t="s">
        <v>17</v>
      </c>
      <c r="BL36" s="31" t="s">
        <v>17</v>
      </c>
      <c r="BM36" s="31" t="s">
        <v>17</v>
      </c>
      <c r="BN36" s="31" t="s">
        <v>17</v>
      </c>
      <c r="BO36" s="31" t="s">
        <v>17</v>
      </c>
      <c r="BP36" s="31" t="s">
        <v>17</v>
      </c>
      <c r="BQ36" s="31" t="s">
        <v>17</v>
      </c>
      <c r="BR36" s="31" t="s">
        <v>17</v>
      </c>
      <c r="BS36" s="31" t="s">
        <v>17</v>
      </c>
    </row>
    <row r="37" spans="1:71" x14ac:dyDescent="0.3">
      <c r="A37" s="2">
        <f t="shared" ref="A37:B52" si="22">A36+1</f>
        <v>118</v>
      </c>
      <c r="B37" s="12">
        <f t="shared" si="22"/>
        <v>35</v>
      </c>
      <c r="C37" s="26">
        <v>44679.708333333336</v>
      </c>
      <c r="D37" s="4">
        <v>24</v>
      </c>
      <c r="E37" s="4">
        <f t="shared" si="20"/>
        <v>816</v>
      </c>
      <c r="F37" s="5">
        <f t="shared" si="21"/>
        <v>34</v>
      </c>
      <c r="G37">
        <f t="shared" si="16"/>
        <v>0</v>
      </c>
      <c r="H37">
        <f t="shared" si="4"/>
        <v>0</v>
      </c>
      <c r="I37">
        <f t="shared" si="5"/>
        <v>0</v>
      </c>
      <c r="J37">
        <f t="shared" si="6"/>
        <v>0</v>
      </c>
      <c r="K37">
        <f>COUNTIF($V37:$BS37, "P")</f>
        <v>23</v>
      </c>
      <c r="L37">
        <f t="shared" si="18"/>
        <v>0</v>
      </c>
      <c r="M37">
        <f t="shared" si="19"/>
        <v>0</v>
      </c>
      <c r="N37" s="30"/>
      <c r="O37">
        <f t="shared" si="8"/>
        <v>9</v>
      </c>
      <c r="P37">
        <f t="shared" si="9"/>
        <v>11</v>
      </c>
      <c r="Q37">
        <f t="shared" si="10"/>
        <v>7</v>
      </c>
      <c r="R37">
        <f t="shared" si="11"/>
        <v>0</v>
      </c>
      <c r="S37">
        <f t="shared" si="12"/>
        <v>0</v>
      </c>
      <c r="T37">
        <f t="shared" si="13"/>
        <v>0</v>
      </c>
      <c r="U37">
        <f t="shared" si="14"/>
        <v>0</v>
      </c>
      <c r="V37" s="31" t="s">
        <v>11</v>
      </c>
      <c r="W37" s="31" t="s">
        <v>11</v>
      </c>
      <c r="X37" s="31" t="s">
        <v>11</v>
      </c>
      <c r="Y37" s="31" t="s">
        <v>18</v>
      </c>
      <c r="Z37" s="31" t="s">
        <v>22</v>
      </c>
      <c r="AA37" s="31" t="s">
        <v>11</v>
      </c>
      <c r="AB37" s="31" t="s">
        <v>11</v>
      </c>
      <c r="AC37" s="31" t="s">
        <v>18</v>
      </c>
      <c r="AD37" s="31" t="s">
        <v>11</v>
      </c>
      <c r="AE37" s="31" t="s">
        <v>11</v>
      </c>
      <c r="AF37" s="31" t="s">
        <v>11</v>
      </c>
      <c r="AG37" s="31" t="s">
        <v>18</v>
      </c>
      <c r="AH37" s="31" t="s">
        <v>11</v>
      </c>
      <c r="AI37" s="31" t="s">
        <v>11</v>
      </c>
      <c r="AJ37" s="31" t="s">
        <v>11</v>
      </c>
      <c r="AK37" s="31" t="s">
        <v>11</v>
      </c>
      <c r="AL37" s="31" t="s">
        <v>11</v>
      </c>
      <c r="AM37" s="31" t="s">
        <v>18</v>
      </c>
      <c r="AN37" s="31" t="s">
        <v>11</v>
      </c>
      <c r="AO37" s="31" t="s">
        <v>18</v>
      </c>
      <c r="AP37" s="31" t="s">
        <v>22</v>
      </c>
      <c r="AQ37" s="31" t="s">
        <v>11</v>
      </c>
      <c r="AR37" s="31" t="s">
        <v>11</v>
      </c>
      <c r="AS37" s="31" t="s">
        <v>11</v>
      </c>
      <c r="AT37" s="31" t="s">
        <v>11</v>
      </c>
      <c r="AU37" s="31" t="s">
        <v>11</v>
      </c>
      <c r="AV37" s="31" t="s">
        <v>18</v>
      </c>
      <c r="AW37" s="31" t="s">
        <v>22</v>
      </c>
      <c r="AX37" s="31" t="s">
        <v>11</v>
      </c>
      <c r="AY37" s="31" t="s">
        <v>18</v>
      </c>
      <c r="AZ37" s="31" t="s">
        <v>22</v>
      </c>
      <c r="BA37" s="31" t="s">
        <v>18</v>
      </c>
      <c r="BB37" s="31" t="s">
        <v>22</v>
      </c>
      <c r="BC37" s="31" t="s">
        <v>11</v>
      </c>
      <c r="BD37" s="31" t="s">
        <v>22</v>
      </c>
      <c r="BE37" s="31" t="s">
        <v>18</v>
      </c>
      <c r="BF37" s="31" t="s">
        <v>11</v>
      </c>
      <c r="BG37" s="31" t="s">
        <v>11</v>
      </c>
      <c r="BH37" s="31" t="s">
        <v>18</v>
      </c>
      <c r="BI37" s="31" t="s">
        <v>22</v>
      </c>
      <c r="BJ37" s="31" t="s">
        <v>18</v>
      </c>
      <c r="BK37" s="31" t="s">
        <v>17</v>
      </c>
      <c r="BL37" s="31" t="s">
        <v>17</v>
      </c>
      <c r="BM37" s="31" t="s">
        <v>17</v>
      </c>
      <c r="BN37" s="31" t="s">
        <v>17</v>
      </c>
      <c r="BO37" s="31" t="s">
        <v>17</v>
      </c>
      <c r="BP37" s="31" t="s">
        <v>17</v>
      </c>
      <c r="BQ37" s="31" t="s">
        <v>17</v>
      </c>
      <c r="BR37" s="31" t="s">
        <v>17</v>
      </c>
      <c r="BS37" s="31" t="s">
        <v>17</v>
      </c>
    </row>
    <row r="38" spans="1:71" x14ac:dyDescent="0.3">
      <c r="A38" s="2">
        <f t="shared" si="22"/>
        <v>119</v>
      </c>
      <c r="B38" s="12">
        <f t="shared" si="22"/>
        <v>36</v>
      </c>
      <c r="C38" s="26">
        <v>44680.708333333336</v>
      </c>
      <c r="D38" s="4">
        <v>24</v>
      </c>
      <c r="E38" s="4">
        <f t="shared" si="20"/>
        <v>840</v>
      </c>
      <c r="F38" s="5">
        <f t="shared" si="21"/>
        <v>35</v>
      </c>
      <c r="G38">
        <f t="shared" si="16"/>
        <v>0</v>
      </c>
      <c r="H38">
        <f t="shared" si="4"/>
        <v>0</v>
      </c>
      <c r="I38">
        <f t="shared" si="5"/>
        <v>0</v>
      </c>
      <c r="J38">
        <f t="shared" si="6"/>
        <v>0</v>
      </c>
      <c r="K38">
        <f t="shared" si="7"/>
        <v>23</v>
      </c>
      <c r="L38">
        <f t="shared" si="18"/>
        <v>0</v>
      </c>
      <c r="M38">
        <f t="shared" si="19"/>
        <v>0</v>
      </c>
      <c r="N38" s="30"/>
      <c r="O38">
        <f t="shared" si="8"/>
        <v>9</v>
      </c>
      <c r="P38">
        <f t="shared" si="9"/>
        <v>11</v>
      </c>
      <c r="Q38">
        <f t="shared" si="10"/>
        <v>7</v>
      </c>
      <c r="R38">
        <f t="shared" si="11"/>
        <v>0</v>
      </c>
      <c r="S38">
        <f t="shared" si="12"/>
        <v>0</v>
      </c>
      <c r="T38">
        <f t="shared" si="13"/>
        <v>0</v>
      </c>
      <c r="U38">
        <f t="shared" si="14"/>
        <v>0</v>
      </c>
      <c r="V38" s="31" t="s">
        <v>11</v>
      </c>
      <c r="W38" s="31" t="s">
        <v>11</v>
      </c>
      <c r="X38" s="31" t="s">
        <v>11</v>
      </c>
      <c r="Y38" s="31" t="s">
        <v>18</v>
      </c>
      <c r="Z38" s="31" t="s">
        <v>22</v>
      </c>
      <c r="AA38" s="31" t="s">
        <v>11</v>
      </c>
      <c r="AB38" s="31" t="s">
        <v>11</v>
      </c>
      <c r="AC38" s="31" t="s">
        <v>18</v>
      </c>
      <c r="AD38" s="31" t="s">
        <v>11</v>
      </c>
      <c r="AE38" s="31" t="s">
        <v>11</v>
      </c>
      <c r="AF38" s="31" t="s">
        <v>11</v>
      </c>
      <c r="AG38" s="31" t="s">
        <v>18</v>
      </c>
      <c r="AH38" s="31" t="s">
        <v>11</v>
      </c>
      <c r="AI38" s="31" t="s">
        <v>11</v>
      </c>
      <c r="AJ38" s="31" t="s">
        <v>11</v>
      </c>
      <c r="AK38" s="31" t="s">
        <v>11</v>
      </c>
      <c r="AL38" s="31" t="s">
        <v>11</v>
      </c>
      <c r="AM38" s="31" t="s">
        <v>18</v>
      </c>
      <c r="AN38" s="31" t="s">
        <v>11</v>
      </c>
      <c r="AO38" s="31" t="s">
        <v>18</v>
      </c>
      <c r="AP38" s="31" t="s">
        <v>22</v>
      </c>
      <c r="AQ38" s="31" t="s">
        <v>11</v>
      </c>
      <c r="AR38" s="31" t="s">
        <v>11</v>
      </c>
      <c r="AS38" s="31" t="s">
        <v>11</v>
      </c>
      <c r="AT38" s="31" t="s">
        <v>11</v>
      </c>
      <c r="AU38" s="31" t="s">
        <v>11</v>
      </c>
      <c r="AV38" s="31" t="s">
        <v>18</v>
      </c>
      <c r="AW38" s="31" t="s">
        <v>22</v>
      </c>
      <c r="AX38" s="31" t="s">
        <v>11</v>
      </c>
      <c r="AY38" s="31" t="s">
        <v>18</v>
      </c>
      <c r="AZ38" s="31" t="s">
        <v>22</v>
      </c>
      <c r="BA38" s="31" t="s">
        <v>18</v>
      </c>
      <c r="BB38" s="31" t="s">
        <v>22</v>
      </c>
      <c r="BC38" s="31" t="s">
        <v>11</v>
      </c>
      <c r="BD38" s="31" t="s">
        <v>22</v>
      </c>
      <c r="BE38" s="31" t="s">
        <v>18</v>
      </c>
      <c r="BF38" s="31" t="s">
        <v>11</v>
      </c>
      <c r="BG38" s="31" t="s">
        <v>11</v>
      </c>
      <c r="BH38" s="31" t="s">
        <v>18</v>
      </c>
      <c r="BI38" s="31" t="s">
        <v>22</v>
      </c>
      <c r="BJ38" s="31" t="s">
        <v>18</v>
      </c>
      <c r="BK38" s="31" t="s">
        <v>17</v>
      </c>
      <c r="BL38" s="31" t="s">
        <v>17</v>
      </c>
      <c r="BM38" s="31" t="s">
        <v>17</v>
      </c>
      <c r="BN38" s="31" t="s">
        <v>17</v>
      </c>
      <c r="BO38" s="31" t="s">
        <v>17</v>
      </c>
      <c r="BP38" s="31" t="s">
        <v>17</v>
      </c>
      <c r="BQ38" s="31" t="s">
        <v>17</v>
      </c>
      <c r="BR38" s="31" t="s">
        <v>17</v>
      </c>
      <c r="BS38" s="31" t="s">
        <v>17</v>
      </c>
    </row>
    <row r="39" spans="1:71" x14ac:dyDescent="0.3">
      <c r="A39" s="2">
        <f t="shared" si="22"/>
        <v>120</v>
      </c>
      <c r="B39" s="12">
        <f t="shared" si="22"/>
        <v>37</v>
      </c>
      <c r="C39" s="26">
        <v>44681.708333333336</v>
      </c>
      <c r="D39" s="4">
        <v>24</v>
      </c>
      <c r="E39" s="4">
        <f t="shared" si="20"/>
        <v>864</v>
      </c>
      <c r="F39" s="5">
        <f t="shared" si="21"/>
        <v>36</v>
      </c>
      <c r="G39">
        <f t="shared" si="16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23</v>
      </c>
      <c r="L39">
        <f t="shared" si="18"/>
        <v>0</v>
      </c>
      <c r="M39">
        <f t="shared" si="19"/>
        <v>0</v>
      </c>
      <c r="N39" s="30"/>
      <c r="O39">
        <f t="shared" si="8"/>
        <v>9</v>
      </c>
      <c r="P39">
        <f t="shared" si="9"/>
        <v>11</v>
      </c>
      <c r="Q39">
        <f t="shared" si="10"/>
        <v>7</v>
      </c>
      <c r="R39">
        <f t="shared" si="11"/>
        <v>0</v>
      </c>
      <c r="S39">
        <f t="shared" si="12"/>
        <v>0</v>
      </c>
      <c r="T39">
        <f t="shared" si="13"/>
        <v>0</v>
      </c>
      <c r="U39">
        <f t="shared" si="14"/>
        <v>0</v>
      </c>
      <c r="V39" s="31" t="s">
        <v>11</v>
      </c>
      <c r="W39" s="31" t="s">
        <v>11</v>
      </c>
      <c r="X39" s="31" t="s">
        <v>11</v>
      </c>
      <c r="Y39" s="31" t="s">
        <v>18</v>
      </c>
      <c r="Z39" s="31" t="s">
        <v>22</v>
      </c>
      <c r="AA39" s="31" t="s">
        <v>11</v>
      </c>
      <c r="AB39" s="31" t="s">
        <v>11</v>
      </c>
      <c r="AC39" s="31" t="s">
        <v>18</v>
      </c>
      <c r="AD39" s="31" t="s">
        <v>11</v>
      </c>
      <c r="AE39" s="31" t="s">
        <v>11</v>
      </c>
      <c r="AF39" s="31" t="s">
        <v>11</v>
      </c>
      <c r="AG39" s="31" t="s">
        <v>18</v>
      </c>
      <c r="AH39" s="31" t="s">
        <v>11</v>
      </c>
      <c r="AI39" s="31" t="s">
        <v>11</v>
      </c>
      <c r="AJ39" s="31" t="s">
        <v>11</v>
      </c>
      <c r="AK39" s="31" t="s">
        <v>11</v>
      </c>
      <c r="AL39" s="31" t="s">
        <v>11</v>
      </c>
      <c r="AM39" s="31" t="s">
        <v>18</v>
      </c>
      <c r="AN39" s="31" t="s">
        <v>11</v>
      </c>
      <c r="AO39" s="31" t="s">
        <v>18</v>
      </c>
      <c r="AP39" s="31" t="s">
        <v>22</v>
      </c>
      <c r="AQ39" s="31" t="s">
        <v>11</v>
      </c>
      <c r="AR39" s="31" t="s">
        <v>11</v>
      </c>
      <c r="AS39" s="31" t="s">
        <v>11</v>
      </c>
      <c r="AT39" s="31" t="s">
        <v>11</v>
      </c>
      <c r="AU39" s="31" t="s">
        <v>11</v>
      </c>
      <c r="AV39" s="31" t="s">
        <v>18</v>
      </c>
      <c r="AW39" s="31" t="s">
        <v>22</v>
      </c>
      <c r="AX39" s="31" t="s">
        <v>11</v>
      </c>
      <c r="AY39" s="31" t="s">
        <v>18</v>
      </c>
      <c r="AZ39" s="31" t="s">
        <v>22</v>
      </c>
      <c r="BA39" s="31" t="s">
        <v>18</v>
      </c>
      <c r="BB39" s="31" t="s">
        <v>22</v>
      </c>
      <c r="BC39" s="31" t="s">
        <v>11</v>
      </c>
      <c r="BD39" s="31" t="s">
        <v>22</v>
      </c>
      <c r="BE39" s="31" t="s">
        <v>18</v>
      </c>
      <c r="BF39" s="31" t="s">
        <v>11</v>
      </c>
      <c r="BG39" s="31" t="s">
        <v>11</v>
      </c>
      <c r="BH39" s="31" t="s">
        <v>18</v>
      </c>
      <c r="BI39" s="31" t="s">
        <v>22</v>
      </c>
      <c r="BJ39" s="31" t="s">
        <v>18</v>
      </c>
      <c r="BK39" s="31" t="s">
        <v>17</v>
      </c>
      <c r="BL39" s="31" t="s">
        <v>17</v>
      </c>
      <c r="BM39" s="31" t="s">
        <v>17</v>
      </c>
      <c r="BN39" s="31" t="s">
        <v>17</v>
      </c>
      <c r="BO39" s="31" t="s">
        <v>17</v>
      </c>
      <c r="BP39" s="31" t="s">
        <v>17</v>
      </c>
      <c r="BQ39" s="31" t="s">
        <v>17</v>
      </c>
      <c r="BR39" s="31" t="s">
        <v>17</v>
      </c>
      <c r="BS39" s="31" t="s">
        <v>17</v>
      </c>
    </row>
    <row r="40" spans="1:71" x14ac:dyDescent="0.3">
      <c r="A40" s="2">
        <f t="shared" si="22"/>
        <v>121</v>
      </c>
      <c r="B40" s="12">
        <f t="shared" si="22"/>
        <v>38</v>
      </c>
      <c r="C40" s="26">
        <v>44682.708333333336</v>
      </c>
      <c r="D40" s="4">
        <v>24</v>
      </c>
      <c r="E40" s="4">
        <f t="shared" si="20"/>
        <v>888</v>
      </c>
      <c r="F40" s="5">
        <f t="shared" si="21"/>
        <v>37</v>
      </c>
      <c r="G40">
        <f t="shared" si="16"/>
        <v>0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23</v>
      </c>
      <c r="L40">
        <f t="shared" si="18"/>
        <v>0</v>
      </c>
      <c r="M40">
        <f t="shared" si="19"/>
        <v>0</v>
      </c>
      <c r="N40" s="30"/>
      <c r="O40">
        <f t="shared" si="8"/>
        <v>9</v>
      </c>
      <c r="P40">
        <f t="shared" si="9"/>
        <v>11</v>
      </c>
      <c r="Q40">
        <f t="shared" si="10"/>
        <v>7</v>
      </c>
      <c r="R40">
        <f t="shared" si="11"/>
        <v>0</v>
      </c>
      <c r="S40">
        <f t="shared" si="12"/>
        <v>0</v>
      </c>
      <c r="T40">
        <f t="shared" si="13"/>
        <v>0</v>
      </c>
      <c r="U40">
        <f t="shared" si="14"/>
        <v>0</v>
      </c>
      <c r="V40" s="31" t="s">
        <v>11</v>
      </c>
      <c r="W40" s="31" t="s">
        <v>11</v>
      </c>
      <c r="X40" s="31" t="s">
        <v>11</v>
      </c>
      <c r="Y40" s="31" t="s">
        <v>18</v>
      </c>
      <c r="Z40" s="31" t="s">
        <v>22</v>
      </c>
      <c r="AA40" s="31" t="s">
        <v>11</v>
      </c>
      <c r="AB40" s="31" t="s">
        <v>11</v>
      </c>
      <c r="AC40" s="31" t="s">
        <v>18</v>
      </c>
      <c r="AD40" s="31" t="s">
        <v>11</v>
      </c>
      <c r="AE40" s="31" t="s">
        <v>11</v>
      </c>
      <c r="AF40" s="31" t="s">
        <v>11</v>
      </c>
      <c r="AG40" s="31" t="s">
        <v>18</v>
      </c>
      <c r="AH40" s="31" t="s">
        <v>11</v>
      </c>
      <c r="AI40" s="31" t="s">
        <v>11</v>
      </c>
      <c r="AJ40" s="31" t="s">
        <v>11</v>
      </c>
      <c r="AK40" s="31" t="s">
        <v>11</v>
      </c>
      <c r="AL40" s="31" t="s">
        <v>11</v>
      </c>
      <c r="AM40" s="31" t="s">
        <v>18</v>
      </c>
      <c r="AN40" s="31" t="s">
        <v>11</v>
      </c>
      <c r="AO40" s="31" t="s">
        <v>18</v>
      </c>
      <c r="AP40" s="31" t="s">
        <v>22</v>
      </c>
      <c r="AQ40" s="31" t="s">
        <v>11</v>
      </c>
      <c r="AR40" s="31" t="s">
        <v>11</v>
      </c>
      <c r="AS40" s="31" t="s">
        <v>11</v>
      </c>
      <c r="AT40" s="31" t="s">
        <v>11</v>
      </c>
      <c r="AU40" s="31" t="s">
        <v>11</v>
      </c>
      <c r="AV40" s="31" t="s">
        <v>18</v>
      </c>
      <c r="AW40" s="31" t="s">
        <v>22</v>
      </c>
      <c r="AX40" s="31" t="s">
        <v>11</v>
      </c>
      <c r="AY40" s="31" t="s">
        <v>18</v>
      </c>
      <c r="AZ40" s="31" t="s">
        <v>22</v>
      </c>
      <c r="BA40" s="31" t="s">
        <v>18</v>
      </c>
      <c r="BB40" s="31" t="s">
        <v>22</v>
      </c>
      <c r="BC40" s="31" t="s">
        <v>11</v>
      </c>
      <c r="BD40" s="31" t="s">
        <v>22</v>
      </c>
      <c r="BE40" s="31" t="s">
        <v>18</v>
      </c>
      <c r="BF40" s="31" t="s">
        <v>11</v>
      </c>
      <c r="BG40" s="31" t="s">
        <v>11</v>
      </c>
      <c r="BH40" s="31" t="s">
        <v>18</v>
      </c>
      <c r="BI40" s="31" t="s">
        <v>22</v>
      </c>
      <c r="BJ40" s="31" t="s">
        <v>18</v>
      </c>
      <c r="BK40" s="31" t="s">
        <v>17</v>
      </c>
      <c r="BL40" s="31" t="s">
        <v>17</v>
      </c>
      <c r="BM40" s="31" t="s">
        <v>17</v>
      </c>
      <c r="BN40" s="31" t="s">
        <v>17</v>
      </c>
      <c r="BO40" s="31" t="s">
        <v>17</v>
      </c>
      <c r="BP40" s="31" t="s">
        <v>17</v>
      </c>
      <c r="BQ40" s="31" t="s">
        <v>17</v>
      </c>
      <c r="BR40" s="31" t="s">
        <v>17</v>
      </c>
      <c r="BS40" s="31" t="s">
        <v>17</v>
      </c>
    </row>
    <row r="41" spans="1:71" x14ac:dyDescent="0.3">
      <c r="A41" s="2">
        <f t="shared" si="22"/>
        <v>122</v>
      </c>
      <c r="B41" s="12">
        <f t="shared" si="22"/>
        <v>39</v>
      </c>
      <c r="C41" s="26">
        <v>44683.708333333336</v>
      </c>
      <c r="D41" s="4">
        <v>24</v>
      </c>
      <c r="E41" s="4">
        <f t="shared" si="20"/>
        <v>912</v>
      </c>
      <c r="F41" s="5">
        <f t="shared" si="21"/>
        <v>38</v>
      </c>
      <c r="G41">
        <f t="shared" si="16"/>
        <v>0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23</v>
      </c>
      <c r="L41">
        <f t="shared" si="18"/>
        <v>0</v>
      </c>
      <c r="M41">
        <f t="shared" si="19"/>
        <v>0</v>
      </c>
      <c r="N41" s="30"/>
      <c r="O41">
        <f t="shared" si="8"/>
        <v>9</v>
      </c>
      <c r="P41">
        <f t="shared" si="9"/>
        <v>11</v>
      </c>
      <c r="Q41">
        <f t="shared" si="10"/>
        <v>7</v>
      </c>
      <c r="R41">
        <f t="shared" si="11"/>
        <v>0</v>
      </c>
      <c r="S41">
        <f t="shared" si="12"/>
        <v>0</v>
      </c>
      <c r="T41">
        <f t="shared" si="13"/>
        <v>0</v>
      </c>
      <c r="U41">
        <f t="shared" si="14"/>
        <v>0</v>
      </c>
      <c r="V41" s="31" t="s">
        <v>11</v>
      </c>
      <c r="W41" s="31" t="s">
        <v>11</v>
      </c>
      <c r="X41" s="31" t="s">
        <v>11</v>
      </c>
      <c r="Y41" s="31" t="s">
        <v>18</v>
      </c>
      <c r="Z41" s="31" t="s">
        <v>22</v>
      </c>
      <c r="AA41" s="31" t="s">
        <v>11</v>
      </c>
      <c r="AB41" s="31" t="s">
        <v>11</v>
      </c>
      <c r="AC41" s="31" t="s">
        <v>18</v>
      </c>
      <c r="AD41" s="31" t="s">
        <v>11</v>
      </c>
      <c r="AE41" s="31" t="s">
        <v>11</v>
      </c>
      <c r="AF41" s="31" t="s">
        <v>11</v>
      </c>
      <c r="AG41" s="31" t="s">
        <v>18</v>
      </c>
      <c r="AH41" s="31" t="s">
        <v>11</v>
      </c>
      <c r="AI41" s="31" t="s">
        <v>11</v>
      </c>
      <c r="AJ41" s="31" t="s">
        <v>11</v>
      </c>
      <c r="AK41" s="31" t="s">
        <v>11</v>
      </c>
      <c r="AL41" s="31" t="s">
        <v>11</v>
      </c>
      <c r="AM41" s="31" t="s">
        <v>18</v>
      </c>
      <c r="AN41" s="31" t="s">
        <v>11</v>
      </c>
      <c r="AO41" s="31" t="s">
        <v>18</v>
      </c>
      <c r="AP41" s="31" t="s">
        <v>22</v>
      </c>
      <c r="AQ41" s="31" t="s">
        <v>11</v>
      </c>
      <c r="AR41" s="31" t="s">
        <v>11</v>
      </c>
      <c r="AS41" s="31" t="s">
        <v>11</v>
      </c>
      <c r="AT41" s="31" t="s">
        <v>11</v>
      </c>
      <c r="AU41" s="31" t="s">
        <v>11</v>
      </c>
      <c r="AV41" s="31" t="s">
        <v>18</v>
      </c>
      <c r="AW41" s="31" t="s">
        <v>22</v>
      </c>
      <c r="AX41" s="31" t="s">
        <v>11</v>
      </c>
      <c r="AY41" s="31" t="s">
        <v>18</v>
      </c>
      <c r="AZ41" s="31" t="s">
        <v>22</v>
      </c>
      <c r="BA41" s="31" t="s">
        <v>18</v>
      </c>
      <c r="BB41" s="31" t="s">
        <v>22</v>
      </c>
      <c r="BC41" s="31" t="s">
        <v>11</v>
      </c>
      <c r="BD41" s="31" t="s">
        <v>22</v>
      </c>
      <c r="BE41" s="31" t="s">
        <v>18</v>
      </c>
      <c r="BF41" s="31" t="s">
        <v>11</v>
      </c>
      <c r="BG41" s="31" t="s">
        <v>11</v>
      </c>
      <c r="BH41" s="31" t="s">
        <v>18</v>
      </c>
      <c r="BI41" s="31" t="s">
        <v>22</v>
      </c>
      <c r="BJ41" s="31" t="s">
        <v>18</v>
      </c>
      <c r="BK41" s="31" t="s">
        <v>17</v>
      </c>
      <c r="BL41" s="31" t="s">
        <v>17</v>
      </c>
      <c r="BM41" s="31" t="s">
        <v>17</v>
      </c>
      <c r="BN41" s="31" t="s">
        <v>17</v>
      </c>
      <c r="BO41" s="31" t="s">
        <v>17</v>
      </c>
      <c r="BP41" s="31" t="s">
        <v>17</v>
      </c>
      <c r="BQ41" s="31" t="s">
        <v>17</v>
      </c>
      <c r="BR41" s="31" t="s">
        <v>17</v>
      </c>
      <c r="BS41" s="31" t="s">
        <v>17</v>
      </c>
    </row>
    <row r="42" spans="1:71" x14ac:dyDescent="0.3">
      <c r="A42" s="2">
        <f t="shared" si="22"/>
        <v>123</v>
      </c>
      <c r="B42" s="12">
        <f t="shared" si="22"/>
        <v>40</v>
      </c>
      <c r="C42" s="26">
        <v>44684.708333333336</v>
      </c>
      <c r="D42" s="4">
        <v>24</v>
      </c>
      <c r="E42" s="4">
        <f t="shared" si="20"/>
        <v>936</v>
      </c>
      <c r="F42" s="5">
        <f t="shared" si="21"/>
        <v>39</v>
      </c>
      <c r="G42">
        <f t="shared" si="16"/>
        <v>0</v>
      </c>
      <c r="H42">
        <f t="shared" si="4"/>
        <v>0</v>
      </c>
      <c r="I42">
        <f t="shared" si="5"/>
        <v>0</v>
      </c>
      <c r="J42">
        <f t="shared" si="6"/>
        <v>0</v>
      </c>
      <c r="K42">
        <f t="shared" si="7"/>
        <v>23</v>
      </c>
      <c r="L42">
        <f t="shared" si="18"/>
        <v>0</v>
      </c>
      <c r="M42">
        <f t="shared" si="19"/>
        <v>0</v>
      </c>
      <c r="N42" s="30"/>
      <c r="O42">
        <f t="shared" si="8"/>
        <v>9</v>
      </c>
      <c r="P42">
        <f t="shared" si="9"/>
        <v>11</v>
      </c>
      <c r="Q42">
        <f t="shared" si="10"/>
        <v>7</v>
      </c>
      <c r="R42">
        <f t="shared" si="11"/>
        <v>0</v>
      </c>
      <c r="S42">
        <f t="shared" si="12"/>
        <v>0</v>
      </c>
      <c r="T42">
        <f t="shared" si="13"/>
        <v>0</v>
      </c>
      <c r="U42">
        <f t="shared" si="14"/>
        <v>0</v>
      </c>
      <c r="V42" s="31" t="s">
        <v>11</v>
      </c>
      <c r="W42" s="31" t="s">
        <v>11</v>
      </c>
      <c r="X42" s="31" t="s">
        <v>11</v>
      </c>
      <c r="Y42" s="31" t="s">
        <v>18</v>
      </c>
      <c r="Z42" s="31" t="s">
        <v>22</v>
      </c>
      <c r="AA42" s="31" t="s">
        <v>11</v>
      </c>
      <c r="AB42" s="31" t="s">
        <v>11</v>
      </c>
      <c r="AC42" s="31" t="s">
        <v>18</v>
      </c>
      <c r="AD42" s="31" t="s">
        <v>11</v>
      </c>
      <c r="AE42" s="31" t="s">
        <v>11</v>
      </c>
      <c r="AF42" s="31" t="s">
        <v>11</v>
      </c>
      <c r="AG42" s="31" t="s">
        <v>18</v>
      </c>
      <c r="AH42" s="31" t="s">
        <v>11</v>
      </c>
      <c r="AI42" s="31" t="s">
        <v>11</v>
      </c>
      <c r="AJ42" s="31" t="s">
        <v>11</v>
      </c>
      <c r="AK42" s="31" t="s">
        <v>11</v>
      </c>
      <c r="AL42" s="31" t="s">
        <v>11</v>
      </c>
      <c r="AM42" s="31" t="s">
        <v>18</v>
      </c>
      <c r="AN42" s="31" t="s">
        <v>11</v>
      </c>
      <c r="AO42" s="31" t="s">
        <v>18</v>
      </c>
      <c r="AP42" s="31" t="s">
        <v>22</v>
      </c>
      <c r="AQ42" s="31" t="s">
        <v>11</v>
      </c>
      <c r="AR42" s="31" t="s">
        <v>11</v>
      </c>
      <c r="AS42" s="31" t="s">
        <v>11</v>
      </c>
      <c r="AT42" s="31" t="s">
        <v>11</v>
      </c>
      <c r="AU42" s="31" t="s">
        <v>11</v>
      </c>
      <c r="AV42" s="31" t="s">
        <v>18</v>
      </c>
      <c r="AW42" s="31" t="s">
        <v>22</v>
      </c>
      <c r="AX42" s="31" t="s">
        <v>11</v>
      </c>
      <c r="AY42" s="31" t="s">
        <v>18</v>
      </c>
      <c r="AZ42" s="31" t="s">
        <v>22</v>
      </c>
      <c r="BA42" s="31" t="s">
        <v>18</v>
      </c>
      <c r="BB42" s="31" t="s">
        <v>22</v>
      </c>
      <c r="BC42" s="31" t="s">
        <v>11</v>
      </c>
      <c r="BD42" s="31" t="s">
        <v>22</v>
      </c>
      <c r="BE42" s="31" t="s">
        <v>18</v>
      </c>
      <c r="BF42" s="31" t="s">
        <v>11</v>
      </c>
      <c r="BG42" s="31" t="s">
        <v>11</v>
      </c>
      <c r="BH42" s="31" t="s">
        <v>18</v>
      </c>
      <c r="BI42" s="31" t="s">
        <v>22</v>
      </c>
      <c r="BJ42" s="31" t="s">
        <v>18</v>
      </c>
      <c r="BK42" s="31" t="s">
        <v>17</v>
      </c>
      <c r="BL42" s="31" t="s">
        <v>17</v>
      </c>
      <c r="BM42" s="31" t="s">
        <v>17</v>
      </c>
      <c r="BN42" s="31" t="s">
        <v>17</v>
      </c>
      <c r="BO42" s="31" t="s">
        <v>17</v>
      </c>
      <c r="BP42" s="31" t="s">
        <v>17</v>
      </c>
      <c r="BQ42" s="31" t="s">
        <v>17</v>
      </c>
      <c r="BR42" s="31" t="s">
        <v>17</v>
      </c>
      <c r="BS42" s="31" t="s">
        <v>17</v>
      </c>
    </row>
    <row r="43" spans="1:71" x14ac:dyDescent="0.3">
      <c r="A43" s="2">
        <f t="shared" si="22"/>
        <v>124</v>
      </c>
      <c r="B43" s="12">
        <f t="shared" si="22"/>
        <v>41</v>
      </c>
      <c r="C43" s="26">
        <v>44685.708333333336</v>
      </c>
      <c r="D43" s="4">
        <v>24</v>
      </c>
      <c r="E43" s="4">
        <f t="shared" si="20"/>
        <v>960</v>
      </c>
      <c r="F43" s="5">
        <f t="shared" si="21"/>
        <v>40</v>
      </c>
      <c r="G43">
        <f t="shared" si="16"/>
        <v>0</v>
      </c>
      <c r="H43">
        <f t="shared" si="4"/>
        <v>0</v>
      </c>
      <c r="I43">
        <f t="shared" si="5"/>
        <v>0</v>
      </c>
      <c r="J43">
        <f t="shared" si="6"/>
        <v>0</v>
      </c>
      <c r="K43">
        <f t="shared" si="7"/>
        <v>23</v>
      </c>
      <c r="L43">
        <f t="shared" si="18"/>
        <v>0</v>
      </c>
      <c r="M43">
        <f t="shared" si="19"/>
        <v>0</v>
      </c>
      <c r="N43" s="30"/>
      <c r="O43">
        <f t="shared" si="8"/>
        <v>9</v>
      </c>
      <c r="P43">
        <f t="shared" si="9"/>
        <v>11</v>
      </c>
      <c r="Q43">
        <f t="shared" si="10"/>
        <v>7</v>
      </c>
      <c r="R43">
        <f t="shared" si="11"/>
        <v>0</v>
      </c>
      <c r="S43">
        <f t="shared" si="12"/>
        <v>0</v>
      </c>
      <c r="T43">
        <f t="shared" si="13"/>
        <v>0</v>
      </c>
      <c r="U43">
        <f t="shared" si="14"/>
        <v>0</v>
      </c>
      <c r="V43" s="31" t="s">
        <v>11</v>
      </c>
      <c r="W43" s="31" t="s">
        <v>11</v>
      </c>
      <c r="X43" s="31" t="s">
        <v>11</v>
      </c>
      <c r="Y43" s="31" t="s">
        <v>18</v>
      </c>
      <c r="Z43" s="31" t="s">
        <v>22</v>
      </c>
      <c r="AA43" s="31" t="s">
        <v>11</v>
      </c>
      <c r="AB43" s="31" t="s">
        <v>11</v>
      </c>
      <c r="AC43" s="31" t="s">
        <v>18</v>
      </c>
      <c r="AD43" s="31" t="s">
        <v>11</v>
      </c>
      <c r="AE43" s="31" t="s">
        <v>11</v>
      </c>
      <c r="AF43" s="31" t="s">
        <v>11</v>
      </c>
      <c r="AG43" s="31" t="s">
        <v>18</v>
      </c>
      <c r="AH43" s="31" t="s">
        <v>11</v>
      </c>
      <c r="AI43" s="31" t="s">
        <v>11</v>
      </c>
      <c r="AJ43" s="31" t="s">
        <v>11</v>
      </c>
      <c r="AK43" s="31" t="s">
        <v>11</v>
      </c>
      <c r="AL43" s="31" t="s">
        <v>11</v>
      </c>
      <c r="AM43" s="31" t="s">
        <v>18</v>
      </c>
      <c r="AN43" s="31" t="s">
        <v>11</v>
      </c>
      <c r="AO43" s="31" t="s">
        <v>18</v>
      </c>
      <c r="AP43" s="31" t="s">
        <v>22</v>
      </c>
      <c r="AQ43" s="31" t="s">
        <v>11</v>
      </c>
      <c r="AR43" s="31" t="s">
        <v>11</v>
      </c>
      <c r="AS43" s="31" t="s">
        <v>11</v>
      </c>
      <c r="AT43" s="31" t="s">
        <v>11</v>
      </c>
      <c r="AU43" s="31" t="s">
        <v>11</v>
      </c>
      <c r="AV43" s="31" t="s">
        <v>18</v>
      </c>
      <c r="AW43" s="31" t="s">
        <v>22</v>
      </c>
      <c r="AX43" s="31" t="s">
        <v>11</v>
      </c>
      <c r="AY43" s="31" t="s">
        <v>18</v>
      </c>
      <c r="AZ43" s="31" t="s">
        <v>22</v>
      </c>
      <c r="BA43" s="31" t="s">
        <v>18</v>
      </c>
      <c r="BB43" s="31" t="s">
        <v>22</v>
      </c>
      <c r="BC43" s="31" t="s">
        <v>11</v>
      </c>
      <c r="BD43" s="31" t="s">
        <v>22</v>
      </c>
      <c r="BE43" s="31" t="s">
        <v>18</v>
      </c>
      <c r="BF43" s="31" t="s">
        <v>11</v>
      </c>
      <c r="BG43" s="31" t="s">
        <v>11</v>
      </c>
      <c r="BH43" s="31" t="s">
        <v>18</v>
      </c>
      <c r="BI43" s="31" t="s">
        <v>22</v>
      </c>
      <c r="BJ43" s="31" t="s">
        <v>18</v>
      </c>
      <c r="BK43" s="31" t="s">
        <v>17</v>
      </c>
      <c r="BL43" s="31" t="s">
        <v>17</v>
      </c>
      <c r="BM43" s="31" t="s">
        <v>17</v>
      </c>
      <c r="BN43" s="31" t="s">
        <v>17</v>
      </c>
      <c r="BO43" s="31" t="s">
        <v>17</v>
      </c>
      <c r="BP43" s="31" t="s">
        <v>17</v>
      </c>
      <c r="BQ43" s="31" t="s">
        <v>17</v>
      </c>
      <c r="BR43" s="31" t="s">
        <v>17</v>
      </c>
      <c r="BS43" s="31" t="s">
        <v>17</v>
      </c>
    </row>
    <row r="44" spans="1:71" x14ac:dyDescent="0.3">
      <c r="A44" s="2">
        <f t="shared" si="22"/>
        <v>125</v>
      </c>
      <c r="B44" s="12">
        <f t="shared" si="22"/>
        <v>42</v>
      </c>
      <c r="C44" s="26">
        <v>44686.708333333336</v>
      </c>
      <c r="D44" s="4">
        <v>24</v>
      </c>
      <c r="E44" s="4">
        <f t="shared" si="20"/>
        <v>984</v>
      </c>
      <c r="F44" s="5">
        <f t="shared" si="21"/>
        <v>41</v>
      </c>
      <c r="G44">
        <f t="shared" si="16"/>
        <v>0</v>
      </c>
      <c r="H44">
        <f t="shared" si="4"/>
        <v>0</v>
      </c>
      <c r="I44">
        <f t="shared" si="5"/>
        <v>0</v>
      </c>
      <c r="J44">
        <f t="shared" si="6"/>
        <v>0</v>
      </c>
      <c r="K44">
        <f>COUNTIF($V44:$BS44, "P")</f>
        <v>23</v>
      </c>
      <c r="L44">
        <f t="shared" si="18"/>
        <v>0</v>
      </c>
      <c r="M44">
        <f t="shared" si="19"/>
        <v>0</v>
      </c>
      <c r="N44" s="30"/>
      <c r="O44">
        <f t="shared" si="8"/>
        <v>9</v>
      </c>
      <c r="P44">
        <f t="shared" si="9"/>
        <v>11</v>
      </c>
      <c r="Q44">
        <f t="shared" si="10"/>
        <v>7</v>
      </c>
      <c r="R44">
        <f t="shared" si="11"/>
        <v>0</v>
      </c>
      <c r="S44">
        <f t="shared" si="12"/>
        <v>0</v>
      </c>
      <c r="T44">
        <f t="shared" si="13"/>
        <v>0</v>
      </c>
      <c r="U44">
        <f t="shared" si="14"/>
        <v>0</v>
      </c>
      <c r="V44" s="31" t="s">
        <v>11</v>
      </c>
      <c r="W44" s="31" t="s">
        <v>11</v>
      </c>
      <c r="X44" s="31" t="s">
        <v>11</v>
      </c>
      <c r="Y44" s="31" t="s">
        <v>18</v>
      </c>
      <c r="Z44" s="31" t="s">
        <v>22</v>
      </c>
      <c r="AA44" s="31" t="s">
        <v>11</v>
      </c>
      <c r="AB44" s="31" t="s">
        <v>11</v>
      </c>
      <c r="AC44" s="31" t="s">
        <v>18</v>
      </c>
      <c r="AD44" s="31" t="s">
        <v>11</v>
      </c>
      <c r="AE44" s="31" t="s">
        <v>11</v>
      </c>
      <c r="AF44" s="31" t="s">
        <v>11</v>
      </c>
      <c r="AG44" s="31" t="s">
        <v>18</v>
      </c>
      <c r="AH44" s="31" t="s">
        <v>11</v>
      </c>
      <c r="AI44" s="31" t="s">
        <v>11</v>
      </c>
      <c r="AJ44" s="31" t="s">
        <v>11</v>
      </c>
      <c r="AK44" s="31" t="s">
        <v>11</v>
      </c>
      <c r="AL44" s="31" t="s">
        <v>11</v>
      </c>
      <c r="AM44" s="31" t="s">
        <v>18</v>
      </c>
      <c r="AN44" s="31" t="s">
        <v>11</v>
      </c>
      <c r="AO44" s="31" t="s">
        <v>18</v>
      </c>
      <c r="AP44" s="31" t="s">
        <v>22</v>
      </c>
      <c r="AQ44" s="31" t="s">
        <v>11</v>
      </c>
      <c r="AR44" s="31" t="s">
        <v>11</v>
      </c>
      <c r="AS44" s="31" t="s">
        <v>11</v>
      </c>
      <c r="AT44" s="31" t="s">
        <v>11</v>
      </c>
      <c r="AU44" s="31" t="s">
        <v>11</v>
      </c>
      <c r="AV44" s="31" t="s">
        <v>18</v>
      </c>
      <c r="AW44" s="31" t="s">
        <v>22</v>
      </c>
      <c r="AX44" s="31" t="s">
        <v>11</v>
      </c>
      <c r="AY44" s="31" t="s">
        <v>18</v>
      </c>
      <c r="AZ44" s="31" t="s">
        <v>22</v>
      </c>
      <c r="BA44" s="31" t="s">
        <v>18</v>
      </c>
      <c r="BB44" s="31" t="s">
        <v>22</v>
      </c>
      <c r="BC44" s="31" t="s">
        <v>11</v>
      </c>
      <c r="BD44" s="31" t="s">
        <v>22</v>
      </c>
      <c r="BE44" s="31" t="s">
        <v>18</v>
      </c>
      <c r="BF44" s="31" t="s">
        <v>11</v>
      </c>
      <c r="BG44" s="31" t="s">
        <v>11</v>
      </c>
      <c r="BH44" s="31" t="s">
        <v>18</v>
      </c>
      <c r="BI44" s="31" t="s">
        <v>22</v>
      </c>
      <c r="BJ44" s="31" t="s">
        <v>18</v>
      </c>
      <c r="BK44" s="31" t="s">
        <v>17</v>
      </c>
      <c r="BL44" s="31" t="s">
        <v>17</v>
      </c>
      <c r="BM44" s="31" t="s">
        <v>17</v>
      </c>
      <c r="BN44" s="31" t="s">
        <v>17</v>
      </c>
      <c r="BO44" s="31" t="s">
        <v>17</v>
      </c>
      <c r="BP44" s="31" t="s">
        <v>17</v>
      </c>
      <c r="BQ44" s="31" t="s">
        <v>17</v>
      </c>
      <c r="BR44" s="31" t="s">
        <v>17</v>
      </c>
      <c r="BS44" s="31" t="s">
        <v>17</v>
      </c>
    </row>
    <row r="45" spans="1:71" x14ac:dyDescent="0.3">
      <c r="A45" s="2">
        <f t="shared" si="22"/>
        <v>126</v>
      </c>
      <c r="B45" s="12">
        <f t="shared" si="22"/>
        <v>43</v>
      </c>
      <c r="C45" s="26">
        <v>44687.708333333336</v>
      </c>
      <c r="D45" s="4">
        <v>24</v>
      </c>
      <c r="E45" s="4">
        <f t="shared" si="20"/>
        <v>1008</v>
      </c>
      <c r="F45" s="5">
        <f t="shared" si="21"/>
        <v>42</v>
      </c>
      <c r="G45">
        <f t="shared" si="16"/>
        <v>0</v>
      </c>
      <c r="H45">
        <f t="shared" si="4"/>
        <v>0</v>
      </c>
      <c r="I45">
        <f t="shared" si="5"/>
        <v>0</v>
      </c>
      <c r="J45">
        <f t="shared" si="6"/>
        <v>0</v>
      </c>
      <c r="K45">
        <f t="shared" si="7"/>
        <v>22</v>
      </c>
      <c r="L45">
        <f t="shared" si="18"/>
        <v>1</v>
      </c>
      <c r="M45">
        <f t="shared" si="19"/>
        <v>0</v>
      </c>
      <c r="N45" s="30"/>
      <c r="O45">
        <f t="shared" si="8"/>
        <v>9</v>
      </c>
      <c r="P45">
        <f t="shared" si="9"/>
        <v>11</v>
      </c>
      <c r="Q45">
        <f t="shared" si="10"/>
        <v>7</v>
      </c>
      <c r="R45">
        <f t="shared" si="11"/>
        <v>0</v>
      </c>
      <c r="S45">
        <f t="shared" si="12"/>
        <v>0</v>
      </c>
      <c r="T45">
        <f t="shared" si="13"/>
        <v>0</v>
      </c>
      <c r="U45">
        <f t="shared" si="14"/>
        <v>0</v>
      </c>
      <c r="V45" s="31" t="s">
        <v>11</v>
      </c>
      <c r="W45" s="62" t="s">
        <v>13</v>
      </c>
      <c r="X45" s="31" t="s">
        <v>11</v>
      </c>
      <c r="Y45" s="31" t="s">
        <v>18</v>
      </c>
      <c r="Z45" s="31" t="s">
        <v>22</v>
      </c>
      <c r="AA45" s="31" t="s">
        <v>11</v>
      </c>
      <c r="AB45" s="31" t="s">
        <v>11</v>
      </c>
      <c r="AC45" s="31" t="s">
        <v>18</v>
      </c>
      <c r="AD45" s="31" t="s">
        <v>11</v>
      </c>
      <c r="AE45" s="31" t="s">
        <v>11</v>
      </c>
      <c r="AF45" s="31" t="s">
        <v>11</v>
      </c>
      <c r="AG45" s="31" t="s">
        <v>18</v>
      </c>
      <c r="AH45" s="31" t="s">
        <v>11</v>
      </c>
      <c r="AI45" s="31" t="s">
        <v>11</v>
      </c>
      <c r="AJ45" s="31" t="s">
        <v>11</v>
      </c>
      <c r="AK45" s="31" t="s">
        <v>11</v>
      </c>
      <c r="AL45" s="31" t="s">
        <v>11</v>
      </c>
      <c r="AM45" s="31" t="s">
        <v>18</v>
      </c>
      <c r="AN45" s="31" t="s">
        <v>11</v>
      </c>
      <c r="AO45" s="31" t="s">
        <v>18</v>
      </c>
      <c r="AP45" s="31" t="s">
        <v>22</v>
      </c>
      <c r="AQ45" s="31" t="s">
        <v>11</v>
      </c>
      <c r="AR45" s="31" t="s">
        <v>11</v>
      </c>
      <c r="AS45" s="31" t="s">
        <v>11</v>
      </c>
      <c r="AT45" s="31" t="s">
        <v>11</v>
      </c>
      <c r="AU45" s="31" t="s">
        <v>11</v>
      </c>
      <c r="AV45" s="31" t="s">
        <v>18</v>
      </c>
      <c r="AW45" s="31" t="s">
        <v>22</v>
      </c>
      <c r="AX45" s="31" t="s">
        <v>11</v>
      </c>
      <c r="AY45" s="31" t="s">
        <v>18</v>
      </c>
      <c r="AZ45" s="31" t="s">
        <v>22</v>
      </c>
      <c r="BA45" s="31" t="s">
        <v>18</v>
      </c>
      <c r="BB45" s="31" t="s">
        <v>22</v>
      </c>
      <c r="BC45" s="31" t="s">
        <v>11</v>
      </c>
      <c r="BD45" s="31" t="s">
        <v>22</v>
      </c>
      <c r="BE45" s="31" t="s">
        <v>18</v>
      </c>
      <c r="BF45" s="31" t="s">
        <v>11</v>
      </c>
      <c r="BG45" s="31" t="s">
        <v>11</v>
      </c>
      <c r="BH45" s="31" t="s">
        <v>18</v>
      </c>
      <c r="BI45" s="31" t="s">
        <v>22</v>
      </c>
      <c r="BJ45" s="31" t="s">
        <v>18</v>
      </c>
      <c r="BK45" s="31" t="s">
        <v>17</v>
      </c>
      <c r="BL45" s="31" t="s">
        <v>17</v>
      </c>
      <c r="BM45" s="31" t="s">
        <v>17</v>
      </c>
      <c r="BN45" s="31" t="s">
        <v>17</v>
      </c>
      <c r="BO45" s="31" t="s">
        <v>17</v>
      </c>
      <c r="BP45" s="31" t="s">
        <v>17</v>
      </c>
      <c r="BQ45" s="31" t="s">
        <v>17</v>
      </c>
      <c r="BR45" s="31" t="s">
        <v>17</v>
      </c>
      <c r="BS45" s="31" t="s">
        <v>17</v>
      </c>
    </row>
    <row r="46" spans="1:71" x14ac:dyDescent="0.3">
      <c r="A46" s="2">
        <f t="shared" si="22"/>
        <v>127</v>
      </c>
      <c r="B46" s="12">
        <f t="shared" si="22"/>
        <v>44</v>
      </c>
      <c r="C46" s="26">
        <v>44688.708333333336</v>
      </c>
      <c r="D46" s="4">
        <v>24</v>
      </c>
      <c r="E46" s="4">
        <f t="shared" si="20"/>
        <v>1032</v>
      </c>
      <c r="F46" s="5">
        <f t="shared" si="21"/>
        <v>43</v>
      </c>
      <c r="G46">
        <f t="shared" si="16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7"/>
        <v>22</v>
      </c>
      <c r="L46">
        <f t="shared" si="18"/>
        <v>1</v>
      </c>
      <c r="M46">
        <f t="shared" si="19"/>
        <v>0</v>
      </c>
      <c r="N46" s="30"/>
      <c r="O46">
        <f t="shared" si="8"/>
        <v>9</v>
      </c>
      <c r="P46">
        <f t="shared" si="9"/>
        <v>11</v>
      </c>
      <c r="Q46">
        <f t="shared" si="10"/>
        <v>7</v>
      </c>
      <c r="R46">
        <f t="shared" si="11"/>
        <v>0</v>
      </c>
      <c r="S46">
        <f t="shared" si="12"/>
        <v>0</v>
      </c>
      <c r="T46">
        <f t="shared" si="13"/>
        <v>0</v>
      </c>
      <c r="U46">
        <f t="shared" si="14"/>
        <v>0</v>
      </c>
      <c r="V46" s="31" t="s">
        <v>11</v>
      </c>
      <c r="W46" s="62" t="s">
        <v>13</v>
      </c>
      <c r="X46" s="31" t="s">
        <v>11</v>
      </c>
      <c r="Y46" s="31" t="s">
        <v>18</v>
      </c>
      <c r="Z46" s="31" t="s">
        <v>22</v>
      </c>
      <c r="AA46" s="31" t="s">
        <v>11</v>
      </c>
      <c r="AB46" s="31" t="s">
        <v>11</v>
      </c>
      <c r="AC46" s="31" t="s">
        <v>18</v>
      </c>
      <c r="AD46" s="31" t="s">
        <v>11</v>
      </c>
      <c r="AE46" s="31" t="s">
        <v>11</v>
      </c>
      <c r="AF46" s="31" t="s">
        <v>11</v>
      </c>
      <c r="AG46" s="31" t="s">
        <v>18</v>
      </c>
      <c r="AH46" s="31" t="s">
        <v>11</v>
      </c>
      <c r="AI46" s="31" t="s">
        <v>11</v>
      </c>
      <c r="AJ46" s="31" t="s">
        <v>11</v>
      </c>
      <c r="AK46" s="31" t="s">
        <v>11</v>
      </c>
      <c r="AL46" s="31" t="s">
        <v>11</v>
      </c>
      <c r="AM46" s="31" t="s">
        <v>18</v>
      </c>
      <c r="AN46" s="31" t="s">
        <v>11</v>
      </c>
      <c r="AO46" s="31" t="s">
        <v>18</v>
      </c>
      <c r="AP46" s="31" t="s">
        <v>22</v>
      </c>
      <c r="AQ46" s="31" t="s">
        <v>11</v>
      </c>
      <c r="AR46" s="31" t="s">
        <v>11</v>
      </c>
      <c r="AS46" s="31" t="s">
        <v>11</v>
      </c>
      <c r="AT46" s="31" t="s">
        <v>11</v>
      </c>
      <c r="AU46" s="31" t="s">
        <v>11</v>
      </c>
      <c r="AV46" s="31" t="s">
        <v>18</v>
      </c>
      <c r="AW46" s="31" t="s">
        <v>22</v>
      </c>
      <c r="AX46" s="31" t="s">
        <v>11</v>
      </c>
      <c r="AY46" s="31" t="s">
        <v>18</v>
      </c>
      <c r="AZ46" s="31" t="s">
        <v>22</v>
      </c>
      <c r="BA46" s="31" t="s">
        <v>18</v>
      </c>
      <c r="BB46" s="31" t="s">
        <v>22</v>
      </c>
      <c r="BC46" s="31" t="s">
        <v>11</v>
      </c>
      <c r="BD46" s="31" t="s">
        <v>22</v>
      </c>
      <c r="BE46" s="31" t="s">
        <v>18</v>
      </c>
      <c r="BF46" s="31" t="s">
        <v>11</v>
      </c>
      <c r="BG46" s="31" t="s">
        <v>11</v>
      </c>
      <c r="BH46" s="31" t="s">
        <v>18</v>
      </c>
      <c r="BI46" s="31" t="s">
        <v>22</v>
      </c>
      <c r="BJ46" s="31" t="s">
        <v>18</v>
      </c>
      <c r="BK46" s="31" t="s">
        <v>17</v>
      </c>
      <c r="BL46" s="31" t="s">
        <v>17</v>
      </c>
      <c r="BM46" s="31" t="s">
        <v>17</v>
      </c>
      <c r="BN46" s="31" t="s">
        <v>17</v>
      </c>
      <c r="BO46" s="31" t="s">
        <v>17</v>
      </c>
      <c r="BP46" s="31" t="s">
        <v>17</v>
      </c>
      <c r="BQ46" s="31" t="s">
        <v>17</v>
      </c>
      <c r="BR46" s="31" t="s">
        <v>17</v>
      </c>
      <c r="BS46" s="31" t="s">
        <v>17</v>
      </c>
    </row>
    <row r="47" spans="1:71" x14ac:dyDescent="0.3">
      <c r="A47" s="2">
        <f t="shared" si="22"/>
        <v>128</v>
      </c>
      <c r="B47" s="12">
        <f t="shared" si="22"/>
        <v>45</v>
      </c>
      <c r="C47" s="26">
        <v>44689.708333333336</v>
      </c>
      <c r="D47" s="4">
        <v>24</v>
      </c>
      <c r="E47" s="4">
        <f t="shared" si="20"/>
        <v>1056</v>
      </c>
      <c r="F47" s="5">
        <f t="shared" si="21"/>
        <v>44</v>
      </c>
      <c r="G47">
        <f t="shared" si="16"/>
        <v>0</v>
      </c>
      <c r="H47">
        <f t="shared" si="4"/>
        <v>0</v>
      </c>
      <c r="I47">
        <f t="shared" si="5"/>
        <v>0</v>
      </c>
      <c r="J47">
        <f t="shared" si="6"/>
        <v>0</v>
      </c>
      <c r="K47">
        <f t="shared" si="7"/>
        <v>22</v>
      </c>
      <c r="L47">
        <f t="shared" si="18"/>
        <v>1</v>
      </c>
      <c r="M47">
        <f t="shared" si="19"/>
        <v>0</v>
      </c>
      <c r="N47" s="30"/>
      <c r="O47">
        <f t="shared" si="8"/>
        <v>9</v>
      </c>
      <c r="P47">
        <f t="shared" si="9"/>
        <v>11</v>
      </c>
      <c r="Q47">
        <f t="shared" si="10"/>
        <v>7</v>
      </c>
      <c r="R47">
        <f t="shared" si="11"/>
        <v>0</v>
      </c>
      <c r="S47">
        <f t="shared" si="12"/>
        <v>0</v>
      </c>
      <c r="T47">
        <f t="shared" si="13"/>
        <v>0</v>
      </c>
      <c r="U47">
        <f t="shared" si="14"/>
        <v>0</v>
      </c>
      <c r="V47" s="31" t="s">
        <v>11</v>
      </c>
      <c r="W47" s="62" t="s">
        <v>13</v>
      </c>
      <c r="X47" s="31" t="s">
        <v>11</v>
      </c>
      <c r="Y47" s="31" t="s">
        <v>18</v>
      </c>
      <c r="Z47" s="31" t="s">
        <v>22</v>
      </c>
      <c r="AA47" s="31" t="s">
        <v>11</v>
      </c>
      <c r="AB47" s="31" t="s">
        <v>11</v>
      </c>
      <c r="AC47" s="31" t="s">
        <v>18</v>
      </c>
      <c r="AD47" s="31" t="s">
        <v>11</v>
      </c>
      <c r="AE47" s="31" t="s">
        <v>11</v>
      </c>
      <c r="AF47" s="31" t="s">
        <v>11</v>
      </c>
      <c r="AG47" s="31" t="s">
        <v>18</v>
      </c>
      <c r="AH47" s="31" t="s">
        <v>11</v>
      </c>
      <c r="AI47" s="31" t="s">
        <v>11</v>
      </c>
      <c r="AJ47" s="31" t="s">
        <v>11</v>
      </c>
      <c r="AK47" s="31" t="s">
        <v>11</v>
      </c>
      <c r="AL47" s="31" t="s">
        <v>11</v>
      </c>
      <c r="AM47" s="31" t="s">
        <v>18</v>
      </c>
      <c r="AN47" s="31" t="s">
        <v>11</v>
      </c>
      <c r="AO47" s="31" t="s">
        <v>18</v>
      </c>
      <c r="AP47" s="31" t="s">
        <v>22</v>
      </c>
      <c r="AQ47" s="31" t="s">
        <v>11</v>
      </c>
      <c r="AR47" s="31" t="s">
        <v>11</v>
      </c>
      <c r="AS47" s="31" t="s">
        <v>11</v>
      </c>
      <c r="AT47" s="31" t="s">
        <v>11</v>
      </c>
      <c r="AU47" s="31" t="s">
        <v>11</v>
      </c>
      <c r="AV47" s="31" t="s">
        <v>18</v>
      </c>
      <c r="AW47" s="31" t="s">
        <v>22</v>
      </c>
      <c r="AX47" s="31" t="s">
        <v>11</v>
      </c>
      <c r="AY47" s="31" t="s">
        <v>18</v>
      </c>
      <c r="AZ47" s="31" t="s">
        <v>22</v>
      </c>
      <c r="BA47" s="31" t="s">
        <v>18</v>
      </c>
      <c r="BB47" s="31" t="s">
        <v>22</v>
      </c>
      <c r="BC47" s="31" t="s">
        <v>11</v>
      </c>
      <c r="BD47" s="31" t="s">
        <v>22</v>
      </c>
      <c r="BE47" s="31" t="s">
        <v>18</v>
      </c>
      <c r="BF47" s="31" t="s">
        <v>11</v>
      </c>
      <c r="BG47" s="31" t="s">
        <v>11</v>
      </c>
      <c r="BH47" s="31" t="s">
        <v>18</v>
      </c>
      <c r="BI47" s="31" t="s">
        <v>22</v>
      </c>
      <c r="BJ47" s="31" t="s">
        <v>18</v>
      </c>
      <c r="BK47" s="31" t="s">
        <v>17</v>
      </c>
      <c r="BL47" s="31" t="s">
        <v>17</v>
      </c>
      <c r="BM47" s="31" t="s">
        <v>17</v>
      </c>
      <c r="BN47" s="31" t="s">
        <v>17</v>
      </c>
      <c r="BO47" s="31" t="s">
        <v>17</v>
      </c>
      <c r="BP47" s="31" t="s">
        <v>17</v>
      </c>
      <c r="BQ47" s="31" t="s">
        <v>17</v>
      </c>
      <c r="BR47" s="31" t="s">
        <v>17</v>
      </c>
      <c r="BS47" s="31" t="s">
        <v>17</v>
      </c>
    </row>
    <row r="48" spans="1:71" x14ac:dyDescent="0.3">
      <c r="A48" s="2">
        <f t="shared" si="22"/>
        <v>129</v>
      </c>
      <c r="B48" s="12">
        <f t="shared" si="22"/>
        <v>46</v>
      </c>
      <c r="C48" s="26">
        <v>44690.708333333336</v>
      </c>
      <c r="D48" s="4">
        <v>24</v>
      </c>
      <c r="E48" s="4">
        <f t="shared" si="20"/>
        <v>1080</v>
      </c>
      <c r="F48" s="5">
        <f t="shared" si="21"/>
        <v>45</v>
      </c>
      <c r="G48">
        <f t="shared" si="16"/>
        <v>0</v>
      </c>
      <c r="H48">
        <f t="shared" si="4"/>
        <v>0</v>
      </c>
      <c r="I48">
        <f t="shared" si="5"/>
        <v>0</v>
      </c>
      <c r="J48">
        <f t="shared" si="6"/>
        <v>0</v>
      </c>
      <c r="K48">
        <f>COUNTIF($V48:$BS48, "P")</f>
        <v>20</v>
      </c>
      <c r="L48">
        <f t="shared" si="18"/>
        <v>2</v>
      </c>
      <c r="M48">
        <f t="shared" si="19"/>
        <v>1</v>
      </c>
      <c r="N48" s="30"/>
      <c r="O48">
        <f t="shared" si="8"/>
        <v>9</v>
      </c>
      <c r="P48">
        <f t="shared" si="9"/>
        <v>11</v>
      </c>
      <c r="Q48">
        <f t="shared" si="10"/>
        <v>7</v>
      </c>
      <c r="R48">
        <f t="shared" si="11"/>
        <v>0</v>
      </c>
      <c r="S48">
        <f t="shared" si="12"/>
        <v>0</v>
      </c>
      <c r="T48">
        <f t="shared" si="13"/>
        <v>0</v>
      </c>
      <c r="U48">
        <f t="shared" si="14"/>
        <v>0</v>
      </c>
      <c r="V48" s="31" t="s">
        <v>11</v>
      </c>
      <c r="W48" s="62" t="s">
        <v>13</v>
      </c>
      <c r="X48" s="31" t="s">
        <v>11</v>
      </c>
      <c r="Y48" s="31" t="s">
        <v>18</v>
      </c>
      <c r="Z48" s="31" t="s">
        <v>22</v>
      </c>
      <c r="AA48" s="31" t="s">
        <v>11</v>
      </c>
      <c r="AB48" s="31" t="s">
        <v>11</v>
      </c>
      <c r="AC48" s="31" t="s">
        <v>18</v>
      </c>
      <c r="AD48" s="31" t="s">
        <v>11</v>
      </c>
      <c r="AE48" s="31" t="s">
        <v>11</v>
      </c>
      <c r="AF48" s="67" t="s">
        <v>14</v>
      </c>
      <c r="AG48" s="31" t="s">
        <v>18</v>
      </c>
      <c r="AH48" s="31" t="s">
        <v>11</v>
      </c>
      <c r="AI48" s="31" t="s">
        <v>11</v>
      </c>
      <c r="AJ48" s="62" t="s">
        <v>13</v>
      </c>
      <c r="AK48" s="31" t="s">
        <v>11</v>
      </c>
      <c r="AL48" s="31" t="s">
        <v>11</v>
      </c>
      <c r="AM48" s="31" t="s">
        <v>18</v>
      </c>
      <c r="AN48" s="31" t="s">
        <v>11</v>
      </c>
      <c r="AO48" s="31" t="s">
        <v>18</v>
      </c>
      <c r="AP48" s="31" t="s">
        <v>22</v>
      </c>
      <c r="AQ48" s="31" t="s">
        <v>11</v>
      </c>
      <c r="AR48" s="31" t="s">
        <v>11</v>
      </c>
      <c r="AS48" s="31" t="s">
        <v>11</v>
      </c>
      <c r="AT48" s="31" t="s">
        <v>11</v>
      </c>
      <c r="AU48" s="31" t="s">
        <v>11</v>
      </c>
      <c r="AV48" s="31" t="s">
        <v>18</v>
      </c>
      <c r="AW48" s="31" t="s">
        <v>22</v>
      </c>
      <c r="AX48" s="31" t="s">
        <v>11</v>
      </c>
      <c r="AY48" s="31" t="s">
        <v>18</v>
      </c>
      <c r="AZ48" s="31" t="s">
        <v>22</v>
      </c>
      <c r="BA48" s="31" t="s">
        <v>18</v>
      </c>
      <c r="BB48" s="31" t="s">
        <v>22</v>
      </c>
      <c r="BC48" s="31" t="s">
        <v>11</v>
      </c>
      <c r="BD48" s="31" t="s">
        <v>22</v>
      </c>
      <c r="BE48" s="31" t="s">
        <v>18</v>
      </c>
      <c r="BF48" s="31" t="s">
        <v>11</v>
      </c>
      <c r="BG48" s="31" t="s">
        <v>11</v>
      </c>
      <c r="BH48" s="31" t="s">
        <v>18</v>
      </c>
      <c r="BI48" s="31" t="s">
        <v>22</v>
      </c>
      <c r="BJ48" s="31" t="s">
        <v>18</v>
      </c>
      <c r="BK48" s="31" t="s">
        <v>17</v>
      </c>
      <c r="BL48" s="31" t="s">
        <v>17</v>
      </c>
      <c r="BM48" s="31" t="s">
        <v>17</v>
      </c>
      <c r="BN48" s="31" t="s">
        <v>17</v>
      </c>
      <c r="BO48" s="31" t="s">
        <v>17</v>
      </c>
      <c r="BP48" s="31" t="s">
        <v>17</v>
      </c>
      <c r="BQ48" s="31" t="s">
        <v>17</v>
      </c>
      <c r="BR48" s="31" t="s">
        <v>17</v>
      </c>
      <c r="BS48" s="31" t="s">
        <v>17</v>
      </c>
    </row>
    <row r="49" spans="1:71" x14ac:dyDescent="0.3">
      <c r="A49" s="2">
        <f t="shared" si="22"/>
        <v>130</v>
      </c>
      <c r="B49" s="12">
        <f t="shared" si="22"/>
        <v>47</v>
      </c>
      <c r="C49" s="26">
        <v>44691.708333333336</v>
      </c>
      <c r="D49" s="4">
        <v>24</v>
      </c>
      <c r="E49" s="4">
        <f t="shared" si="20"/>
        <v>1104</v>
      </c>
      <c r="F49" s="5">
        <f t="shared" si="21"/>
        <v>46</v>
      </c>
      <c r="G49">
        <f t="shared" si="16"/>
        <v>0</v>
      </c>
      <c r="H49">
        <f t="shared" si="4"/>
        <v>0</v>
      </c>
      <c r="I49">
        <f t="shared" si="5"/>
        <v>0</v>
      </c>
      <c r="J49">
        <f t="shared" si="6"/>
        <v>0</v>
      </c>
      <c r="K49">
        <f t="shared" si="7"/>
        <v>20</v>
      </c>
      <c r="L49">
        <f t="shared" si="18"/>
        <v>2</v>
      </c>
      <c r="M49">
        <f t="shared" si="19"/>
        <v>1</v>
      </c>
      <c r="N49" s="30"/>
      <c r="O49">
        <f t="shared" si="8"/>
        <v>9</v>
      </c>
      <c r="P49">
        <f t="shared" si="9"/>
        <v>11</v>
      </c>
      <c r="Q49">
        <f t="shared" si="10"/>
        <v>7</v>
      </c>
      <c r="R49">
        <f t="shared" si="11"/>
        <v>0</v>
      </c>
      <c r="S49">
        <f t="shared" si="12"/>
        <v>0</v>
      </c>
      <c r="T49">
        <f t="shared" si="13"/>
        <v>0</v>
      </c>
      <c r="U49">
        <f t="shared" si="14"/>
        <v>0</v>
      </c>
      <c r="V49" s="31" t="s">
        <v>11</v>
      </c>
      <c r="W49" s="62" t="s">
        <v>13</v>
      </c>
      <c r="X49" s="31" t="s">
        <v>11</v>
      </c>
      <c r="Y49" s="31" t="s">
        <v>18</v>
      </c>
      <c r="Z49" s="31" t="s">
        <v>22</v>
      </c>
      <c r="AA49" s="31" t="s">
        <v>11</v>
      </c>
      <c r="AB49" s="31" t="s">
        <v>11</v>
      </c>
      <c r="AC49" s="31" t="s">
        <v>18</v>
      </c>
      <c r="AD49" s="31" t="s">
        <v>11</v>
      </c>
      <c r="AE49" s="31" t="s">
        <v>11</v>
      </c>
      <c r="AF49" s="67" t="s">
        <v>14</v>
      </c>
      <c r="AG49" s="31" t="s">
        <v>18</v>
      </c>
      <c r="AH49" s="31" t="s">
        <v>11</v>
      </c>
      <c r="AI49" s="31" t="s">
        <v>11</v>
      </c>
      <c r="AJ49" s="62" t="s">
        <v>13</v>
      </c>
      <c r="AK49" s="31" t="s">
        <v>11</v>
      </c>
      <c r="AL49" s="31" t="s">
        <v>11</v>
      </c>
      <c r="AM49" s="31" t="s">
        <v>18</v>
      </c>
      <c r="AN49" s="31" t="s">
        <v>11</v>
      </c>
      <c r="AO49" s="31" t="s">
        <v>18</v>
      </c>
      <c r="AP49" s="31" t="s">
        <v>22</v>
      </c>
      <c r="AQ49" s="31" t="s">
        <v>11</v>
      </c>
      <c r="AR49" s="31" t="s">
        <v>11</v>
      </c>
      <c r="AS49" s="31" t="s">
        <v>11</v>
      </c>
      <c r="AT49" s="31" t="s">
        <v>11</v>
      </c>
      <c r="AU49" s="31" t="s">
        <v>11</v>
      </c>
      <c r="AV49" s="31" t="s">
        <v>18</v>
      </c>
      <c r="AW49" s="31" t="s">
        <v>22</v>
      </c>
      <c r="AX49" s="31" t="s">
        <v>11</v>
      </c>
      <c r="AY49" s="31" t="s">
        <v>18</v>
      </c>
      <c r="AZ49" s="31" t="s">
        <v>22</v>
      </c>
      <c r="BA49" s="31" t="s">
        <v>18</v>
      </c>
      <c r="BB49" s="31" t="s">
        <v>22</v>
      </c>
      <c r="BC49" s="31" t="s">
        <v>11</v>
      </c>
      <c r="BD49" s="31" t="s">
        <v>22</v>
      </c>
      <c r="BE49" s="31" t="s">
        <v>18</v>
      </c>
      <c r="BF49" s="31" t="s">
        <v>11</v>
      </c>
      <c r="BG49" s="31" t="s">
        <v>11</v>
      </c>
      <c r="BH49" s="31" t="s">
        <v>18</v>
      </c>
      <c r="BI49" s="31" t="s">
        <v>22</v>
      </c>
      <c r="BJ49" s="31" t="s">
        <v>18</v>
      </c>
      <c r="BK49" s="31" t="s">
        <v>17</v>
      </c>
      <c r="BL49" s="31" t="s">
        <v>17</v>
      </c>
      <c r="BM49" s="31" t="s">
        <v>17</v>
      </c>
      <c r="BN49" s="31" t="s">
        <v>17</v>
      </c>
      <c r="BO49" s="31" t="s">
        <v>17</v>
      </c>
      <c r="BP49" s="31" t="s">
        <v>17</v>
      </c>
      <c r="BQ49" s="31" t="s">
        <v>17</v>
      </c>
      <c r="BR49" s="31" t="s">
        <v>17</v>
      </c>
      <c r="BS49" s="31" t="s">
        <v>17</v>
      </c>
    </row>
    <row r="50" spans="1:71" x14ac:dyDescent="0.3">
      <c r="A50" s="2">
        <f t="shared" si="22"/>
        <v>131</v>
      </c>
      <c r="B50" s="12">
        <f t="shared" si="22"/>
        <v>48</v>
      </c>
      <c r="C50" s="26">
        <v>44692.708333333336</v>
      </c>
      <c r="D50" s="4">
        <v>24</v>
      </c>
      <c r="E50" s="4">
        <f t="shared" si="20"/>
        <v>1128</v>
      </c>
      <c r="F50" s="5">
        <f t="shared" si="21"/>
        <v>47</v>
      </c>
      <c r="G50">
        <f t="shared" si="16"/>
        <v>0</v>
      </c>
      <c r="H50">
        <f t="shared" si="4"/>
        <v>0</v>
      </c>
      <c r="I50">
        <f t="shared" si="5"/>
        <v>0</v>
      </c>
      <c r="J50">
        <f t="shared" si="6"/>
        <v>0</v>
      </c>
      <c r="K50">
        <f t="shared" si="7"/>
        <v>20</v>
      </c>
      <c r="L50">
        <f t="shared" si="18"/>
        <v>2</v>
      </c>
      <c r="M50">
        <f t="shared" si="19"/>
        <v>1</v>
      </c>
      <c r="N50" s="30"/>
      <c r="O50">
        <f t="shared" si="8"/>
        <v>9</v>
      </c>
      <c r="P50">
        <f t="shared" si="9"/>
        <v>11</v>
      </c>
      <c r="Q50">
        <f t="shared" si="10"/>
        <v>7</v>
      </c>
      <c r="R50">
        <f t="shared" si="11"/>
        <v>0</v>
      </c>
      <c r="S50">
        <f t="shared" si="12"/>
        <v>0</v>
      </c>
      <c r="T50">
        <f t="shared" si="13"/>
        <v>0</v>
      </c>
      <c r="U50">
        <f t="shared" si="14"/>
        <v>0</v>
      </c>
      <c r="V50" s="31" t="s">
        <v>11</v>
      </c>
      <c r="W50" s="62" t="s">
        <v>13</v>
      </c>
      <c r="X50" s="31" t="s">
        <v>11</v>
      </c>
      <c r="Y50" s="31" t="s">
        <v>18</v>
      </c>
      <c r="Z50" s="31" t="s">
        <v>22</v>
      </c>
      <c r="AA50" s="31" t="s">
        <v>11</v>
      </c>
      <c r="AB50" s="31" t="s">
        <v>11</v>
      </c>
      <c r="AC50" s="31" t="s">
        <v>18</v>
      </c>
      <c r="AD50" s="31" t="s">
        <v>11</v>
      </c>
      <c r="AE50" s="31" t="s">
        <v>11</v>
      </c>
      <c r="AF50" s="67" t="s">
        <v>14</v>
      </c>
      <c r="AG50" s="31" t="s">
        <v>18</v>
      </c>
      <c r="AH50" s="31" t="s">
        <v>11</v>
      </c>
      <c r="AI50" s="31" t="s">
        <v>11</v>
      </c>
      <c r="AJ50" s="62" t="s">
        <v>13</v>
      </c>
      <c r="AK50" s="31" t="s">
        <v>11</v>
      </c>
      <c r="AL50" s="31" t="s">
        <v>11</v>
      </c>
      <c r="AM50" s="31" t="s">
        <v>18</v>
      </c>
      <c r="AN50" s="31" t="s">
        <v>11</v>
      </c>
      <c r="AO50" s="31" t="s">
        <v>18</v>
      </c>
      <c r="AP50" s="31" t="s">
        <v>22</v>
      </c>
      <c r="AQ50" s="31" t="s">
        <v>11</v>
      </c>
      <c r="AR50" s="31" t="s">
        <v>11</v>
      </c>
      <c r="AS50" s="31" t="s">
        <v>11</v>
      </c>
      <c r="AT50" s="31" t="s">
        <v>11</v>
      </c>
      <c r="AU50" s="31" t="s">
        <v>11</v>
      </c>
      <c r="AV50" s="31" t="s">
        <v>18</v>
      </c>
      <c r="AW50" s="31" t="s">
        <v>22</v>
      </c>
      <c r="AX50" s="31" t="s">
        <v>11</v>
      </c>
      <c r="AY50" s="31" t="s">
        <v>18</v>
      </c>
      <c r="AZ50" s="31" t="s">
        <v>22</v>
      </c>
      <c r="BA50" s="31" t="s">
        <v>18</v>
      </c>
      <c r="BB50" s="31" t="s">
        <v>22</v>
      </c>
      <c r="BC50" s="31" t="s">
        <v>11</v>
      </c>
      <c r="BD50" s="31" t="s">
        <v>22</v>
      </c>
      <c r="BE50" s="31" t="s">
        <v>18</v>
      </c>
      <c r="BF50" s="31" t="s">
        <v>11</v>
      </c>
      <c r="BG50" s="31" t="s">
        <v>11</v>
      </c>
      <c r="BH50" s="31" t="s">
        <v>18</v>
      </c>
      <c r="BI50" s="31" t="s">
        <v>22</v>
      </c>
      <c r="BJ50" s="31" t="s">
        <v>18</v>
      </c>
      <c r="BK50" s="31" t="s">
        <v>17</v>
      </c>
      <c r="BL50" s="31" t="s">
        <v>17</v>
      </c>
      <c r="BM50" s="31" t="s">
        <v>17</v>
      </c>
      <c r="BN50" s="31" t="s">
        <v>17</v>
      </c>
      <c r="BO50" s="31" t="s">
        <v>17</v>
      </c>
      <c r="BP50" s="31" t="s">
        <v>17</v>
      </c>
      <c r="BQ50" s="31" t="s">
        <v>17</v>
      </c>
      <c r="BR50" s="31" t="s">
        <v>17</v>
      </c>
      <c r="BS50" s="31" t="s">
        <v>17</v>
      </c>
    </row>
    <row r="51" spans="1:71" x14ac:dyDescent="0.3">
      <c r="A51" s="2">
        <f t="shared" si="22"/>
        <v>132</v>
      </c>
      <c r="B51" s="12">
        <f t="shared" si="22"/>
        <v>49</v>
      </c>
      <c r="C51" s="26">
        <v>44693.708333333336</v>
      </c>
      <c r="D51" s="4">
        <v>24</v>
      </c>
      <c r="E51" s="4">
        <f t="shared" si="20"/>
        <v>1152</v>
      </c>
      <c r="F51" s="5">
        <f t="shared" si="21"/>
        <v>48</v>
      </c>
      <c r="G51">
        <f t="shared" si="16"/>
        <v>0</v>
      </c>
      <c r="H51">
        <f t="shared" si="4"/>
        <v>0</v>
      </c>
      <c r="I51">
        <f t="shared" si="5"/>
        <v>0</v>
      </c>
      <c r="J51">
        <f t="shared" si="6"/>
        <v>0</v>
      </c>
      <c r="K51">
        <f t="shared" si="7"/>
        <v>20</v>
      </c>
      <c r="L51">
        <f t="shared" si="18"/>
        <v>2</v>
      </c>
      <c r="M51">
        <f t="shared" si="19"/>
        <v>1</v>
      </c>
      <c r="N51" s="30"/>
      <c r="O51">
        <f t="shared" si="8"/>
        <v>9</v>
      </c>
      <c r="P51">
        <f t="shared" si="9"/>
        <v>11</v>
      </c>
      <c r="Q51">
        <f t="shared" si="10"/>
        <v>7</v>
      </c>
      <c r="R51">
        <f t="shared" si="11"/>
        <v>0</v>
      </c>
      <c r="S51">
        <f t="shared" si="12"/>
        <v>0</v>
      </c>
      <c r="T51">
        <f t="shared" si="13"/>
        <v>0</v>
      </c>
      <c r="U51">
        <f t="shared" si="14"/>
        <v>0</v>
      </c>
      <c r="V51" s="31" t="s">
        <v>11</v>
      </c>
      <c r="W51" s="62" t="s">
        <v>13</v>
      </c>
      <c r="X51" s="31" t="s">
        <v>11</v>
      </c>
      <c r="Y51" s="31" t="s">
        <v>18</v>
      </c>
      <c r="Z51" s="31" t="s">
        <v>22</v>
      </c>
      <c r="AA51" s="31" t="s">
        <v>11</v>
      </c>
      <c r="AB51" s="31" t="s">
        <v>11</v>
      </c>
      <c r="AC51" s="31" t="s">
        <v>18</v>
      </c>
      <c r="AD51" s="31" t="s">
        <v>11</v>
      </c>
      <c r="AE51" s="31" t="s">
        <v>11</v>
      </c>
      <c r="AF51" s="67" t="s">
        <v>14</v>
      </c>
      <c r="AG51" s="31" t="s">
        <v>18</v>
      </c>
      <c r="AH51" s="31" t="s">
        <v>11</v>
      </c>
      <c r="AI51" s="31" t="s">
        <v>11</v>
      </c>
      <c r="AJ51" s="62" t="s">
        <v>13</v>
      </c>
      <c r="AK51" s="31" t="s">
        <v>11</v>
      </c>
      <c r="AL51" s="31" t="s">
        <v>11</v>
      </c>
      <c r="AM51" s="31" t="s">
        <v>18</v>
      </c>
      <c r="AN51" s="31" t="s">
        <v>11</v>
      </c>
      <c r="AO51" s="31" t="s">
        <v>18</v>
      </c>
      <c r="AP51" s="31" t="s">
        <v>22</v>
      </c>
      <c r="AQ51" s="31" t="s">
        <v>11</v>
      </c>
      <c r="AR51" s="31" t="s">
        <v>11</v>
      </c>
      <c r="AS51" s="31" t="s">
        <v>11</v>
      </c>
      <c r="AT51" s="31" t="s">
        <v>11</v>
      </c>
      <c r="AU51" s="31" t="s">
        <v>11</v>
      </c>
      <c r="AV51" s="31" t="s">
        <v>18</v>
      </c>
      <c r="AW51" s="31" t="s">
        <v>22</v>
      </c>
      <c r="AX51" s="31" t="s">
        <v>11</v>
      </c>
      <c r="AY51" s="31" t="s">
        <v>18</v>
      </c>
      <c r="AZ51" s="31" t="s">
        <v>22</v>
      </c>
      <c r="BA51" s="31" t="s">
        <v>18</v>
      </c>
      <c r="BB51" s="31" t="s">
        <v>22</v>
      </c>
      <c r="BC51" s="31" t="s">
        <v>11</v>
      </c>
      <c r="BD51" s="31" t="s">
        <v>22</v>
      </c>
      <c r="BE51" s="31" t="s">
        <v>18</v>
      </c>
      <c r="BF51" s="31" t="s">
        <v>11</v>
      </c>
      <c r="BG51" s="31" t="s">
        <v>11</v>
      </c>
      <c r="BH51" s="31" t="s">
        <v>18</v>
      </c>
      <c r="BI51" s="31" t="s">
        <v>22</v>
      </c>
      <c r="BJ51" s="31" t="s">
        <v>18</v>
      </c>
      <c r="BK51" s="31" t="s">
        <v>17</v>
      </c>
      <c r="BL51" s="31" t="s">
        <v>17</v>
      </c>
      <c r="BM51" s="31" t="s">
        <v>17</v>
      </c>
      <c r="BN51" s="31" t="s">
        <v>17</v>
      </c>
      <c r="BO51" s="31" t="s">
        <v>17</v>
      </c>
      <c r="BP51" s="31" t="s">
        <v>17</v>
      </c>
      <c r="BQ51" s="31" t="s">
        <v>17</v>
      </c>
      <c r="BR51" s="31" t="s">
        <v>17</v>
      </c>
      <c r="BS51" s="31" t="s">
        <v>17</v>
      </c>
    </row>
    <row r="52" spans="1:71" ht="13.8" customHeight="1" x14ac:dyDescent="0.3">
      <c r="A52" s="2">
        <f t="shared" si="22"/>
        <v>133</v>
      </c>
      <c r="B52" s="12">
        <f t="shared" si="22"/>
        <v>50</v>
      </c>
      <c r="C52" s="26">
        <v>44694.708333333336</v>
      </c>
      <c r="D52" s="4">
        <v>24</v>
      </c>
      <c r="E52" s="4">
        <f t="shared" si="20"/>
        <v>1176</v>
      </c>
      <c r="F52" s="5">
        <f>E52/24</f>
        <v>49</v>
      </c>
      <c r="G52">
        <f t="shared" si="16"/>
        <v>0</v>
      </c>
      <c r="H52">
        <f t="shared" si="4"/>
        <v>0</v>
      </c>
      <c r="I52">
        <f t="shared" si="5"/>
        <v>0</v>
      </c>
      <c r="J52">
        <f t="shared" si="6"/>
        <v>0</v>
      </c>
      <c r="K52">
        <f t="shared" si="7"/>
        <v>13</v>
      </c>
      <c r="L52">
        <f t="shared" si="18"/>
        <v>6</v>
      </c>
      <c r="M52">
        <f t="shared" si="19"/>
        <v>4</v>
      </c>
      <c r="N52" s="30"/>
      <c r="O52">
        <f t="shared" si="8"/>
        <v>9</v>
      </c>
      <c r="P52">
        <f t="shared" si="9"/>
        <v>11</v>
      </c>
      <c r="Q52">
        <f t="shared" si="10"/>
        <v>7</v>
      </c>
      <c r="R52">
        <f>COUNTIF($V52:$BS52, "L3_D")</f>
        <v>0</v>
      </c>
      <c r="S52">
        <f t="shared" si="12"/>
        <v>0</v>
      </c>
      <c r="T52">
        <f t="shared" si="13"/>
        <v>0</v>
      </c>
      <c r="U52">
        <f t="shared" si="14"/>
        <v>0</v>
      </c>
      <c r="V52" s="31" t="s">
        <v>11</v>
      </c>
      <c r="W52" s="62" t="s">
        <v>13</v>
      </c>
      <c r="X52" s="31" t="s">
        <v>11</v>
      </c>
      <c r="Y52" s="31" t="s">
        <v>18</v>
      </c>
      <c r="Z52" s="31" t="s">
        <v>22</v>
      </c>
      <c r="AA52" s="31" t="s">
        <v>11</v>
      </c>
      <c r="AB52" s="31" t="s">
        <v>11</v>
      </c>
      <c r="AC52" s="31" t="s">
        <v>18</v>
      </c>
      <c r="AD52" s="31" t="s">
        <v>11</v>
      </c>
      <c r="AE52" s="67" t="s">
        <v>14</v>
      </c>
      <c r="AF52" s="67" t="s">
        <v>14</v>
      </c>
      <c r="AG52" s="31" t="s">
        <v>18</v>
      </c>
      <c r="AH52" s="67" t="s">
        <v>14</v>
      </c>
      <c r="AI52" s="31" t="s">
        <v>11</v>
      </c>
      <c r="AJ52" s="62" t="s">
        <v>13</v>
      </c>
      <c r="AK52" s="62" t="s">
        <v>13</v>
      </c>
      <c r="AL52" s="31" t="s">
        <v>11</v>
      </c>
      <c r="AM52" s="31" t="s">
        <v>18</v>
      </c>
      <c r="AN52" s="62" t="s">
        <v>13</v>
      </c>
      <c r="AO52" s="31" t="s">
        <v>18</v>
      </c>
      <c r="AP52" s="31" t="s">
        <v>22</v>
      </c>
      <c r="AQ52" s="31" t="s">
        <v>11</v>
      </c>
      <c r="AR52" s="31" t="s">
        <v>11</v>
      </c>
      <c r="AS52" s="62" t="s">
        <v>13</v>
      </c>
      <c r="AT52" s="62" t="s">
        <v>13</v>
      </c>
      <c r="AU52" s="31" t="s">
        <v>11</v>
      </c>
      <c r="AV52" s="31" t="s">
        <v>18</v>
      </c>
      <c r="AW52" s="31" t="s">
        <v>22</v>
      </c>
      <c r="AX52" s="67" t="s">
        <v>14</v>
      </c>
      <c r="AY52" s="31" t="s">
        <v>18</v>
      </c>
      <c r="AZ52" s="31" t="s">
        <v>22</v>
      </c>
      <c r="BA52" s="31" t="s">
        <v>18</v>
      </c>
      <c r="BB52" s="31" t="s">
        <v>22</v>
      </c>
      <c r="BC52" s="31" t="s">
        <v>11</v>
      </c>
      <c r="BD52" s="31" t="s">
        <v>22</v>
      </c>
      <c r="BE52" s="31" t="s">
        <v>18</v>
      </c>
      <c r="BF52" s="31" t="s">
        <v>11</v>
      </c>
      <c r="BG52" s="31" t="s">
        <v>11</v>
      </c>
      <c r="BH52" s="31" t="s">
        <v>18</v>
      </c>
      <c r="BI52" s="31" t="s">
        <v>22</v>
      </c>
      <c r="BJ52" s="31" t="s">
        <v>18</v>
      </c>
      <c r="BK52" s="31" t="s">
        <v>17</v>
      </c>
      <c r="BL52" s="31" t="s">
        <v>17</v>
      </c>
      <c r="BM52" s="31" t="s">
        <v>17</v>
      </c>
      <c r="BN52" s="31" t="s">
        <v>17</v>
      </c>
      <c r="BO52" s="31" t="s">
        <v>17</v>
      </c>
      <c r="BP52" s="31" t="s">
        <v>17</v>
      </c>
      <c r="BQ52" s="31" t="s">
        <v>17</v>
      </c>
      <c r="BR52" s="31" t="s">
        <v>17</v>
      </c>
      <c r="BS52" s="31" t="s">
        <v>17</v>
      </c>
    </row>
    <row r="53" spans="1:71" x14ac:dyDescent="0.3">
      <c r="A53" s="2">
        <f t="shared" ref="A53:B55" si="23">A52+1</f>
        <v>134</v>
      </c>
      <c r="B53" s="12">
        <f t="shared" si="23"/>
        <v>51</v>
      </c>
      <c r="C53" s="26">
        <v>44695.708333333336</v>
      </c>
      <c r="D53" s="4">
        <v>24</v>
      </c>
      <c r="E53" s="4">
        <f t="shared" si="20"/>
        <v>1200</v>
      </c>
      <c r="F53" s="5">
        <f>E53/24</f>
        <v>50</v>
      </c>
      <c r="G53">
        <f t="shared" si="16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7"/>
        <v>4</v>
      </c>
      <c r="L53">
        <f t="shared" si="18"/>
        <v>10</v>
      </c>
      <c r="M53">
        <f t="shared" si="19"/>
        <v>9</v>
      </c>
      <c r="N53" s="30"/>
      <c r="O53">
        <f t="shared" si="8"/>
        <v>9</v>
      </c>
      <c r="P53">
        <f t="shared" si="9"/>
        <v>11</v>
      </c>
      <c r="Q53">
        <f t="shared" si="10"/>
        <v>7</v>
      </c>
      <c r="R53">
        <f t="shared" si="11"/>
        <v>0</v>
      </c>
      <c r="S53">
        <f t="shared" si="12"/>
        <v>0</v>
      </c>
      <c r="T53">
        <f t="shared" si="13"/>
        <v>0</v>
      </c>
      <c r="U53">
        <f t="shared" si="14"/>
        <v>0</v>
      </c>
      <c r="V53" s="31" t="s">
        <v>11</v>
      </c>
      <c r="W53" s="62" t="s">
        <v>13</v>
      </c>
      <c r="X53" s="67" t="s">
        <v>14</v>
      </c>
      <c r="Y53" s="31" t="s">
        <v>18</v>
      </c>
      <c r="Z53" s="31" t="s">
        <v>22</v>
      </c>
      <c r="AA53" s="31" t="s">
        <v>11</v>
      </c>
      <c r="AB53" s="67" t="s">
        <v>14</v>
      </c>
      <c r="AC53" s="31" t="s">
        <v>18</v>
      </c>
      <c r="AD53" s="62" t="s">
        <v>13</v>
      </c>
      <c r="AE53" s="67" t="s">
        <v>14</v>
      </c>
      <c r="AF53" s="67" t="s">
        <v>14</v>
      </c>
      <c r="AG53" s="31" t="s">
        <v>18</v>
      </c>
      <c r="AH53" s="67" t="s">
        <v>14</v>
      </c>
      <c r="AI53" s="62" t="s">
        <v>13</v>
      </c>
      <c r="AJ53" s="62" t="s">
        <v>13</v>
      </c>
      <c r="AK53" s="62" t="s">
        <v>13</v>
      </c>
      <c r="AL53" s="62" t="s">
        <v>13</v>
      </c>
      <c r="AM53" s="31" t="s">
        <v>18</v>
      </c>
      <c r="AN53" s="62" t="s">
        <v>13</v>
      </c>
      <c r="AO53" s="31" t="s">
        <v>18</v>
      </c>
      <c r="AP53" s="31" t="s">
        <v>22</v>
      </c>
      <c r="AQ53" s="31" t="s">
        <v>11</v>
      </c>
      <c r="AR53" s="31" t="s">
        <v>11</v>
      </c>
      <c r="AS53" s="62" t="s">
        <v>13</v>
      </c>
      <c r="AT53" s="62" t="s">
        <v>13</v>
      </c>
      <c r="AU53" s="67" t="s">
        <v>14</v>
      </c>
      <c r="AV53" s="31" t="s">
        <v>18</v>
      </c>
      <c r="AW53" s="31" t="s">
        <v>22</v>
      </c>
      <c r="AX53" s="67" t="s">
        <v>14</v>
      </c>
      <c r="AY53" s="31" t="s">
        <v>18</v>
      </c>
      <c r="AZ53" s="31" t="s">
        <v>22</v>
      </c>
      <c r="BA53" s="31" t="s">
        <v>18</v>
      </c>
      <c r="BB53" s="31" t="s">
        <v>22</v>
      </c>
      <c r="BC53" s="67" t="s">
        <v>14</v>
      </c>
      <c r="BD53" s="31" t="s">
        <v>22</v>
      </c>
      <c r="BE53" s="31" t="s">
        <v>18</v>
      </c>
      <c r="BF53" s="67" t="s">
        <v>14</v>
      </c>
      <c r="BG53" s="62" t="s">
        <v>13</v>
      </c>
      <c r="BH53" s="31" t="s">
        <v>18</v>
      </c>
      <c r="BI53" s="31" t="s">
        <v>22</v>
      </c>
      <c r="BJ53" s="31" t="s">
        <v>18</v>
      </c>
      <c r="BK53" s="31" t="s">
        <v>17</v>
      </c>
      <c r="BL53" s="31" t="s">
        <v>17</v>
      </c>
      <c r="BM53" s="31" t="s">
        <v>17</v>
      </c>
      <c r="BN53" s="31" t="s">
        <v>17</v>
      </c>
      <c r="BO53" s="31" t="s">
        <v>17</v>
      </c>
      <c r="BP53" s="31" t="s">
        <v>17</v>
      </c>
      <c r="BQ53" s="31" t="s">
        <v>17</v>
      </c>
      <c r="BR53" s="31" t="s">
        <v>17</v>
      </c>
      <c r="BS53" s="31" t="s">
        <v>17</v>
      </c>
    </row>
    <row r="54" spans="1:71" x14ac:dyDescent="0.3">
      <c r="A54" s="2">
        <f t="shared" si="23"/>
        <v>135</v>
      </c>
      <c r="B54" s="12">
        <f t="shared" si="23"/>
        <v>52</v>
      </c>
      <c r="C54" s="26">
        <v>44696.708333333336</v>
      </c>
      <c r="D54" s="4">
        <v>24</v>
      </c>
      <c r="E54" s="4">
        <f>E53+D54</f>
        <v>1224</v>
      </c>
      <c r="F54" s="5">
        <f t="shared" ref="F54:F113" si="24">E54/24</f>
        <v>51</v>
      </c>
      <c r="G54">
        <f t="shared" si="16"/>
        <v>0</v>
      </c>
      <c r="H54">
        <f t="shared" si="4"/>
        <v>0</v>
      </c>
      <c r="I54">
        <f t="shared" si="5"/>
        <v>0</v>
      </c>
      <c r="J54">
        <f t="shared" si="6"/>
        <v>0</v>
      </c>
      <c r="K54">
        <f t="shared" si="7"/>
        <v>2</v>
      </c>
      <c r="L54">
        <f t="shared" si="18"/>
        <v>11</v>
      </c>
      <c r="M54">
        <f t="shared" si="19"/>
        <v>10</v>
      </c>
      <c r="N54" s="30"/>
      <c r="O54">
        <f t="shared" si="8"/>
        <v>9</v>
      </c>
      <c r="P54">
        <f t="shared" si="9"/>
        <v>11</v>
      </c>
      <c r="Q54">
        <f t="shared" si="10"/>
        <v>7</v>
      </c>
      <c r="R54">
        <f t="shared" si="11"/>
        <v>0</v>
      </c>
      <c r="S54">
        <f t="shared" si="12"/>
        <v>0</v>
      </c>
      <c r="T54">
        <f t="shared" si="13"/>
        <v>0</v>
      </c>
      <c r="U54">
        <f t="shared" si="14"/>
        <v>0</v>
      </c>
      <c r="V54" s="62" t="s">
        <v>13</v>
      </c>
      <c r="W54" s="62" t="s">
        <v>13</v>
      </c>
      <c r="X54" s="67" t="s">
        <v>14</v>
      </c>
      <c r="Y54" s="31" t="s">
        <v>18</v>
      </c>
      <c r="Z54" s="31" t="s">
        <v>22</v>
      </c>
      <c r="AA54" s="67" t="s">
        <v>14</v>
      </c>
      <c r="AB54" s="67" t="s">
        <v>14</v>
      </c>
      <c r="AC54" s="31" t="s">
        <v>18</v>
      </c>
      <c r="AD54" s="62" t="s">
        <v>13</v>
      </c>
      <c r="AE54" s="67" t="s">
        <v>14</v>
      </c>
      <c r="AF54" s="67" t="s">
        <v>14</v>
      </c>
      <c r="AG54" s="31" t="s">
        <v>18</v>
      </c>
      <c r="AH54" s="67" t="s">
        <v>14</v>
      </c>
      <c r="AI54" s="62" t="s">
        <v>13</v>
      </c>
      <c r="AJ54" s="62" t="s">
        <v>13</v>
      </c>
      <c r="AK54" s="62" t="s">
        <v>13</v>
      </c>
      <c r="AL54" s="62" t="s">
        <v>13</v>
      </c>
      <c r="AM54" s="31" t="s">
        <v>18</v>
      </c>
      <c r="AN54" s="62" t="s">
        <v>13</v>
      </c>
      <c r="AO54" s="31" t="s">
        <v>18</v>
      </c>
      <c r="AP54" s="31" t="s">
        <v>22</v>
      </c>
      <c r="AQ54" s="31" t="s">
        <v>11</v>
      </c>
      <c r="AR54" s="31" t="s">
        <v>11</v>
      </c>
      <c r="AS54" s="62" t="s">
        <v>13</v>
      </c>
      <c r="AT54" s="62" t="s">
        <v>13</v>
      </c>
      <c r="AU54" s="67" t="s">
        <v>14</v>
      </c>
      <c r="AV54" s="31" t="s">
        <v>18</v>
      </c>
      <c r="AW54" s="31" t="s">
        <v>22</v>
      </c>
      <c r="AX54" s="67" t="s">
        <v>14</v>
      </c>
      <c r="AY54" s="31" t="s">
        <v>18</v>
      </c>
      <c r="AZ54" s="31" t="s">
        <v>22</v>
      </c>
      <c r="BA54" s="31" t="s">
        <v>18</v>
      </c>
      <c r="BB54" s="31" t="s">
        <v>22</v>
      </c>
      <c r="BC54" s="67" t="s">
        <v>14</v>
      </c>
      <c r="BD54" s="31" t="s">
        <v>22</v>
      </c>
      <c r="BE54" s="31" t="s">
        <v>18</v>
      </c>
      <c r="BF54" s="67" t="s">
        <v>14</v>
      </c>
      <c r="BG54" s="62" t="s">
        <v>13</v>
      </c>
      <c r="BH54" s="31" t="s">
        <v>18</v>
      </c>
      <c r="BI54" s="31" t="s">
        <v>22</v>
      </c>
      <c r="BJ54" s="31" t="s">
        <v>18</v>
      </c>
      <c r="BK54" s="31" t="s">
        <v>17</v>
      </c>
      <c r="BL54" s="31" t="s">
        <v>17</v>
      </c>
      <c r="BM54" s="31" t="s">
        <v>17</v>
      </c>
      <c r="BN54" s="31" t="s">
        <v>17</v>
      </c>
      <c r="BO54" s="31" t="s">
        <v>17</v>
      </c>
      <c r="BP54" s="31" t="s">
        <v>17</v>
      </c>
      <c r="BQ54" s="31" t="s">
        <v>17</v>
      </c>
      <c r="BR54" s="31" t="s">
        <v>17</v>
      </c>
      <c r="BS54" s="31" t="s">
        <v>17</v>
      </c>
    </row>
    <row r="55" spans="1:71" x14ac:dyDescent="0.3">
      <c r="A55" s="2">
        <f>A54+1</f>
        <v>136</v>
      </c>
      <c r="B55" s="12">
        <f t="shared" si="23"/>
        <v>53</v>
      </c>
      <c r="C55" s="26">
        <v>44697.708333333336</v>
      </c>
      <c r="D55" s="4">
        <v>24</v>
      </c>
      <c r="E55" s="4">
        <f>E54+D55</f>
        <v>1248</v>
      </c>
      <c r="F55" s="5">
        <f>E55/24</f>
        <v>52</v>
      </c>
      <c r="G55">
        <f t="shared" si="16"/>
        <v>0</v>
      </c>
      <c r="H55">
        <f t="shared" si="4"/>
        <v>0</v>
      </c>
      <c r="I55">
        <f t="shared" si="5"/>
        <v>0</v>
      </c>
      <c r="J55">
        <f t="shared" si="6"/>
        <v>0</v>
      </c>
      <c r="K55">
        <f t="shared" si="7"/>
        <v>0</v>
      </c>
      <c r="L55">
        <f t="shared" si="18"/>
        <v>11</v>
      </c>
      <c r="M55">
        <f>COUNTIF($V55:$BS55, "AF")</f>
        <v>12</v>
      </c>
      <c r="N55" s="30"/>
      <c r="O55">
        <f>COUNTIF($V55:$BS55, "E_D")</f>
        <v>9</v>
      </c>
      <c r="P55">
        <f>COUNTIF($V55:$BS55, "L1_D")</f>
        <v>11</v>
      </c>
      <c r="Q55">
        <f t="shared" si="10"/>
        <v>7</v>
      </c>
      <c r="R55">
        <f t="shared" si="11"/>
        <v>0</v>
      </c>
      <c r="S55">
        <f t="shared" si="12"/>
        <v>0</v>
      </c>
      <c r="T55">
        <f t="shared" si="13"/>
        <v>0</v>
      </c>
      <c r="U55">
        <f t="shared" si="14"/>
        <v>0</v>
      </c>
      <c r="V55" s="62" t="s">
        <v>13</v>
      </c>
      <c r="W55" s="62" t="s">
        <v>13</v>
      </c>
      <c r="X55" s="67" t="s">
        <v>14</v>
      </c>
      <c r="Y55" s="31" t="s">
        <v>18</v>
      </c>
      <c r="Z55" s="31" t="s">
        <v>22</v>
      </c>
      <c r="AA55" s="67" t="s">
        <v>14</v>
      </c>
      <c r="AB55" s="67" t="s">
        <v>14</v>
      </c>
      <c r="AC55" s="31" t="s">
        <v>18</v>
      </c>
      <c r="AD55" s="62" t="s">
        <v>13</v>
      </c>
      <c r="AE55" s="67" t="s">
        <v>14</v>
      </c>
      <c r="AF55" s="67" t="s">
        <v>14</v>
      </c>
      <c r="AG55" s="31" t="s">
        <v>18</v>
      </c>
      <c r="AH55" s="67" t="s">
        <v>14</v>
      </c>
      <c r="AI55" s="62" t="s">
        <v>13</v>
      </c>
      <c r="AJ55" s="62" t="s">
        <v>13</v>
      </c>
      <c r="AK55" s="69" t="s">
        <v>13</v>
      </c>
      <c r="AL55" s="62" t="s">
        <v>13</v>
      </c>
      <c r="AM55" s="31" t="s">
        <v>18</v>
      </c>
      <c r="AN55" s="62" t="s">
        <v>13</v>
      </c>
      <c r="AO55" s="31" t="s">
        <v>18</v>
      </c>
      <c r="AP55" s="31" t="s">
        <v>22</v>
      </c>
      <c r="AQ55" s="69" t="s">
        <v>14</v>
      </c>
      <c r="AR55" s="67" t="s">
        <v>14</v>
      </c>
      <c r="AS55" s="62" t="s">
        <v>13</v>
      </c>
      <c r="AT55" s="62" t="s">
        <v>13</v>
      </c>
      <c r="AU55" s="67" t="s">
        <v>14</v>
      </c>
      <c r="AV55" s="31" t="s">
        <v>18</v>
      </c>
      <c r="AW55" s="31" t="s">
        <v>22</v>
      </c>
      <c r="AX55" s="67" t="s">
        <v>14</v>
      </c>
      <c r="AY55" s="31" t="s">
        <v>18</v>
      </c>
      <c r="AZ55" s="31" t="s">
        <v>22</v>
      </c>
      <c r="BA55" s="31" t="s">
        <v>18</v>
      </c>
      <c r="BB55" s="31" t="s">
        <v>22</v>
      </c>
      <c r="BC55" s="67" t="s">
        <v>14</v>
      </c>
      <c r="BD55" s="31" t="s">
        <v>22</v>
      </c>
      <c r="BE55" s="31" t="s">
        <v>18</v>
      </c>
      <c r="BF55" s="67" t="s">
        <v>14</v>
      </c>
      <c r="BG55" s="62" t="s">
        <v>13</v>
      </c>
      <c r="BH55" s="31" t="s">
        <v>18</v>
      </c>
      <c r="BI55" s="31" t="s">
        <v>22</v>
      </c>
      <c r="BJ55" s="31" t="s">
        <v>18</v>
      </c>
      <c r="BK55" s="31" t="s">
        <v>17</v>
      </c>
      <c r="BL55" s="31" t="s">
        <v>17</v>
      </c>
      <c r="BM55" s="31" t="s">
        <v>17</v>
      </c>
      <c r="BN55" s="31" t="s">
        <v>17</v>
      </c>
      <c r="BO55" s="31" t="s">
        <v>17</v>
      </c>
      <c r="BP55" s="31" t="s">
        <v>17</v>
      </c>
      <c r="BQ55" s="31" t="s">
        <v>17</v>
      </c>
      <c r="BR55" s="31" t="s">
        <v>17</v>
      </c>
      <c r="BS55" s="31" t="s">
        <v>17</v>
      </c>
    </row>
    <row r="56" spans="1:71" x14ac:dyDescent="0.3">
      <c r="A56" s="2">
        <f t="shared" ref="A56:B56" si="25">A55+1</f>
        <v>137</v>
      </c>
      <c r="B56" s="12">
        <f t="shared" si="25"/>
        <v>54</v>
      </c>
      <c r="C56" s="26">
        <v>44698.708333333336</v>
      </c>
      <c r="D56" s="4">
        <v>24</v>
      </c>
      <c r="E56" s="4">
        <f t="shared" ref="E56:E69" si="26">E55+D56</f>
        <v>1272</v>
      </c>
      <c r="F56" s="5">
        <f t="shared" si="24"/>
        <v>53</v>
      </c>
      <c r="G56">
        <f t="shared" si="16"/>
        <v>0</v>
      </c>
      <c r="H56">
        <f t="shared" si="4"/>
        <v>0</v>
      </c>
      <c r="I56">
        <f t="shared" si="5"/>
        <v>0</v>
      </c>
      <c r="J56">
        <f t="shared" si="6"/>
        <v>0</v>
      </c>
      <c r="K56">
        <f t="shared" si="7"/>
        <v>0</v>
      </c>
      <c r="L56">
        <f t="shared" si="18"/>
        <v>10</v>
      </c>
      <c r="M56">
        <f>COUNTIF($V56:$BS56, "AF")</f>
        <v>10</v>
      </c>
      <c r="O56">
        <f t="shared" ref="O56:O113" si="27">COUNTIF($V56:$BS56, "E_D")</f>
        <v>0</v>
      </c>
      <c r="P56">
        <f t="shared" si="9"/>
        <v>0</v>
      </c>
      <c r="Q56">
        <f t="shared" si="10"/>
        <v>0</v>
      </c>
      <c r="R56">
        <f t="shared" si="11"/>
        <v>0</v>
      </c>
      <c r="S56">
        <f t="shared" si="12"/>
        <v>0</v>
      </c>
      <c r="T56">
        <f t="shared" si="13"/>
        <v>0</v>
      </c>
      <c r="U56">
        <f t="shared" si="14"/>
        <v>0</v>
      </c>
      <c r="V56" s="32" t="s">
        <v>13</v>
      </c>
      <c r="W56" s="32" t="s">
        <v>80</v>
      </c>
      <c r="X56" s="32" t="s">
        <v>14</v>
      </c>
      <c r="AA56" s="32" t="s">
        <v>14</v>
      </c>
      <c r="AB56" s="32" t="s">
        <v>14</v>
      </c>
      <c r="AD56" s="32" t="s">
        <v>13</v>
      </c>
      <c r="AE56" s="32" t="s">
        <v>14</v>
      </c>
      <c r="AF56" s="31" t="s">
        <v>14</v>
      </c>
      <c r="AG56" s="31"/>
      <c r="AH56" s="32" t="s">
        <v>14</v>
      </c>
      <c r="AI56" s="65" t="s">
        <v>13</v>
      </c>
      <c r="AJ56" s="32" t="s">
        <v>13</v>
      </c>
      <c r="AK56" s="32" t="s">
        <v>13</v>
      </c>
      <c r="AL56" s="32" t="s">
        <v>13</v>
      </c>
      <c r="AN56" s="32" t="s">
        <v>13</v>
      </c>
      <c r="AQ56" s="32" t="s">
        <v>14</v>
      </c>
      <c r="AR56" s="31" t="s">
        <v>80</v>
      </c>
      <c r="AS56" s="32" t="s">
        <v>13</v>
      </c>
      <c r="AT56" s="32" t="s">
        <v>13</v>
      </c>
      <c r="AU56" s="32" t="s">
        <v>80</v>
      </c>
      <c r="AX56" s="32" t="s">
        <v>14</v>
      </c>
      <c r="BC56" s="32" t="s">
        <v>14</v>
      </c>
      <c r="BF56" s="32" t="s">
        <v>14</v>
      </c>
      <c r="BG56" s="32" t="s">
        <v>13</v>
      </c>
    </row>
    <row r="57" spans="1:71" x14ac:dyDescent="0.3">
      <c r="A57" s="2">
        <f t="shared" ref="A57:B57" si="28">A56+1</f>
        <v>138</v>
      </c>
      <c r="B57" s="12">
        <f t="shared" si="28"/>
        <v>55</v>
      </c>
      <c r="C57" s="26">
        <v>44699.708333333336</v>
      </c>
      <c r="D57" s="4">
        <v>24</v>
      </c>
      <c r="E57" s="4">
        <f t="shared" si="26"/>
        <v>1296</v>
      </c>
      <c r="F57" s="5">
        <f t="shared" si="24"/>
        <v>54</v>
      </c>
      <c r="G57">
        <f t="shared" si="16"/>
        <v>0</v>
      </c>
      <c r="H57">
        <f t="shared" si="4"/>
        <v>0</v>
      </c>
      <c r="I57">
        <f t="shared" si="5"/>
        <v>0</v>
      </c>
      <c r="J57">
        <f t="shared" si="6"/>
        <v>0</v>
      </c>
      <c r="K57">
        <f t="shared" si="7"/>
        <v>0</v>
      </c>
      <c r="L57">
        <f t="shared" si="18"/>
        <v>10</v>
      </c>
      <c r="M57">
        <f t="shared" ref="M57:M110" si="29">COUNTIF($V57:$BS57, "AF")</f>
        <v>10</v>
      </c>
      <c r="N57" s="11"/>
      <c r="O57">
        <f t="shared" si="27"/>
        <v>0</v>
      </c>
      <c r="P57">
        <f t="shared" si="9"/>
        <v>0</v>
      </c>
      <c r="Q57">
        <f t="shared" si="10"/>
        <v>0</v>
      </c>
      <c r="R57">
        <f t="shared" si="11"/>
        <v>0</v>
      </c>
      <c r="S57">
        <f t="shared" ref="S57:S113" si="30">COUNTIF($V57:$BS57, "P_D")</f>
        <v>0</v>
      </c>
      <c r="T57">
        <f t="shared" si="13"/>
        <v>0</v>
      </c>
      <c r="U57">
        <f t="shared" si="14"/>
        <v>0</v>
      </c>
      <c r="V57" s="32" t="s">
        <v>13</v>
      </c>
      <c r="W57" s="32"/>
      <c r="X57" s="32" t="s">
        <v>14</v>
      </c>
      <c r="AA57" s="32" t="s">
        <v>14</v>
      </c>
      <c r="AB57" s="32" t="s">
        <v>14</v>
      </c>
      <c r="AD57" s="32" t="s">
        <v>13</v>
      </c>
      <c r="AE57" s="32" t="s">
        <v>14</v>
      </c>
      <c r="AF57" s="31" t="s">
        <v>14</v>
      </c>
      <c r="AH57" s="32" t="s">
        <v>14</v>
      </c>
      <c r="AI57" s="65" t="s">
        <v>13</v>
      </c>
      <c r="AJ57" s="32" t="s">
        <v>13</v>
      </c>
      <c r="AK57" s="32" t="s">
        <v>13</v>
      </c>
      <c r="AL57" s="32" t="s">
        <v>13</v>
      </c>
      <c r="AN57" s="32" t="s">
        <v>13</v>
      </c>
      <c r="AQ57" s="32" t="s">
        <v>14</v>
      </c>
      <c r="AS57" s="32" t="s">
        <v>13</v>
      </c>
      <c r="AT57" s="32" t="s">
        <v>13</v>
      </c>
      <c r="AX57" s="32" t="s">
        <v>14</v>
      </c>
      <c r="BC57" s="32" t="s">
        <v>14</v>
      </c>
      <c r="BF57" s="32" t="s">
        <v>14</v>
      </c>
      <c r="BG57" s="32" t="s">
        <v>13</v>
      </c>
    </row>
    <row r="58" spans="1:71" x14ac:dyDescent="0.3">
      <c r="A58" s="2">
        <f t="shared" ref="A58:B58" si="31">A57+1</f>
        <v>139</v>
      </c>
      <c r="B58" s="12">
        <f t="shared" si="31"/>
        <v>56</v>
      </c>
      <c r="C58" s="26">
        <v>44700.708333333336</v>
      </c>
      <c r="D58" s="4">
        <v>24</v>
      </c>
      <c r="E58" s="4">
        <f t="shared" si="26"/>
        <v>1320</v>
      </c>
      <c r="F58" s="5">
        <f t="shared" si="24"/>
        <v>55</v>
      </c>
      <c r="G58">
        <f t="shared" si="16"/>
        <v>0</v>
      </c>
      <c r="H58">
        <f t="shared" si="4"/>
        <v>0</v>
      </c>
      <c r="I58">
        <f t="shared" si="5"/>
        <v>0</v>
      </c>
      <c r="J58">
        <f t="shared" si="6"/>
        <v>0</v>
      </c>
      <c r="K58">
        <f t="shared" si="7"/>
        <v>0</v>
      </c>
      <c r="L58">
        <f>COUNTIF($V58:$BS58, "AM")</f>
        <v>10</v>
      </c>
      <c r="M58">
        <f t="shared" si="29"/>
        <v>10</v>
      </c>
      <c r="N58" s="5"/>
      <c r="O58">
        <f t="shared" si="27"/>
        <v>0</v>
      </c>
      <c r="P58">
        <f t="shared" si="9"/>
        <v>0</v>
      </c>
      <c r="Q58">
        <f t="shared" si="10"/>
        <v>0</v>
      </c>
      <c r="R58">
        <f t="shared" si="11"/>
        <v>0</v>
      </c>
      <c r="S58">
        <f t="shared" si="30"/>
        <v>0</v>
      </c>
      <c r="T58">
        <f t="shared" si="13"/>
        <v>0</v>
      </c>
      <c r="U58">
        <f t="shared" si="14"/>
        <v>0</v>
      </c>
      <c r="V58" s="32" t="s">
        <v>13</v>
      </c>
      <c r="X58" s="32" t="s">
        <v>14</v>
      </c>
      <c r="AA58" s="32" t="s">
        <v>14</v>
      </c>
      <c r="AB58" s="32" t="s">
        <v>14</v>
      </c>
      <c r="AD58" s="32" t="s">
        <v>13</v>
      </c>
      <c r="AE58" s="32" t="s">
        <v>14</v>
      </c>
      <c r="AF58" s="31" t="s">
        <v>14</v>
      </c>
      <c r="AH58" s="32" t="s">
        <v>14</v>
      </c>
      <c r="AI58" s="65" t="s">
        <v>13</v>
      </c>
      <c r="AJ58" s="32" t="s">
        <v>13</v>
      </c>
      <c r="AK58" s="32" t="s">
        <v>13</v>
      </c>
      <c r="AL58" s="32" t="s">
        <v>13</v>
      </c>
      <c r="AN58" s="32" t="s">
        <v>13</v>
      </c>
      <c r="AQ58" s="32" t="s">
        <v>14</v>
      </c>
      <c r="AS58" s="32" t="s">
        <v>13</v>
      </c>
      <c r="AT58" s="32" t="s">
        <v>13</v>
      </c>
      <c r="AX58" s="32" t="s">
        <v>14</v>
      </c>
      <c r="BC58" s="32" t="s">
        <v>14</v>
      </c>
      <c r="BF58" s="32" t="s">
        <v>14</v>
      </c>
      <c r="BG58" s="32" t="s">
        <v>13</v>
      </c>
    </row>
    <row r="59" spans="1:71" ht="14.4" customHeight="1" x14ac:dyDescent="0.3">
      <c r="A59" s="2">
        <f t="shared" ref="A59:B59" si="32">A58+1</f>
        <v>140</v>
      </c>
      <c r="B59" s="12">
        <f t="shared" si="32"/>
        <v>57</v>
      </c>
      <c r="C59" s="26">
        <v>44701.708333333336</v>
      </c>
      <c r="D59" s="4">
        <v>24</v>
      </c>
      <c r="E59" s="4">
        <f t="shared" si="26"/>
        <v>1344</v>
      </c>
      <c r="F59" s="5">
        <f t="shared" si="24"/>
        <v>56</v>
      </c>
      <c r="G59">
        <f t="shared" si="16"/>
        <v>0</v>
      </c>
      <c r="H59">
        <f t="shared" si="4"/>
        <v>0</v>
      </c>
      <c r="I59">
        <f t="shared" si="5"/>
        <v>0</v>
      </c>
      <c r="J59">
        <f t="shared" si="6"/>
        <v>0</v>
      </c>
      <c r="K59">
        <f t="shared" si="7"/>
        <v>0</v>
      </c>
      <c r="L59">
        <f t="shared" si="18"/>
        <v>10</v>
      </c>
      <c r="M59">
        <f t="shared" si="29"/>
        <v>10</v>
      </c>
      <c r="N59" s="5"/>
      <c r="O59">
        <f t="shared" si="27"/>
        <v>0</v>
      </c>
      <c r="P59">
        <f t="shared" si="9"/>
        <v>0</v>
      </c>
      <c r="Q59">
        <f t="shared" si="10"/>
        <v>0</v>
      </c>
      <c r="R59">
        <f t="shared" si="11"/>
        <v>0</v>
      </c>
      <c r="S59">
        <f t="shared" si="30"/>
        <v>0</v>
      </c>
      <c r="T59">
        <f t="shared" si="13"/>
        <v>0</v>
      </c>
      <c r="U59">
        <f t="shared" si="14"/>
        <v>0</v>
      </c>
      <c r="V59" s="32" t="s">
        <v>13</v>
      </c>
      <c r="X59" s="32" t="s">
        <v>14</v>
      </c>
      <c r="AA59" s="32" t="s">
        <v>14</v>
      </c>
      <c r="AB59" s="32" t="s">
        <v>14</v>
      </c>
      <c r="AD59" s="32" t="s">
        <v>13</v>
      </c>
      <c r="AE59" s="32" t="s">
        <v>14</v>
      </c>
      <c r="AF59" s="31" t="s">
        <v>14</v>
      </c>
      <c r="AH59" s="32" t="s">
        <v>14</v>
      </c>
      <c r="AI59" s="65" t="s">
        <v>13</v>
      </c>
      <c r="AJ59" s="32" t="s">
        <v>13</v>
      </c>
      <c r="AK59" s="32" t="s">
        <v>13</v>
      </c>
      <c r="AL59" s="32" t="s">
        <v>13</v>
      </c>
      <c r="AN59" s="32" t="s">
        <v>13</v>
      </c>
      <c r="AQ59" s="32" t="s">
        <v>14</v>
      </c>
      <c r="AS59" s="32" t="s">
        <v>13</v>
      </c>
      <c r="AT59" s="32" t="s">
        <v>13</v>
      </c>
      <c r="AX59" s="32" t="s">
        <v>14</v>
      </c>
      <c r="BC59" s="32" t="s">
        <v>14</v>
      </c>
      <c r="BF59" s="32" t="s">
        <v>14</v>
      </c>
      <c r="BG59" s="32" t="s">
        <v>13</v>
      </c>
    </row>
    <row r="60" spans="1:71" ht="14.4" customHeight="1" x14ac:dyDescent="0.3">
      <c r="A60" s="2">
        <f t="shared" ref="A60:B60" si="33">A59+1</f>
        <v>141</v>
      </c>
      <c r="B60" s="12">
        <f t="shared" si="33"/>
        <v>58</v>
      </c>
      <c r="C60" s="26">
        <v>44702.708333333336</v>
      </c>
      <c r="D60" s="4">
        <v>24</v>
      </c>
      <c r="E60" s="4">
        <f t="shared" si="26"/>
        <v>1368</v>
      </c>
      <c r="F60" s="5">
        <f t="shared" si="24"/>
        <v>57</v>
      </c>
      <c r="G60">
        <f t="shared" si="16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7"/>
        <v>0</v>
      </c>
      <c r="L60">
        <f t="shared" si="18"/>
        <v>10</v>
      </c>
      <c r="M60">
        <f t="shared" si="29"/>
        <v>10</v>
      </c>
      <c r="N60" s="5"/>
      <c r="O60">
        <f t="shared" si="27"/>
        <v>0</v>
      </c>
      <c r="P60">
        <f t="shared" si="9"/>
        <v>0</v>
      </c>
      <c r="Q60">
        <f t="shared" si="10"/>
        <v>0</v>
      </c>
      <c r="R60">
        <f t="shared" si="11"/>
        <v>0</v>
      </c>
      <c r="S60">
        <f t="shared" si="30"/>
        <v>0</v>
      </c>
      <c r="T60">
        <f t="shared" si="13"/>
        <v>0</v>
      </c>
      <c r="U60">
        <f t="shared" si="14"/>
        <v>0</v>
      </c>
      <c r="V60" s="32" t="s">
        <v>13</v>
      </c>
      <c r="X60" s="32" t="s">
        <v>14</v>
      </c>
      <c r="AA60" s="32" t="s">
        <v>14</v>
      </c>
      <c r="AB60" s="32" t="s">
        <v>14</v>
      </c>
      <c r="AD60" s="32" t="s">
        <v>13</v>
      </c>
      <c r="AE60" s="32" t="s">
        <v>14</v>
      </c>
      <c r="AF60" s="31" t="s">
        <v>14</v>
      </c>
      <c r="AH60" s="32" t="s">
        <v>14</v>
      </c>
      <c r="AI60" s="65" t="s">
        <v>13</v>
      </c>
      <c r="AJ60" s="32" t="s">
        <v>13</v>
      </c>
      <c r="AK60" s="32" t="s">
        <v>13</v>
      </c>
      <c r="AL60" s="32" t="s">
        <v>13</v>
      </c>
      <c r="AN60" s="32" t="s">
        <v>13</v>
      </c>
      <c r="AQ60" s="32" t="s">
        <v>14</v>
      </c>
      <c r="AS60" s="32" t="s">
        <v>13</v>
      </c>
      <c r="AT60" s="32" t="s">
        <v>13</v>
      </c>
      <c r="AX60" s="32" t="s">
        <v>14</v>
      </c>
      <c r="BC60" s="32" t="s">
        <v>14</v>
      </c>
      <c r="BF60" s="32" t="s">
        <v>14</v>
      </c>
      <c r="BG60" s="32" t="s">
        <v>13</v>
      </c>
    </row>
    <row r="61" spans="1:71" x14ac:dyDescent="0.3">
      <c r="A61" s="2">
        <f t="shared" ref="A61:B61" si="34">A60+1</f>
        <v>142</v>
      </c>
      <c r="B61" s="12">
        <f t="shared" si="34"/>
        <v>59</v>
      </c>
      <c r="C61" s="26">
        <v>44703.708333333336</v>
      </c>
      <c r="D61" s="4">
        <v>24</v>
      </c>
      <c r="E61" s="4">
        <f t="shared" si="26"/>
        <v>1392</v>
      </c>
      <c r="F61" s="5">
        <f t="shared" si="24"/>
        <v>58</v>
      </c>
      <c r="G61">
        <f t="shared" si="16"/>
        <v>0</v>
      </c>
      <c r="H61">
        <f t="shared" si="4"/>
        <v>0</v>
      </c>
      <c r="I61">
        <f t="shared" si="5"/>
        <v>0</v>
      </c>
      <c r="J61">
        <f t="shared" si="6"/>
        <v>0</v>
      </c>
      <c r="K61">
        <f t="shared" si="7"/>
        <v>0</v>
      </c>
      <c r="L61">
        <f t="shared" si="18"/>
        <v>10</v>
      </c>
      <c r="M61">
        <f t="shared" si="29"/>
        <v>10</v>
      </c>
      <c r="N61" s="5"/>
      <c r="O61">
        <f t="shared" si="27"/>
        <v>0</v>
      </c>
      <c r="P61">
        <f t="shared" si="9"/>
        <v>0</v>
      </c>
      <c r="Q61">
        <f t="shared" si="10"/>
        <v>0</v>
      </c>
      <c r="R61">
        <f t="shared" si="11"/>
        <v>0</v>
      </c>
      <c r="S61">
        <f t="shared" si="30"/>
        <v>0</v>
      </c>
      <c r="T61">
        <f t="shared" si="13"/>
        <v>0</v>
      </c>
      <c r="U61">
        <f t="shared" si="14"/>
        <v>0</v>
      </c>
      <c r="V61" s="32" t="s">
        <v>13</v>
      </c>
      <c r="X61" s="32" t="s">
        <v>14</v>
      </c>
      <c r="AA61" s="32" t="s">
        <v>14</v>
      </c>
      <c r="AB61" s="32" t="s">
        <v>14</v>
      </c>
      <c r="AD61" s="32" t="s">
        <v>13</v>
      </c>
      <c r="AE61" s="32" t="s">
        <v>14</v>
      </c>
      <c r="AF61" s="31" t="s">
        <v>14</v>
      </c>
      <c r="AH61" s="32" t="s">
        <v>14</v>
      </c>
      <c r="AI61" s="65" t="s">
        <v>13</v>
      </c>
      <c r="AJ61" s="32" t="s">
        <v>13</v>
      </c>
      <c r="AK61" s="32" t="s">
        <v>13</v>
      </c>
      <c r="AL61" s="32" t="s">
        <v>13</v>
      </c>
      <c r="AN61" s="32" t="s">
        <v>13</v>
      </c>
      <c r="AQ61" s="32" t="s">
        <v>14</v>
      </c>
      <c r="AS61" s="32" t="s">
        <v>13</v>
      </c>
      <c r="AT61" s="32" t="s">
        <v>13</v>
      </c>
      <c r="AX61" s="32" t="s">
        <v>14</v>
      </c>
      <c r="BC61" s="32" t="s">
        <v>14</v>
      </c>
      <c r="BF61" s="32" t="s">
        <v>14</v>
      </c>
      <c r="BG61" s="32" t="s">
        <v>13</v>
      </c>
    </row>
    <row r="62" spans="1:71" x14ac:dyDescent="0.3">
      <c r="A62" s="2">
        <f t="shared" ref="A62:B62" si="35">A61+1</f>
        <v>143</v>
      </c>
      <c r="B62" s="12">
        <f t="shared" si="35"/>
        <v>60</v>
      </c>
      <c r="C62" s="26">
        <v>44704.708333333336</v>
      </c>
      <c r="D62" s="4">
        <v>24</v>
      </c>
      <c r="E62" s="4">
        <f t="shared" si="26"/>
        <v>1416</v>
      </c>
      <c r="F62" s="5">
        <f t="shared" si="24"/>
        <v>59</v>
      </c>
      <c r="G62">
        <f t="shared" si="16"/>
        <v>0</v>
      </c>
      <c r="H62">
        <f t="shared" si="4"/>
        <v>0</v>
      </c>
      <c r="I62">
        <f t="shared" si="5"/>
        <v>0</v>
      </c>
      <c r="J62">
        <f t="shared" si="6"/>
        <v>0</v>
      </c>
      <c r="K62">
        <f t="shared" si="7"/>
        <v>0</v>
      </c>
      <c r="L62">
        <f t="shared" si="18"/>
        <v>10</v>
      </c>
      <c r="M62">
        <f t="shared" si="29"/>
        <v>10</v>
      </c>
      <c r="N62" s="5"/>
      <c r="O62">
        <f t="shared" si="27"/>
        <v>0</v>
      </c>
      <c r="P62">
        <f t="shared" si="9"/>
        <v>0</v>
      </c>
      <c r="Q62">
        <f t="shared" si="10"/>
        <v>0</v>
      </c>
      <c r="R62">
        <f t="shared" si="11"/>
        <v>0</v>
      </c>
      <c r="S62">
        <f t="shared" si="30"/>
        <v>0</v>
      </c>
      <c r="T62">
        <f t="shared" si="13"/>
        <v>0</v>
      </c>
      <c r="U62">
        <f t="shared" si="14"/>
        <v>0</v>
      </c>
      <c r="V62" s="32" t="s">
        <v>13</v>
      </c>
      <c r="X62" s="32" t="s">
        <v>14</v>
      </c>
      <c r="AA62" s="32" t="s">
        <v>14</v>
      </c>
      <c r="AB62" s="32" t="s">
        <v>14</v>
      </c>
      <c r="AD62" s="32" t="s">
        <v>13</v>
      </c>
      <c r="AE62" s="32" t="s">
        <v>14</v>
      </c>
      <c r="AF62" s="31" t="s">
        <v>14</v>
      </c>
      <c r="AH62" s="32" t="s">
        <v>14</v>
      </c>
      <c r="AI62" s="65" t="s">
        <v>13</v>
      </c>
      <c r="AJ62" s="32" t="s">
        <v>13</v>
      </c>
      <c r="AK62" s="32" t="s">
        <v>13</v>
      </c>
      <c r="AL62" s="32" t="s">
        <v>13</v>
      </c>
      <c r="AN62" s="32" t="s">
        <v>13</v>
      </c>
      <c r="AQ62" s="32" t="s">
        <v>14</v>
      </c>
      <c r="AS62" s="32" t="s">
        <v>13</v>
      </c>
      <c r="AT62" s="32" t="s">
        <v>13</v>
      </c>
      <c r="AX62" s="32" t="s">
        <v>14</v>
      </c>
      <c r="BC62" s="32" t="s">
        <v>14</v>
      </c>
      <c r="BF62" s="32" t="s">
        <v>14</v>
      </c>
      <c r="BG62" s="32" t="s">
        <v>13</v>
      </c>
    </row>
    <row r="63" spans="1:71" x14ac:dyDescent="0.3">
      <c r="A63" s="2">
        <f t="shared" ref="A63:B63" si="36">A62+1</f>
        <v>144</v>
      </c>
      <c r="B63" s="12">
        <f t="shared" si="36"/>
        <v>61</v>
      </c>
      <c r="C63" s="26">
        <v>44705.708333333336</v>
      </c>
      <c r="D63" s="4">
        <v>24</v>
      </c>
      <c r="E63" s="4">
        <f t="shared" si="26"/>
        <v>1440</v>
      </c>
      <c r="F63" s="5">
        <f t="shared" si="24"/>
        <v>60</v>
      </c>
      <c r="G63">
        <f t="shared" si="16"/>
        <v>0</v>
      </c>
      <c r="H63">
        <f t="shared" si="4"/>
        <v>0</v>
      </c>
      <c r="I63">
        <f t="shared" si="5"/>
        <v>0</v>
      </c>
      <c r="J63">
        <f t="shared" si="6"/>
        <v>0</v>
      </c>
      <c r="K63">
        <f t="shared" si="7"/>
        <v>0</v>
      </c>
      <c r="L63">
        <f t="shared" si="18"/>
        <v>10</v>
      </c>
      <c r="M63">
        <f t="shared" si="29"/>
        <v>10</v>
      </c>
      <c r="N63" s="5"/>
      <c r="O63">
        <f t="shared" si="27"/>
        <v>0</v>
      </c>
      <c r="P63">
        <f t="shared" si="9"/>
        <v>0</v>
      </c>
      <c r="Q63">
        <f t="shared" si="10"/>
        <v>0</v>
      </c>
      <c r="R63">
        <f t="shared" si="11"/>
        <v>0</v>
      </c>
      <c r="S63">
        <f t="shared" si="30"/>
        <v>0</v>
      </c>
      <c r="T63">
        <f t="shared" si="13"/>
        <v>0</v>
      </c>
      <c r="U63">
        <f t="shared" si="14"/>
        <v>0</v>
      </c>
      <c r="V63" s="32" t="s">
        <v>13</v>
      </c>
      <c r="X63" s="32" t="s">
        <v>14</v>
      </c>
      <c r="AA63" s="32" t="s">
        <v>14</v>
      </c>
      <c r="AB63" s="32" t="s">
        <v>14</v>
      </c>
      <c r="AD63" s="32" t="s">
        <v>13</v>
      </c>
      <c r="AE63" s="32" t="s">
        <v>14</v>
      </c>
      <c r="AF63" s="31" t="s">
        <v>14</v>
      </c>
      <c r="AH63" s="32" t="s">
        <v>14</v>
      </c>
      <c r="AI63" s="65" t="s">
        <v>13</v>
      </c>
      <c r="AJ63" s="32" t="s">
        <v>13</v>
      </c>
      <c r="AK63" s="32" t="s">
        <v>13</v>
      </c>
      <c r="AL63" s="32" t="s">
        <v>13</v>
      </c>
      <c r="AN63" s="32" t="s">
        <v>13</v>
      </c>
      <c r="AQ63" s="32" t="s">
        <v>14</v>
      </c>
      <c r="AS63" s="32" t="s">
        <v>13</v>
      </c>
      <c r="AT63" s="32" t="s">
        <v>13</v>
      </c>
      <c r="AX63" s="32" t="s">
        <v>14</v>
      </c>
      <c r="BC63" s="32" t="s">
        <v>14</v>
      </c>
      <c r="BF63" s="32" t="s">
        <v>14</v>
      </c>
      <c r="BG63" s="32" t="s">
        <v>13</v>
      </c>
    </row>
    <row r="64" spans="1:71" x14ac:dyDescent="0.3">
      <c r="A64" s="2">
        <f t="shared" ref="A64:B64" si="37">A63+1</f>
        <v>145</v>
      </c>
      <c r="B64" s="12">
        <f t="shared" si="37"/>
        <v>62</v>
      </c>
      <c r="C64" s="26">
        <v>44706.708333333336</v>
      </c>
      <c r="D64" s="4">
        <v>24</v>
      </c>
      <c r="E64" s="4">
        <f t="shared" si="26"/>
        <v>1464</v>
      </c>
      <c r="F64" s="5">
        <f t="shared" si="24"/>
        <v>61</v>
      </c>
      <c r="G64">
        <f t="shared" si="16"/>
        <v>0</v>
      </c>
      <c r="H64">
        <f t="shared" si="4"/>
        <v>0</v>
      </c>
      <c r="I64">
        <f t="shared" si="5"/>
        <v>0</v>
      </c>
      <c r="J64">
        <f t="shared" si="6"/>
        <v>0</v>
      </c>
      <c r="K64">
        <f t="shared" si="7"/>
        <v>0</v>
      </c>
      <c r="L64">
        <f t="shared" si="18"/>
        <v>10</v>
      </c>
      <c r="M64">
        <f t="shared" si="29"/>
        <v>10</v>
      </c>
      <c r="N64" s="5"/>
      <c r="O64">
        <f t="shared" si="27"/>
        <v>0</v>
      </c>
      <c r="P64">
        <f t="shared" si="9"/>
        <v>0</v>
      </c>
      <c r="Q64">
        <f t="shared" si="10"/>
        <v>0</v>
      </c>
      <c r="R64">
        <f t="shared" si="11"/>
        <v>0</v>
      </c>
      <c r="S64">
        <f t="shared" si="30"/>
        <v>0</v>
      </c>
      <c r="T64">
        <f t="shared" si="13"/>
        <v>0</v>
      </c>
      <c r="U64">
        <f t="shared" si="14"/>
        <v>0</v>
      </c>
      <c r="V64" s="32" t="s">
        <v>13</v>
      </c>
      <c r="X64" s="32" t="s">
        <v>14</v>
      </c>
      <c r="AA64" s="32" t="s">
        <v>14</v>
      </c>
      <c r="AB64" s="32" t="s">
        <v>14</v>
      </c>
      <c r="AD64" s="32" t="s">
        <v>13</v>
      </c>
      <c r="AE64" s="32" t="s">
        <v>14</v>
      </c>
      <c r="AF64" s="31" t="s">
        <v>14</v>
      </c>
      <c r="AH64" s="32" t="s">
        <v>14</v>
      </c>
      <c r="AI64" s="65" t="s">
        <v>13</v>
      </c>
      <c r="AJ64" s="32" t="s">
        <v>13</v>
      </c>
      <c r="AK64" s="32" t="s">
        <v>13</v>
      </c>
      <c r="AL64" s="32" t="s">
        <v>13</v>
      </c>
      <c r="AN64" s="32" t="s">
        <v>13</v>
      </c>
      <c r="AQ64" s="32" t="s">
        <v>14</v>
      </c>
      <c r="AS64" s="32" t="s">
        <v>13</v>
      </c>
      <c r="AT64" s="32" t="s">
        <v>13</v>
      </c>
      <c r="AX64" s="32" t="s">
        <v>14</v>
      </c>
      <c r="BC64" s="32" t="s">
        <v>14</v>
      </c>
      <c r="BF64" s="32" t="s">
        <v>14</v>
      </c>
      <c r="BG64" s="32" t="s">
        <v>13</v>
      </c>
    </row>
    <row r="65" spans="1:59" x14ac:dyDescent="0.3">
      <c r="A65" s="2">
        <f t="shared" ref="A65:B65" si="38">A64+1</f>
        <v>146</v>
      </c>
      <c r="B65" s="12">
        <f t="shared" si="38"/>
        <v>63</v>
      </c>
      <c r="C65" s="26">
        <v>44707.708333333336</v>
      </c>
      <c r="D65" s="4">
        <v>24</v>
      </c>
      <c r="E65" s="4">
        <f t="shared" si="26"/>
        <v>1488</v>
      </c>
      <c r="F65" s="5">
        <f t="shared" si="24"/>
        <v>62</v>
      </c>
      <c r="G65">
        <f t="shared" si="16"/>
        <v>0</v>
      </c>
      <c r="H65">
        <f t="shared" si="4"/>
        <v>0</v>
      </c>
      <c r="I65">
        <f t="shared" si="5"/>
        <v>0</v>
      </c>
      <c r="J65">
        <f t="shared" si="6"/>
        <v>0</v>
      </c>
      <c r="K65">
        <f t="shared" si="7"/>
        <v>0</v>
      </c>
      <c r="L65">
        <f t="shared" si="18"/>
        <v>10</v>
      </c>
      <c r="M65">
        <f t="shared" si="29"/>
        <v>10</v>
      </c>
      <c r="N65" s="5"/>
      <c r="O65">
        <f t="shared" si="27"/>
        <v>0</v>
      </c>
      <c r="P65">
        <f t="shared" si="9"/>
        <v>0</v>
      </c>
      <c r="Q65">
        <f t="shared" si="10"/>
        <v>0</v>
      </c>
      <c r="R65">
        <f t="shared" si="11"/>
        <v>0</v>
      </c>
      <c r="S65">
        <f t="shared" si="30"/>
        <v>0</v>
      </c>
      <c r="T65">
        <f t="shared" si="13"/>
        <v>0</v>
      </c>
      <c r="U65">
        <f t="shared" si="14"/>
        <v>0</v>
      </c>
      <c r="V65" s="32" t="s">
        <v>13</v>
      </c>
      <c r="X65" s="32" t="s">
        <v>14</v>
      </c>
      <c r="AA65" s="32" t="s">
        <v>14</v>
      </c>
      <c r="AB65" s="32" t="s">
        <v>14</v>
      </c>
      <c r="AD65" s="32" t="s">
        <v>13</v>
      </c>
      <c r="AE65" s="32" t="s">
        <v>14</v>
      </c>
      <c r="AF65" s="31" t="s">
        <v>14</v>
      </c>
      <c r="AH65" s="32" t="s">
        <v>14</v>
      </c>
      <c r="AI65" s="65" t="s">
        <v>13</v>
      </c>
      <c r="AJ65" s="32" t="s">
        <v>13</v>
      </c>
      <c r="AK65" s="32" t="s">
        <v>13</v>
      </c>
      <c r="AL65" s="32" t="s">
        <v>13</v>
      </c>
      <c r="AN65" s="32" t="s">
        <v>13</v>
      </c>
      <c r="AQ65" s="32" t="s">
        <v>14</v>
      </c>
      <c r="AS65" s="32" t="s">
        <v>13</v>
      </c>
      <c r="AT65" s="32" t="s">
        <v>13</v>
      </c>
      <c r="AX65" s="32" t="s">
        <v>14</v>
      </c>
      <c r="BC65" s="32" t="s">
        <v>14</v>
      </c>
      <c r="BF65" s="32" t="s">
        <v>14</v>
      </c>
      <c r="BG65" s="32" t="s">
        <v>13</v>
      </c>
    </row>
    <row r="66" spans="1:59" x14ac:dyDescent="0.3">
      <c r="A66" s="2">
        <f t="shared" ref="A66:B66" si="39">A65+1</f>
        <v>147</v>
      </c>
      <c r="B66" s="12">
        <f t="shared" si="39"/>
        <v>64</v>
      </c>
      <c r="C66" s="26">
        <v>44708.708333333336</v>
      </c>
      <c r="D66" s="4">
        <v>24</v>
      </c>
      <c r="E66" s="4">
        <f t="shared" si="26"/>
        <v>1512</v>
      </c>
      <c r="F66" s="5">
        <f t="shared" si="24"/>
        <v>63</v>
      </c>
      <c r="G66">
        <f t="shared" si="16"/>
        <v>0</v>
      </c>
      <c r="H66">
        <f t="shared" si="4"/>
        <v>0</v>
      </c>
      <c r="I66">
        <f t="shared" si="5"/>
        <v>0</v>
      </c>
      <c r="J66">
        <f t="shared" si="6"/>
        <v>0</v>
      </c>
      <c r="K66">
        <f t="shared" si="7"/>
        <v>0</v>
      </c>
      <c r="L66">
        <f t="shared" si="18"/>
        <v>9</v>
      </c>
      <c r="M66">
        <f t="shared" si="29"/>
        <v>10</v>
      </c>
      <c r="N66" s="5"/>
      <c r="O66">
        <f t="shared" si="27"/>
        <v>0</v>
      </c>
      <c r="P66">
        <f t="shared" si="9"/>
        <v>0</v>
      </c>
      <c r="Q66">
        <f t="shared" si="10"/>
        <v>0</v>
      </c>
      <c r="R66">
        <f t="shared" si="11"/>
        <v>0</v>
      </c>
      <c r="S66">
        <f t="shared" si="30"/>
        <v>0</v>
      </c>
      <c r="T66">
        <f>COUNTIF($V66:$BS66, "AM_D")</f>
        <v>1</v>
      </c>
      <c r="U66">
        <f t="shared" si="14"/>
        <v>0</v>
      </c>
      <c r="V66" s="32" t="s">
        <v>13</v>
      </c>
      <c r="X66" s="32" t="s">
        <v>14</v>
      </c>
      <c r="AA66" s="32" t="s">
        <v>14</v>
      </c>
      <c r="AB66" s="32" t="s">
        <v>14</v>
      </c>
      <c r="AD66" s="32" t="s">
        <v>82</v>
      </c>
      <c r="AE66" s="32" t="s">
        <v>14</v>
      </c>
      <c r="AF66" s="31" t="s">
        <v>14</v>
      </c>
      <c r="AH66" s="32" t="s">
        <v>14</v>
      </c>
      <c r="AI66" s="65" t="s">
        <v>13</v>
      </c>
      <c r="AJ66" s="32" t="s">
        <v>13</v>
      </c>
      <c r="AK66" s="32" t="s">
        <v>13</v>
      </c>
      <c r="AL66" s="32" t="s">
        <v>13</v>
      </c>
      <c r="AN66" s="32" t="s">
        <v>13</v>
      </c>
      <c r="AQ66" s="32" t="s">
        <v>14</v>
      </c>
      <c r="AS66" s="32" t="s">
        <v>13</v>
      </c>
      <c r="AT66" s="32" t="s">
        <v>13</v>
      </c>
      <c r="AX66" s="32" t="s">
        <v>14</v>
      </c>
      <c r="BC66" s="32" t="s">
        <v>14</v>
      </c>
      <c r="BF66" s="32" t="s">
        <v>14</v>
      </c>
      <c r="BG66" s="32" t="s">
        <v>13</v>
      </c>
    </row>
    <row r="67" spans="1:59" x14ac:dyDescent="0.3">
      <c r="A67" s="2">
        <f t="shared" ref="A67:B67" si="40">A66+1</f>
        <v>148</v>
      </c>
      <c r="B67" s="12">
        <f t="shared" si="40"/>
        <v>65</v>
      </c>
      <c r="C67" s="26">
        <v>44709.708333333336</v>
      </c>
      <c r="D67" s="4">
        <v>24</v>
      </c>
      <c r="E67" s="4">
        <f t="shared" si="26"/>
        <v>1536</v>
      </c>
      <c r="F67" s="5">
        <f t="shared" si="24"/>
        <v>64</v>
      </c>
      <c r="G67">
        <f t="shared" si="16"/>
        <v>0</v>
      </c>
      <c r="H67">
        <f t="shared" si="4"/>
        <v>0</v>
      </c>
      <c r="I67">
        <f t="shared" si="5"/>
        <v>0</v>
      </c>
      <c r="J67">
        <f t="shared" si="6"/>
        <v>0</v>
      </c>
      <c r="K67">
        <f t="shared" si="7"/>
        <v>0</v>
      </c>
      <c r="L67">
        <f>COUNTIF($V67:$BS67, "AM")</f>
        <v>10</v>
      </c>
      <c r="M67">
        <f t="shared" si="29"/>
        <v>10</v>
      </c>
      <c r="N67" s="5"/>
      <c r="O67">
        <f t="shared" si="27"/>
        <v>0</v>
      </c>
      <c r="P67">
        <f t="shared" si="9"/>
        <v>0</v>
      </c>
      <c r="Q67">
        <f t="shared" si="10"/>
        <v>0</v>
      </c>
      <c r="R67">
        <f t="shared" si="11"/>
        <v>0</v>
      </c>
      <c r="S67">
        <f t="shared" si="30"/>
        <v>0</v>
      </c>
      <c r="T67">
        <f t="shared" si="13"/>
        <v>0</v>
      </c>
      <c r="U67">
        <f t="shared" si="14"/>
        <v>0</v>
      </c>
      <c r="V67" s="32" t="s">
        <v>13</v>
      </c>
      <c r="X67" s="32" t="s">
        <v>14</v>
      </c>
      <c r="AA67" s="32" t="s">
        <v>14</v>
      </c>
      <c r="AB67" s="32" t="s">
        <v>14</v>
      </c>
      <c r="AD67" s="32" t="s">
        <v>13</v>
      </c>
      <c r="AE67" s="32" t="s">
        <v>14</v>
      </c>
      <c r="AF67" s="31" t="s">
        <v>14</v>
      </c>
      <c r="AH67" s="32" t="s">
        <v>14</v>
      </c>
      <c r="AI67" s="65" t="s">
        <v>13</v>
      </c>
      <c r="AJ67" s="32" t="s">
        <v>13</v>
      </c>
      <c r="AK67" s="32" t="s">
        <v>13</v>
      </c>
      <c r="AL67" s="32" t="s">
        <v>13</v>
      </c>
      <c r="AN67" s="32" t="s">
        <v>13</v>
      </c>
      <c r="AQ67" s="32" t="s">
        <v>14</v>
      </c>
      <c r="AS67" s="32" t="s">
        <v>13</v>
      </c>
      <c r="AT67" s="32" t="s">
        <v>13</v>
      </c>
      <c r="AX67" s="32" t="s">
        <v>14</v>
      </c>
      <c r="BC67" s="32" t="s">
        <v>14</v>
      </c>
      <c r="BF67" s="32" t="s">
        <v>14</v>
      </c>
      <c r="BG67" s="32" t="s">
        <v>13</v>
      </c>
    </row>
    <row r="68" spans="1:59" x14ac:dyDescent="0.3">
      <c r="A68" s="2">
        <f t="shared" ref="A68:B68" si="41">A67+1</f>
        <v>149</v>
      </c>
      <c r="B68" s="12">
        <f t="shared" si="41"/>
        <v>66</v>
      </c>
      <c r="C68" s="26">
        <v>44710.708333333336</v>
      </c>
      <c r="D68" s="4">
        <v>24</v>
      </c>
      <c r="E68" s="4">
        <f t="shared" si="26"/>
        <v>1560</v>
      </c>
      <c r="F68" s="5">
        <f t="shared" si="24"/>
        <v>65</v>
      </c>
      <c r="G68">
        <f t="shared" si="16"/>
        <v>0</v>
      </c>
      <c r="H68">
        <f t="shared" ref="H68:H113" si="42">COUNTIF($V68:$BS68, "L1")</f>
        <v>0</v>
      </c>
      <c r="I68">
        <f t="shared" ref="I68:I113" si="43">COUNTIF($V68:$BS68, "L2")</f>
        <v>0</v>
      </c>
      <c r="J68">
        <f t="shared" ref="J68:J113" si="44">COUNTIF($V68:$BS68, "L3")</f>
        <v>0</v>
      </c>
      <c r="K68">
        <f t="shared" ref="K68:K113" si="45">COUNTIF($V68:$BS68, "P")</f>
        <v>0</v>
      </c>
      <c r="L68">
        <f t="shared" si="18"/>
        <v>10</v>
      </c>
      <c r="M68">
        <f t="shared" si="29"/>
        <v>10</v>
      </c>
      <c r="N68" s="5"/>
      <c r="O68">
        <f t="shared" si="27"/>
        <v>0</v>
      </c>
      <c r="P68">
        <f t="shared" ref="P68:P113" si="46">COUNTIF($V68:$BS68, "L1_D")</f>
        <v>0</v>
      </c>
      <c r="Q68">
        <f t="shared" ref="Q68:Q113" si="47">COUNTIF($V68:$BS68, "L2_D")</f>
        <v>0</v>
      </c>
      <c r="R68">
        <f t="shared" ref="R68:R113" si="48">COUNTIF($V68:$BS68, "L3_D")</f>
        <v>0</v>
      </c>
      <c r="S68">
        <f t="shared" si="30"/>
        <v>0</v>
      </c>
      <c r="T68">
        <f t="shared" ref="T68:T111" si="49">COUNTIF($V68:$BS68, "AM_D")</f>
        <v>0</v>
      </c>
      <c r="U68">
        <f t="shared" ref="U68:U113" si="50">COUNTIF($V68:$BS68, "AF_D")</f>
        <v>0</v>
      </c>
      <c r="V68" s="32" t="s">
        <v>13</v>
      </c>
      <c r="X68" s="32" t="s">
        <v>14</v>
      </c>
      <c r="AA68" s="32" t="s">
        <v>14</v>
      </c>
      <c r="AB68" s="32" t="s">
        <v>14</v>
      </c>
      <c r="AD68" s="32" t="s">
        <v>13</v>
      </c>
      <c r="AE68" s="32" t="s">
        <v>14</v>
      </c>
      <c r="AF68" s="31" t="s">
        <v>14</v>
      </c>
      <c r="AH68" s="32" t="s">
        <v>14</v>
      </c>
      <c r="AI68" s="65" t="s">
        <v>13</v>
      </c>
      <c r="AJ68" s="32" t="s">
        <v>13</v>
      </c>
      <c r="AK68" s="32" t="s">
        <v>13</v>
      </c>
      <c r="AL68" s="32" t="s">
        <v>13</v>
      </c>
      <c r="AN68" s="32" t="s">
        <v>13</v>
      </c>
      <c r="AQ68" s="32" t="s">
        <v>14</v>
      </c>
      <c r="AS68" s="32" t="s">
        <v>13</v>
      </c>
      <c r="AT68" s="32" t="s">
        <v>13</v>
      </c>
      <c r="AX68" s="32" t="s">
        <v>14</v>
      </c>
      <c r="BC68" s="32" t="s">
        <v>14</v>
      </c>
      <c r="BF68" s="32" t="s">
        <v>14</v>
      </c>
      <c r="BG68" s="32" t="s">
        <v>13</v>
      </c>
    </row>
    <row r="69" spans="1:59" x14ac:dyDescent="0.3">
      <c r="A69" s="2">
        <f t="shared" ref="A69:B69" si="51">A68+1</f>
        <v>150</v>
      </c>
      <c r="B69" s="12">
        <f t="shared" si="51"/>
        <v>67</v>
      </c>
      <c r="C69" s="26">
        <v>44711.708333333336</v>
      </c>
      <c r="D69" s="4">
        <v>24</v>
      </c>
      <c r="E69" s="4">
        <f t="shared" si="26"/>
        <v>1584</v>
      </c>
      <c r="F69" s="5">
        <f t="shared" si="24"/>
        <v>66</v>
      </c>
      <c r="G69">
        <f t="shared" ref="G69:G113" si="52">COUNTIF($V69:$BS69, "E")</f>
        <v>0</v>
      </c>
      <c r="H69">
        <f t="shared" si="42"/>
        <v>0</v>
      </c>
      <c r="I69">
        <f t="shared" si="43"/>
        <v>0</v>
      </c>
      <c r="J69">
        <f t="shared" si="44"/>
        <v>0</v>
      </c>
      <c r="K69">
        <f t="shared" si="45"/>
        <v>0</v>
      </c>
      <c r="L69">
        <f t="shared" si="18"/>
        <v>10</v>
      </c>
      <c r="M69">
        <f t="shared" si="29"/>
        <v>10</v>
      </c>
      <c r="N69" s="5"/>
      <c r="O69">
        <f t="shared" si="27"/>
        <v>0</v>
      </c>
      <c r="P69">
        <f t="shared" si="46"/>
        <v>0</v>
      </c>
      <c r="Q69">
        <f t="shared" si="47"/>
        <v>0</v>
      </c>
      <c r="R69">
        <f t="shared" si="48"/>
        <v>0</v>
      </c>
      <c r="S69">
        <f t="shared" si="30"/>
        <v>0</v>
      </c>
      <c r="T69">
        <f t="shared" si="49"/>
        <v>0</v>
      </c>
      <c r="U69">
        <f t="shared" si="50"/>
        <v>0</v>
      </c>
      <c r="V69" s="32" t="s">
        <v>13</v>
      </c>
      <c r="X69" s="32" t="s">
        <v>14</v>
      </c>
      <c r="AA69" s="32" t="s">
        <v>14</v>
      </c>
      <c r="AB69" s="32" t="s">
        <v>14</v>
      </c>
      <c r="AD69" s="32" t="s">
        <v>13</v>
      </c>
      <c r="AE69" s="32" t="s">
        <v>14</v>
      </c>
      <c r="AF69" s="31" t="s">
        <v>14</v>
      </c>
      <c r="AH69" s="32" t="s">
        <v>14</v>
      </c>
      <c r="AI69" s="65" t="s">
        <v>13</v>
      </c>
      <c r="AJ69" s="32" t="s">
        <v>13</v>
      </c>
      <c r="AK69" s="32" t="s">
        <v>13</v>
      </c>
      <c r="AL69" s="32" t="s">
        <v>13</v>
      </c>
      <c r="AN69" s="32" t="s">
        <v>13</v>
      </c>
      <c r="AQ69" s="32" t="s">
        <v>14</v>
      </c>
      <c r="AS69" s="32" t="s">
        <v>13</v>
      </c>
      <c r="AT69" s="32" t="s">
        <v>13</v>
      </c>
      <c r="AX69" s="32" t="s">
        <v>14</v>
      </c>
      <c r="BC69" s="32" t="s">
        <v>14</v>
      </c>
      <c r="BF69" s="32" t="s">
        <v>14</v>
      </c>
      <c r="BG69" s="32" t="s">
        <v>13</v>
      </c>
    </row>
    <row r="70" spans="1:59" x14ac:dyDescent="0.3">
      <c r="A70" s="2">
        <f t="shared" ref="A70:B70" si="53">A69+1</f>
        <v>151</v>
      </c>
      <c r="B70" s="12">
        <f t="shared" si="53"/>
        <v>68</v>
      </c>
      <c r="C70" s="26">
        <v>44712.708333333336</v>
      </c>
      <c r="D70" s="4">
        <v>24</v>
      </c>
      <c r="E70" s="4">
        <f t="shared" ref="E70:E111" si="54">E69+D70</f>
        <v>1608</v>
      </c>
      <c r="F70" s="5">
        <f t="shared" si="24"/>
        <v>67</v>
      </c>
      <c r="G70">
        <f t="shared" si="52"/>
        <v>0</v>
      </c>
      <c r="H70">
        <f t="shared" si="42"/>
        <v>0</v>
      </c>
      <c r="I70">
        <f t="shared" si="43"/>
        <v>0</v>
      </c>
      <c r="J70">
        <f t="shared" si="44"/>
        <v>0</v>
      </c>
      <c r="K70">
        <f t="shared" si="45"/>
        <v>0</v>
      </c>
      <c r="L70">
        <f t="shared" si="18"/>
        <v>9</v>
      </c>
      <c r="M70">
        <f t="shared" si="29"/>
        <v>10</v>
      </c>
      <c r="N70" s="5"/>
      <c r="O70">
        <f t="shared" si="27"/>
        <v>0</v>
      </c>
      <c r="P70">
        <f t="shared" si="46"/>
        <v>0</v>
      </c>
      <c r="Q70">
        <f t="shared" si="47"/>
        <v>0</v>
      </c>
      <c r="R70">
        <f t="shared" si="48"/>
        <v>0</v>
      </c>
      <c r="S70">
        <f t="shared" si="30"/>
        <v>0</v>
      </c>
      <c r="T70">
        <f>COUNTIF($V70:$BS70, "AM_D")</f>
        <v>1</v>
      </c>
      <c r="U70">
        <f t="shared" si="50"/>
        <v>0</v>
      </c>
      <c r="V70" s="32" t="s">
        <v>13</v>
      </c>
      <c r="X70" s="32" t="s">
        <v>14</v>
      </c>
      <c r="AA70" s="32" t="s">
        <v>14</v>
      </c>
      <c r="AB70" s="32" t="s">
        <v>14</v>
      </c>
      <c r="AD70" s="32" t="s">
        <v>82</v>
      </c>
      <c r="AE70" s="32" t="s">
        <v>14</v>
      </c>
      <c r="AF70" s="31" t="s">
        <v>14</v>
      </c>
      <c r="AH70" s="32" t="s">
        <v>14</v>
      </c>
      <c r="AI70" s="65" t="s">
        <v>13</v>
      </c>
      <c r="AJ70" s="32" t="s">
        <v>13</v>
      </c>
      <c r="AK70" s="32" t="s">
        <v>13</v>
      </c>
      <c r="AL70" s="32" t="s">
        <v>13</v>
      </c>
      <c r="AN70" s="32" t="s">
        <v>13</v>
      </c>
      <c r="AQ70" s="32" t="s">
        <v>14</v>
      </c>
      <c r="AS70" s="32" t="s">
        <v>13</v>
      </c>
      <c r="AT70" s="32" t="s">
        <v>13</v>
      </c>
      <c r="AX70" s="32" t="s">
        <v>14</v>
      </c>
      <c r="BC70" s="32" t="s">
        <v>14</v>
      </c>
      <c r="BF70" s="32" t="s">
        <v>14</v>
      </c>
      <c r="BG70" s="32" t="s">
        <v>13</v>
      </c>
    </row>
    <row r="71" spans="1:59" x14ac:dyDescent="0.3">
      <c r="A71" s="2">
        <f t="shared" ref="A71:B71" si="55">A70+1</f>
        <v>152</v>
      </c>
      <c r="B71" s="12">
        <f t="shared" si="55"/>
        <v>69</v>
      </c>
      <c r="C71" s="26">
        <v>44713.708333333336</v>
      </c>
      <c r="D71" s="4">
        <v>24</v>
      </c>
      <c r="E71" s="4">
        <f t="shared" si="54"/>
        <v>1632</v>
      </c>
      <c r="F71" s="5">
        <f t="shared" si="24"/>
        <v>68</v>
      </c>
      <c r="G71">
        <f t="shared" si="52"/>
        <v>0</v>
      </c>
      <c r="H71">
        <f t="shared" si="42"/>
        <v>0</v>
      </c>
      <c r="I71">
        <f t="shared" si="43"/>
        <v>0</v>
      </c>
      <c r="J71">
        <f t="shared" si="44"/>
        <v>0</v>
      </c>
      <c r="K71">
        <f t="shared" si="45"/>
        <v>0</v>
      </c>
      <c r="L71">
        <f t="shared" si="18"/>
        <v>9</v>
      </c>
      <c r="M71">
        <f t="shared" si="29"/>
        <v>10</v>
      </c>
      <c r="N71" s="5"/>
      <c r="O71">
        <f t="shared" si="27"/>
        <v>0</v>
      </c>
      <c r="P71">
        <f t="shared" si="46"/>
        <v>0</v>
      </c>
      <c r="Q71">
        <f t="shared" si="47"/>
        <v>0</v>
      </c>
      <c r="R71">
        <f t="shared" si="48"/>
        <v>0</v>
      </c>
      <c r="S71">
        <f t="shared" si="30"/>
        <v>0</v>
      </c>
      <c r="T71">
        <f t="shared" si="49"/>
        <v>0</v>
      </c>
      <c r="U71">
        <f t="shared" si="50"/>
        <v>0</v>
      </c>
      <c r="V71" s="32" t="s">
        <v>13</v>
      </c>
      <c r="X71" s="32" t="s">
        <v>14</v>
      </c>
      <c r="AA71" s="32" t="s">
        <v>14</v>
      </c>
      <c r="AB71" s="32" t="s">
        <v>14</v>
      </c>
      <c r="AD71" s="65" t="s">
        <v>79</v>
      </c>
      <c r="AE71" s="32" t="s">
        <v>14</v>
      </c>
      <c r="AF71" s="31" t="s">
        <v>14</v>
      </c>
      <c r="AH71" s="32" t="s">
        <v>14</v>
      </c>
      <c r="AI71" s="65" t="s">
        <v>13</v>
      </c>
      <c r="AJ71" s="32" t="s">
        <v>13</v>
      </c>
      <c r="AK71" s="32" t="s">
        <v>13</v>
      </c>
      <c r="AL71" s="32" t="s">
        <v>13</v>
      </c>
      <c r="AN71" s="32" t="s">
        <v>13</v>
      </c>
      <c r="AQ71" s="32" t="s">
        <v>14</v>
      </c>
      <c r="AS71" s="32" t="s">
        <v>13</v>
      </c>
      <c r="AT71" s="32" t="s">
        <v>13</v>
      </c>
      <c r="AX71" s="32" t="s">
        <v>14</v>
      </c>
      <c r="BC71" s="32" t="s">
        <v>14</v>
      </c>
      <c r="BF71" s="32" t="s">
        <v>14</v>
      </c>
      <c r="BG71" s="32" t="s">
        <v>13</v>
      </c>
    </row>
    <row r="72" spans="1:59" x14ac:dyDescent="0.3">
      <c r="A72" s="2">
        <f t="shared" ref="A72:B72" si="56">A71+1</f>
        <v>153</v>
      </c>
      <c r="B72" s="12">
        <f t="shared" si="56"/>
        <v>70</v>
      </c>
      <c r="C72" s="26">
        <v>44714.708333333336</v>
      </c>
      <c r="D72" s="4">
        <v>24</v>
      </c>
      <c r="E72" s="4">
        <f t="shared" si="54"/>
        <v>1656</v>
      </c>
      <c r="F72" s="5">
        <f t="shared" si="24"/>
        <v>69</v>
      </c>
      <c r="G72">
        <f t="shared" si="52"/>
        <v>0</v>
      </c>
      <c r="H72">
        <f t="shared" si="42"/>
        <v>0</v>
      </c>
      <c r="I72">
        <f t="shared" si="43"/>
        <v>0</v>
      </c>
      <c r="J72">
        <f t="shared" si="44"/>
        <v>0</v>
      </c>
      <c r="K72">
        <f t="shared" si="45"/>
        <v>0</v>
      </c>
      <c r="L72">
        <f t="shared" si="18"/>
        <v>9</v>
      </c>
      <c r="M72">
        <f t="shared" si="29"/>
        <v>10</v>
      </c>
      <c r="N72" s="5"/>
      <c r="O72">
        <f t="shared" si="27"/>
        <v>0</v>
      </c>
      <c r="P72">
        <f t="shared" si="46"/>
        <v>0</v>
      </c>
      <c r="Q72">
        <f t="shared" si="47"/>
        <v>0</v>
      </c>
      <c r="R72">
        <f t="shared" si="48"/>
        <v>0</v>
      </c>
      <c r="S72">
        <f t="shared" si="30"/>
        <v>0</v>
      </c>
      <c r="T72">
        <f t="shared" si="49"/>
        <v>0</v>
      </c>
      <c r="U72">
        <f t="shared" si="50"/>
        <v>0</v>
      </c>
      <c r="V72" s="32" t="s">
        <v>13</v>
      </c>
      <c r="X72" s="32" t="s">
        <v>14</v>
      </c>
      <c r="AA72" s="32" t="s">
        <v>14</v>
      </c>
      <c r="AB72" s="32" t="s">
        <v>14</v>
      </c>
      <c r="AD72" s="65" t="s">
        <v>79</v>
      </c>
      <c r="AE72" s="32" t="s">
        <v>14</v>
      </c>
      <c r="AF72" s="31" t="s">
        <v>14</v>
      </c>
      <c r="AH72" s="32" t="s">
        <v>14</v>
      </c>
      <c r="AI72" s="65" t="s">
        <v>13</v>
      </c>
      <c r="AJ72" s="32" t="s">
        <v>13</v>
      </c>
      <c r="AK72" s="32" t="s">
        <v>13</v>
      </c>
      <c r="AL72" s="32" t="s">
        <v>13</v>
      </c>
      <c r="AN72" s="32" t="s">
        <v>13</v>
      </c>
      <c r="AQ72" s="32" t="s">
        <v>14</v>
      </c>
      <c r="AS72" s="32" t="s">
        <v>13</v>
      </c>
      <c r="AT72" s="32" t="s">
        <v>13</v>
      </c>
      <c r="AX72" s="32" t="s">
        <v>14</v>
      </c>
      <c r="BC72" s="32" t="s">
        <v>14</v>
      </c>
      <c r="BF72" s="32" t="s">
        <v>14</v>
      </c>
      <c r="BG72" s="32" t="s">
        <v>13</v>
      </c>
    </row>
    <row r="73" spans="1:59" x14ac:dyDescent="0.3">
      <c r="A73" s="2">
        <f t="shared" ref="A73:B73" si="57">A72+1</f>
        <v>154</v>
      </c>
      <c r="B73" s="12">
        <f t="shared" si="57"/>
        <v>71</v>
      </c>
      <c r="C73" s="26">
        <v>44715.708333333336</v>
      </c>
      <c r="D73" s="4">
        <v>24</v>
      </c>
      <c r="E73" s="4">
        <f t="shared" si="54"/>
        <v>1680</v>
      </c>
      <c r="F73" s="5">
        <f t="shared" si="24"/>
        <v>70</v>
      </c>
      <c r="G73">
        <f t="shared" si="52"/>
        <v>0</v>
      </c>
      <c r="H73">
        <f t="shared" si="42"/>
        <v>0</v>
      </c>
      <c r="I73">
        <f t="shared" si="43"/>
        <v>0</v>
      </c>
      <c r="J73">
        <f t="shared" si="44"/>
        <v>0</v>
      </c>
      <c r="K73">
        <f t="shared" si="45"/>
        <v>0</v>
      </c>
      <c r="L73">
        <f t="shared" si="18"/>
        <v>9</v>
      </c>
      <c r="M73">
        <f t="shared" si="29"/>
        <v>10</v>
      </c>
      <c r="N73" s="5"/>
      <c r="O73">
        <f t="shared" si="27"/>
        <v>0</v>
      </c>
      <c r="P73">
        <f t="shared" si="46"/>
        <v>0</v>
      </c>
      <c r="Q73">
        <f t="shared" si="47"/>
        <v>0</v>
      </c>
      <c r="R73">
        <f t="shared" si="48"/>
        <v>0</v>
      </c>
      <c r="S73">
        <f t="shared" si="30"/>
        <v>0</v>
      </c>
      <c r="T73">
        <f t="shared" si="49"/>
        <v>0</v>
      </c>
      <c r="U73">
        <f t="shared" si="50"/>
        <v>0</v>
      </c>
      <c r="V73" s="32" t="s">
        <v>13</v>
      </c>
      <c r="X73" s="32" t="s">
        <v>14</v>
      </c>
      <c r="AA73" s="32" t="s">
        <v>14</v>
      </c>
      <c r="AB73" s="32" t="s">
        <v>14</v>
      </c>
      <c r="AD73" s="65" t="s">
        <v>79</v>
      </c>
      <c r="AE73" s="32" t="s">
        <v>14</v>
      </c>
      <c r="AF73" s="31" t="s">
        <v>14</v>
      </c>
      <c r="AH73" s="32" t="s">
        <v>14</v>
      </c>
      <c r="AI73" s="65" t="s">
        <v>13</v>
      </c>
      <c r="AJ73" s="32" t="s">
        <v>13</v>
      </c>
      <c r="AK73" s="32" t="s">
        <v>13</v>
      </c>
      <c r="AL73" s="32" t="s">
        <v>13</v>
      </c>
      <c r="AN73" s="32" t="s">
        <v>13</v>
      </c>
      <c r="AQ73" s="32" t="s">
        <v>14</v>
      </c>
      <c r="AS73" s="32" t="s">
        <v>13</v>
      </c>
      <c r="AT73" s="32" t="s">
        <v>13</v>
      </c>
      <c r="AX73" s="32" t="s">
        <v>14</v>
      </c>
      <c r="BC73" s="32" t="s">
        <v>14</v>
      </c>
      <c r="BF73" s="32" t="s">
        <v>14</v>
      </c>
      <c r="BG73" s="32" t="s">
        <v>13</v>
      </c>
    </row>
    <row r="74" spans="1:59" x14ac:dyDescent="0.3">
      <c r="A74" s="2">
        <f t="shared" ref="A74:B74" si="58">A73+1</f>
        <v>155</v>
      </c>
      <c r="B74" s="12">
        <f t="shared" si="58"/>
        <v>72</v>
      </c>
      <c r="C74" s="26">
        <v>44716.708333333336</v>
      </c>
      <c r="D74" s="4">
        <v>24</v>
      </c>
      <c r="E74" s="4">
        <f t="shared" si="54"/>
        <v>1704</v>
      </c>
      <c r="F74" s="5">
        <f t="shared" si="24"/>
        <v>71</v>
      </c>
      <c r="G74">
        <f t="shared" si="52"/>
        <v>0</v>
      </c>
      <c r="H74">
        <f t="shared" si="42"/>
        <v>0</v>
      </c>
      <c r="I74">
        <f t="shared" si="43"/>
        <v>0</v>
      </c>
      <c r="J74">
        <f t="shared" si="44"/>
        <v>0</v>
      </c>
      <c r="K74">
        <f t="shared" si="45"/>
        <v>0</v>
      </c>
      <c r="L74">
        <f t="shared" si="18"/>
        <v>9</v>
      </c>
      <c r="M74">
        <f t="shared" si="29"/>
        <v>10</v>
      </c>
      <c r="N74" s="5"/>
      <c r="O74">
        <f t="shared" si="27"/>
        <v>0</v>
      </c>
      <c r="P74">
        <f t="shared" si="46"/>
        <v>0</v>
      </c>
      <c r="Q74">
        <f t="shared" si="47"/>
        <v>0</v>
      </c>
      <c r="R74">
        <f t="shared" si="48"/>
        <v>0</v>
      </c>
      <c r="S74">
        <f t="shared" si="30"/>
        <v>0</v>
      </c>
      <c r="T74">
        <f t="shared" si="49"/>
        <v>0</v>
      </c>
      <c r="U74">
        <f t="shared" si="50"/>
        <v>0</v>
      </c>
      <c r="V74" s="32" t="s">
        <v>13</v>
      </c>
      <c r="X74" s="32" t="s">
        <v>14</v>
      </c>
      <c r="AA74" s="32" t="s">
        <v>14</v>
      </c>
      <c r="AB74" s="32" t="s">
        <v>14</v>
      </c>
      <c r="AD74" s="65" t="s">
        <v>79</v>
      </c>
      <c r="AE74" s="32" t="s">
        <v>14</v>
      </c>
      <c r="AF74" s="31" t="s">
        <v>14</v>
      </c>
      <c r="AH74" s="32" t="s">
        <v>14</v>
      </c>
      <c r="AI74" s="65" t="s">
        <v>13</v>
      </c>
      <c r="AJ74" s="32" t="s">
        <v>13</v>
      </c>
      <c r="AK74" s="32" t="s">
        <v>13</v>
      </c>
      <c r="AL74" s="32" t="s">
        <v>13</v>
      </c>
      <c r="AN74" s="32" t="s">
        <v>13</v>
      </c>
      <c r="AQ74" s="32" t="s">
        <v>14</v>
      </c>
      <c r="AS74" s="32" t="s">
        <v>13</v>
      </c>
      <c r="AT74" s="32" t="s">
        <v>13</v>
      </c>
      <c r="AX74" s="32" t="s">
        <v>14</v>
      </c>
      <c r="BC74" s="32" t="s">
        <v>14</v>
      </c>
      <c r="BF74" s="32" t="s">
        <v>14</v>
      </c>
      <c r="BG74" s="32" t="s">
        <v>13</v>
      </c>
    </row>
    <row r="75" spans="1:59" x14ac:dyDescent="0.3">
      <c r="A75" s="2">
        <f t="shared" ref="A75:B75" si="59">A74+1</f>
        <v>156</v>
      </c>
      <c r="B75" s="12">
        <f t="shared" si="59"/>
        <v>73</v>
      </c>
      <c r="C75" s="26">
        <v>44717.708333333336</v>
      </c>
      <c r="D75" s="4">
        <v>24</v>
      </c>
      <c r="E75" s="4">
        <f t="shared" si="54"/>
        <v>1728</v>
      </c>
      <c r="F75" s="5">
        <f t="shared" si="24"/>
        <v>72</v>
      </c>
      <c r="G75">
        <f t="shared" si="52"/>
        <v>0</v>
      </c>
      <c r="H75">
        <f t="shared" si="42"/>
        <v>0</v>
      </c>
      <c r="I75">
        <f t="shared" si="43"/>
        <v>0</v>
      </c>
      <c r="J75">
        <f t="shared" si="44"/>
        <v>0</v>
      </c>
      <c r="K75">
        <f t="shared" si="45"/>
        <v>0</v>
      </c>
      <c r="L75">
        <f t="shared" si="18"/>
        <v>9</v>
      </c>
      <c r="M75">
        <f t="shared" si="29"/>
        <v>10</v>
      </c>
      <c r="N75" s="5"/>
      <c r="O75">
        <f t="shared" si="27"/>
        <v>0</v>
      </c>
      <c r="P75">
        <f t="shared" si="46"/>
        <v>0</v>
      </c>
      <c r="Q75">
        <f t="shared" si="47"/>
        <v>0</v>
      </c>
      <c r="R75">
        <f t="shared" si="48"/>
        <v>0</v>
      </c>
      <c r="S75">
        <f t="shared" si="30"/>
        <v>0</v>
      </c>
      <c r="T75">
        <f t="shared" si="49"/>
        <v>0</v>
      </c>
      <c r="U75">
        <f t="shared" si="50"/>
        <v>0</v>
      </c>
      <c r="V75" s="32" t="s">
        <v>13</v>
      </c>
      <c r="X75" s="32" t="s">
        <v>14</v>
      </c>
      <c r="AA75" s="32" t="s">
        <v>14</v>
      </c>
      <c r="AB75" s="32" t="s">
        <v>14</v>
      </c>
      <c r="AD75" s="65" t="s">
        <v>79</v>
      </c>
      <c r="AE75" s="32" t="s">
        <v>14</v>
      </c>
      <c r="AF75" s="31" t="s">
        <v>14</v>
      </c>
      <c r="AH75" s="32" t="s">
        <v>14</v>
      </c>
      <c r="AI75" s="65" t="s">
        <v>13</v>
      </c>
      <c r="AJ75" s="32" t="s">
        <v>13</v>
      </c>
      <c r="AK75" s="32" t="s">
        <v>13</v>
      </c>
      <c r="AL75" s="32" t="s">
        <v>13</v>
      </c>
      <c r="AN75" s="32" t="s">
        <v>13</v>
      </c>
      <c r="AQ75" s="32" t="s">
        <v>14</v>
      </c>
      <c r="AS75" s="32" t="s">
        <v>13</v>
      </c>
      <c r="AT75" s="32" t="s">
        <v>13</v>
      </c>
      <c r="AX75" s="32" t="s">
        <v>14</v>
      </c>
      <c r="BC75" s="32" t="s">
        <v>14</v>
      </c>
      <c r="BF75" s="32" t="s">
        <v>14</v>
      </c>
      <c r="BG75" s="32" t="s">
        <v>13</v>
      </c>
    </row>
    <row r="76" spans="1:59" x14ac:dyDescent="0.3">
      <c r="A76" s="2">
        <f t="shared" ref="A76:B76" si="60">A75+1</f>
        <v>157</v>
      </c>
      <c r="B76" s="12">
        <f t="shared" si="60"/>
        <v>74</v>
      </c>
      <c r="C76" s="26">
        <v>44718.708333333336</v>
      </c>
      <c r="D76" s="4">
        <v>24</v>
      </c>
      <c r="E76" s="4">
        <f t="shared" si="54"/>
        <v>1752</v>
      </c>
      <c r="F76" s="5">
        <f t="shared" si="24"/>
        <v>73</v>
      </c>
      <c r="G76">
        <f t="shared" si="52"/>
        <v>0</v>
      </c>
      <c r="H76">
        <f t="shared" si="42"/>
        <v>0</v>
      </c>
      <c r="I76">
        <f t="shared" si="43"/>
        <v>0</v>
      </c>
      <c r="J76">
        <f t="shared" si="44"/>
        <v>0</v>
      </c>
      <c r="K76">
        <f t="shared" si="45"/>
        <v>0</v>
      </c>
      <c r="L76">
        <f t="shared" si="18"/>
        <v>9</v>
      </c>
      <c r="M76">
        <f t="shared" si="29"/>
        <v>10</v>
      </c>
      <c r="N76" s="5"/>
      <c r="O76">
        <f t="shared" si="27"/>
        <v>0</v>
      </c>
      <c r="P76">
        <f t="shared" si="46"/>
        <v>0</v>
      </c>
      <c r="Q76">
        <f t="shared" si="47"/>
        <v>0</v>
      </c>
      <c r="R76">
        <f t="shared" si="48"/>
        <v>0</v>
      </c>
      <c r="S76">
        <f t="shared" si="30"/>
        <v>0</v>
      </c>
      <c r="T76">
        <f t="shared" si="49"/>
        <v>0</v>
      </c>
      <c r="U76">
        <f t="shared" si="50"/>
        <v>0</v>
      </c>
      <c r="V76" s="32" t="s">
        <v>13</v>
      </c>
      <c r="X76" s="32" t="s">
        <v>14</v>
      </c>
      <c r="AA76" s="32" t="s">
        <v>14</v>
      </c>
      <c r="AB76" s="32" t="s">
        <v>14</v>
      </c>
      <c r="AD76" s="65" t="s">
        <v>79</v>
      </c>
      <c r="AE76" s="32" t="s">
        <v>14</v>
      </c>
      <c r="AF76" s="31" t="s">
        <v>14</v>
      </c>
      <c r="AH76" s="32" t="s">
        <v>14</v>
      </c>
      <c r="AI76" s="65" t="s">
        <v>13</v>
      </c>
      <c r="AJ76" s="32" t="s">
        <v>13</v>
      </c>
      <c r="AK76" s="32" t="s">
        <v>13</v>
      </c>
      <c r="AL76" s="32" t="s">
        <v>13</v>
      </c>
      <c r="AN76" s="32" t="s">
        <v>13</v>
      </c>
      <c r="AQ76" s="32" t="s">
        <v>14</v>
      </c>
      <c r="AS76" s="32" t="s">
        <v>13</v>
      </c>
      <c r="AT76" s="32" t="s">
        <v>13</v>
      </c>
      <c r="AX76" s="32" t="s">
        <v>14</v>
      </c>
      <c r="BC76" s="32" t="s">
        <v>14</v>
      </c>
      <c r="BF76" s="32" t="s">
        <v>14</v>
      </c>
      <c r="BG76" s="32" t="s">
        <v>13</v>
      </c>
    </row>
    <row r="77" spans="1:59" x14ac:dyDescent="0.3">
      <c r="A77" s="2">
        <f t="shared" ref="A77:B77" si="61">A76+1</f>
        <v>158</v>
      </c>
      <c r="B77" s="12">
        <f t="shared" si="61"/>
        <v>75</v>
      </c>
      <c r="C77" s="26">
        <v>44719.708333333336</v>
      </c>
      <c r="D77" s="4">
        <v>24</v>
      </c>
      <c r="E77" s="4">
        <f t="shared" si="54"/>
        <v>1776</v>
      </c>
      <c r="F77" s="5">
        <f t="shared" si="24"/>
        <v>74</v>
      </c>
      <c r="G77">
        <f t="shared" si="52"/>
        <v>0</v>
      </c>
      <c r="H77">
        <f t="shared" si="42"/>
        <v>0</v>
      </c>
      <c r="I77">
        <f t="shared" si="43"/>
        <v>0</v>
      </c>
      <c r="J77">
        <f t="shared" si="44"/>
        <v>0</v>
      </c>
      <c r="K77">
        <f t="shared" si="45"/>
        <v>0</v>
      </c>
      <c r="L77">
        <f t="shared" si="18"/>
        <v>9</v>
      </c>
      <c r="M77">
        <f t="shared" si="29"/>
        <v>10</v>
      </c>
      <c r="N77" s="5"/>
      <c r="O77">
        <f t="shared" si="27"/>
        <v>0</v>
      </c>
      <c r="P77">
        <f t="shared" si="46"/>
        <v>0</v>
      </c>
      <c r="Q77">
        <f t="shared" si="47"/>
        <v>0</v>
      </c>
      <c r="R77">
        <f t="shared" si="48"/>
        <v>0</v>
      </c>
      <c r="S77">
        <f t="shared" si="30"/>
        <v>0</v>
      </c>
      <c r="T77">
        <f t="shared" si="49"/>
        <v>0</v>
      </c>
      <c r="U77">
        <f t="shared" si="50"/>
        <v>0</v>
      </c>
      <c r="V77" s="32" t="s">
        <v>13</v>
      </c>
      <c r="X77" s="32" t="s">
        <v>14</v>
      </c>
      <c r="AA77" s="32" t="s">
        <v>14</v>
      </c>
      <c r="AB77" s="32" t="s">
        <v>14</v>
      </c>
      <c r="AD77" s="65" t="s">
        <v>79</v>
      </c>
      <c r="AE77" s="32" t="s">
        <v>14</v>
      </c>
      <c r="AF77" s="31" t="s">
        <v>14</v>
      </c>
      <c r="AH77" s="32" t="s">
        <v>14</v>
      </c>
      <c r="AI77" s="65" t="s">
        <v>13</v>
      </c>
      <c r="AJ77" s="32" t="s">
        <v>13</v>
      </c>
      <c r="AK77" s="32" t="s">
        <v>13</v>
      </c>
      <c r="AL77" s="32" t="s">
        <v>13</v>
      </c>
      <c r="AN77" s="32" t="s">
        <v>13</v>
      </c>
      <c r="AQ77" s="32" t="s">
        <v>14</v>
      </c>
      <c r="AS77" s="32" t="s">
        <v>13</v>
      </c>
      <c r="AT77" s="32" t="s">
        <v>13</v>
      </c>
      <c r="AX77" s="32" t="s">
        <v>14</v>
      </c>
      <c r="BC77" s="32" t="s">
        <v>14</v>
      </c>
      <c r="BF77" s="32" t="s">
        <v>14</v>
      </c>
      <c r="BG77" s="32" t="s">
        <v>13</v>
      </c>
    </row>
    <row r="78" spans="1:59" x14ac:dyDescent="0.3">
      <c r="A78" s="2">
        <f t="shared" ref="A78:B78" si="62">A77+1</f>
        <v>159</v>
      </c>
      <c r="B78" s="12">
        <f t="shared" si="62"/>
        <v>76</v>
      </c>
      <c r="C78" s="26">
        <v>44720.708333333336</v>
      </c>
      <c r="D78" s="4">
        <v>24</v>
      </c>
      <c r="E78" s="4">
        <f t="shared" si="54"/>
        <v>1800</v>
      </c>
      <c r="F78" s="5">
        <f t="shared" si="24"/>
        <v>75</v>
      </c>
      <c r="G78">
        <f t="shared" si="52"/>
        <v>0</v>
      </c>
      <c r="H78">
        <f t="shared" si="42"/>
        <v>0</v>
      </c>
      <c r="I78">
        <f t="shared" si="43"/>
        <v>0</v>
      </c>
      <c r="J78">
        <f t="shared" si="44"/>
        <v>0</v>
      </c>
      <c r="K78">
        <f t="shared" si="45"/>
        <v>0</v>
      </c>
      <c r="L78">
        <f t="shared" si="18"/>
        <v>9</v>
      </c>
      <c r="M78">
        <f t="shared" si="29"/>
        <v>10</v>
      </c>
      <c r="N78" s="5"/>
      <c r="O78">
        <f t="shared" si="27"/>
        <v>0</v>
      </c>
      <c r="P78">
        <f t="shared" si="46"/>
        <v>0</v>
      </c>
      <c r="Q78">
        <f t="shared" si="47"/>
        <v>0</v>
      </c>
      <c r="R78">
        <f t="shared" si="48"/>
        <v>0</v>
      </c>
      <c r="S78">
        <f t="shared" si="30"/>
        <v>0</v>
      </c>
      <c r="T78">
        <f t="shared" si="49"/>
        <v>0</v>
      </c>
      <c r="U78">
        <f t="shared" si="50"/>
        <v>0</v>
      </c>
      <c r="V78" s="32" t="s">
        <v>13</v>
      </c>
      <c r="X78" s="32" t="s">
        <v>14</v>
      </c>
      <c r="AA78" s="32" t="s">
        <v>14</v>
      </c>
      <c r="AB78" s="32" t="s">
        <v>14</v>
      </c>
      <c r="AD78" s="65" t="s">
        <v>79</v>
      </c>
      <c r="AE78" s="32" t="s">
        <v>14</v>
      </c>
      <c r="AF78" s="31" t="s">
        <v>14</v>
      </c>
      <c r="AH78" s="32" t="s">
        <v>14</v>
      </c>
      <c r="AI78" s="65" t="s">
        <v>13</v>
      </c>
      <c r="AJ78" s="32" t="s">
        <v>13</v>
      </c>
      <c r="AK78" s="32" t="s">
        <v>13</v>
      </c>
      <c r="AL78" s="32" t="s">
        <v>13</v>
      </c>
      <c r="AN78" s="32" t="s">
        <v>13</v>
      </c>
      <c r="AQ78" s="32" t="s">
        <v>14</v>
      </c>
      <c r="AS78" s="32" t="s">
        <v>13</v>
      </c>
      <c r="AT78" s="32" t="s">
        <v>13</v>
      </c>
      <c r="AX78" s="32" t="s">
        <v>14</v>
      </c>
      <c r="BC78" s="32" t="s">
        <v>14</v>
      </c>
      <c r="BF78" s="32" t="s">
        <v>14</v>
      </c>
      <c r="BG78" s="32" t="s">
        <v>13</v>
      </c>
    </row>
    <row r="79" spans="1:59" x14ac:dyDescent="0.3">
      <c r="A79" s="2">
        <f t="shared" ref="A79:B79" si="63">A78+1</f>
        <v>160</v>
      </c>
      <c r="B79" s="12">
        <f t="shared" si="63"/>
        <v>77</v>
      </c>
      <c r="C79" s="26">
        <v>44721.708333333336</v>
      </c>
      <c r="D79" s="4">
        <v>24</v>
      </c>
      <c r="E79" s="4">
        <f t="shared" si="54"/>
        <v>1824</v>
      </c>
      <c r="F79" s="5">
        <f t="shared" si="24"/>
        <v>76</v>
      </c>
      <c r="G79">
        <f t="shared" si="52"/>
        <v>0</v>
      </c>
      <c r="H79">
        <f t="shared" si="42"/>
        <v>0</v>
      </c>
      <c r="I79">
        <f t="shared" si="43"/>
        <v>0</v>
      </c>
      <c r="J79">
        <f t="shared" si="44"/>
        <v>0</v>
      </c>
      <c r="K79">
        <f t="shared" si="45"/>
        <v>0</v>
      </c>
      <c r="L79">
        <f t="shared" si="18"/>
        <v>9</v>
      </c>
      <c r="M79">
        <f t="shared" si="29"/>
        <v>10</v>
      </c>
      <c r="N79" s="5"/>
      <c r="O79">
        <f t="shared" si="27"/>
        <v>0</v>
      </c>
      <c r="P79">
        <f t="shared" si="46"/>
        <v>0</v>
      </c>
      <c r="Q79">
        <f t="shared" si="47"/>
        <v>0</v>
      </c>
      <c r="R79">
        <f t="shared" si="48"/>
        <v>0</v>
      </c>
      <c r="S79">
        <f t="shared" si="30"/>
        <v>0</v>
      </c>
      <c r="T79">
        <f t="shared" si="49"/>
        <v>0</v>
      </c>
      <c r="U79">
        <f t="shared" si="50"/>
        <v>0</v>
      </c>
      <c r="V79" s="32" t="s">
        <v>13</v>
      </c>
      <c r="X79" s="32" t="s">
        <v>14</v>
      </c>
      <c r="AA79" s="32" t="s">
        <v>14</v>
      </c>
      <c r="AB79" s="32" t="s">
        <v>14</v>
      </c>
      <c r="AD79" s="65" t="s">
        <v>79</v>
      </c>
      <c r="AE79" s="32" t="s">
        <v>14</v>
      </c>
      <c r="AF79" s="31" t="s">
        <v>14</v>
      </c>
      <c r="AH79" s="32" t="s">
        <v>14</v>
      </c>
      <c r="AI79" s="65" t="s">
        <v>13</v>
      </c>
      <c r="AJ79" s="32" t="s">
        <v>13</v>
      </c>
      <c r="AK79" s="32" t="s">
        <v>13</v>
      </c>
      <c r="AL79" s="32" t="s">
        <v>13</v>
      </c>
      <c r="AN79" s="32" t="s">
        <v>13</v>
      </c>
      <c r="AQ79" s="32" t="s">
        <v>14</v>
      </c>
      <c r="AS79" s="32" t="s">
        <v>13</v>
      </c>
      <c r="AT79" s="32" t="s">
        <v>13</v>
      </c>
      <c r="AX79" s="32" t="s">
        <v>14</v>
      </c>
      <c r="BC79" s="32" t="s">
        <v>14</v>
      </c>
      <c r="BF79" s="32" t="s">
        <v>14</v>
      </c>
      <c r="BG79" s="32" t="s">
        <v>13</v>
      </c>
    </row>
    <row r="80" spans="1:59" x14ac:dyDescent="0.3">
      <c r="A80" s="2">
        <f t="shared" ref="A80:B80" si="64">A79+1</f>
        <v>161</v>
      </c>
      <c r="B80" s="12">
        <f t="shared" si="64"/>
        <v>78</v>
      </c>
      <c r="C80" s="26">
        <v>44722.708333333336</v>
      </c>
      <c r="D80" s="4">
        <v>24</v>
      </c>
      <c r="E80" s="4">
        <f t="shared" si="54"/>
        <v>1848</v>
      </c>
      <c r="F80" s="5">
        <f t="shared" si="24"/>
        <v>77</v>
      </c>
      <c r="G80">
        <f t="shared" si="52"/>
        <v>0</v>
      </c>
      <c r="H80">
        <f t="shared" si="42"/>
        <v>0</v>
      </c>
      <c r="I80">
        <f t="shared" si="43"/>
        <v>0</v>
      </c>
      <c r="J80">
        <f t="shared" si="44"/>
        <v>0</v>
      </c>
      <c r="K80">
        <f t="shared" si="45"/>
        <v>0</v>
      </c>
      <c r="L80">
        <f t="shared" si="18"/>
        <v>9</v>
      </c>
      <c r="M80">
        <f t="shared" si="29"/>
        <v>10</v>
      </c>
      <c r="N80" s="5"/>
      <c r="O80">
        <f t="shared" si="27"/>
        <v>0</v>
      </c>
      <c r="P80">
        <f t="shared" si="46"/>
        <v>0</v>
      </c>
      <c r="Q80">
        <f t="shared" si="47"/>
        <v>0</v>
      </c>
      <c r="R80">
        <f t="shared" si="48"/>
        <v>0</v>
      </c>
      <c r="S80">
        <f t="shared" si="30"/>
        <v>0</v>
      </c>
      <c r="T80">
        <f t="shared" si="49"/>
        <v>0</v>
      </c>
      <c r="U80">
        <f t="shared" si="50"/>
        <v>0</v>
      </c>
      <c r="V80" s="32" t="s">
        <v>13</v>
      </c>
      <c r="X80" s="32" t="s">
        <v>14</v>
      </c>
      <c r="AA80" s="32" t="s">
        <v>14</v>
      </c>
      <c r="AB80" s="32" t="s">
        <v>14</v>
      </c>
      <c r="AD80" s="65" t="s">
        <v>79</v>
      </c>
      <c r="AE80" s="32" t="s">
        <v>14</v>
      </c>
      <c r="AF80" s="31" t="s">
        <v>14</v>
      </c>
      <c r="AH80" s="32" t="s">
        <v>14</v>
      </c>
      <c r="AI80" s="65" t="s">
        <v>13</v>
      </c>
      <c r="AJ80" s="32" t="s">
        <v>13</v>
      </c>
      <c r="AK80" s="32" t="s">
        <v>13</v>
      </c>
      <c r="AL80" s="32" t="s">
        <v>13</v>
      </c>
      <c r="AN80" s="32" t="s">
        <v>13</v>
      </c>
      <c r="AQ80" s="32" t="s">
        <v>14</v>
      </c>
      <c r="AS80" s="32" t="s">
        <v>13</v>
      </c>
      <c r="AT80" s="32" t="s">
        <v>13</v>
      </c>
      <c r="AX80" s="32" t="s">
        <v>14</v>
      </c>
      <c r="BC80" s="32" t="s">
        <v>14</v>
      </c>
      <c r="BF80" s="32" t="s">
        <v>14</v>
      </c>
      <c r="BG80" s="32" t="s">
        <v>13</v>
      </c>
    </row>
    <row r="81" spans="1:59" x14ac:dyDescent="0.3">
      <c r="A81" s="2">
        <f t="shared" ref="A81:B81" si="65">A80+1</f>
        <v>162</v>
      </c>
      <c r="B81" s="12">
        <f t="shared" si="65"/>
        <v>79</v>
      </c>
      <c r="C81" s="26">
        <v>44723.708333333336</v>
      </c>
      <c r="D81" s="4">
        <v>24</v>
      </c>
      <c r="E81" s="4">
        <f t="shared" si="54"/>
        <v>1872</v>
      </c>
      <c r="F81" s="5">
        <f t="shared" si="24"/>
        <v>78</v>
      </c>
      <c r="G81">
        <f t="shared" si="52"/>
        <v>0</v>
      </c>
      <c r="H81">
        <f t="shared" si="42"/>
        <v>0</v>
      </c>
      <c r="I81">
        <f t="shared" si="43"/>
        <v>0</v>
      </c>
      <c r="J81">
        <f t="shared" si="44"/>
        <v>0</v>
      </c>
      <c r="K81">
        <f t="shared" si="45"/>
        <v>0</v>
      </c>
      <c r="L81">
        <f t="shared" si="18"/>
        <v>9</v>
      </c>
      <c r="M81">
        <f t="shared" si="29"/>
        <v>9</v>
      </c>
      <c r="N81" s="5"/>
      <c r="O81">
        <f t="shared" si="27"/>
        <v>0</v>
      </c>
      <c r="P81">
        <f t="shared" si="46"/>
        <v>0</v>
      </c>
      <c r="Q81">
        <f t="shared" si="47"/>
        <v>0</v>
      </c>
      <c r="R81">
        <f t="shared" si="48"/>
        <v>0</v>
      </c>
      <c r="S81">
        <f t="shared" si="30"/>
        <v>0</v>
      </c>
      <c r="T81">
        <f t="shared" si="49"/>
        <v>0</v>
      </c>
      <c r="U81">
        <f>COUNTIF($V81:$BS81, "AF_D")</f>
        <v>1</v>
      </c>
      <c r="V81" s="32" t="s">
        <v>13</v>
      </c>
      <c r="X81" s="32" t="s">
        <v>14</v>
      </c>
      <c r="AA81" s="32" t="s">
        <v>14</v>
      </c>
      <c r="AB81" s="32" t="s">
        <v>83</v>
      </c>
      <c r="AD81" s="65" t="s">
        <v>79</v>
      </c>
      <c r="AE81" s="32" t="s">
        <v>14</v>
      </c>
      <c r="AF81" s="31" t="s">
        <v>14</v>
      </c>
      <c r="AH81" s="32" t="s">
        <v>14</v>
      </c>
      <c r="AI81" s="65" t="s">
        <v>13</v>
      </c>
      <c r="AJ81" s="32" t="s">
        <v>13</v>
      </c>
      <c r="AK81" s="32" t="s">
        <v>13</v>
      </c>
      <c r="AL81" s="32" t="s">
        <v>13</v>
      </c>
      <c r="AN81" s="32" t="s">
        <v>13</v>
      </c>
      <c r="AQ81" s="32" t="s">
        <v>14</v>
      </c>
      <c r="AS81" s="32" t="s">
        <v>13</v>
      </c>
      <c r="AT81" s="32" t="s">
        <v>13</v>
      </c>
      <c r="AX81" s="32" t="s">
        <v>14</v>
      </c>
      <c r="BC81" s="32" t="s">
        <v>14</v>
      </c>
      <c r="BF81" s="32" t="s">
        <v>14</v>
      </c>
      <c r="BG81" s="32" t="s">
        <v>13</v>
      </c>
    </row>
    <row r="82" spans="1:59" x14ac:dyDescent="0.3">
      <c r="A82" s="2">
        <f t="shared" ref="A82:B82" si="66">A81+1</f>
        <v>163</v>
      </c>
      <c r="B82" s="12">
        <f t="shared" si="66"/>
        <v>80</v>
      </c>
      <c r="C82" s="26">
        <v>44724.708333333336</v>
      </c>
      <c r="D82" s="4">
        <v>24</v>
      </c>
      <c r="E82" s="4">
        <f t="shared" si="54"/>
        <v>1896</v>
      </c>
      <c r="F82" s="5">
        <f t="shared" si="24"/>
        <v>79</v>
      </c>
      <c r="G82">
        <f t="shared" si="52"/>
        <v>0</v>
      </c>
      <c r="H82">
        <f t="shared" si="42"/>
        <v>0</v>
      </c>
      <c r="I82">
        <f t="shared" si="43"/>
        <v>0</v>
      </c>
      <c r="J82">
        <f t="shared" si="44"/>
        <v>0</v>
      </c>
      <c r="K82">
        <f t="shared" si="45"/>
        <v>0</v>
      </c>
      <c r="L82">
        <f t="shared" si="18"/>
        <v>9</v>
      </c>
      <c r="M82">
        <f t="shared" si="29"/>
        <v>9</v>
      </c>
      <c r="N82" s="5"/>
      <c r="O82">
        <f t="shared" si="27"/>
        <v>0</v>
      </c>
      <c r="P82">
        <f t="shared" si="46"/>
        <v>0</v>
      </c>
      <c r="Q82">
        <f t="shared" si="47"/>
        <v>0</v>
      </c>
      <c r="R82">
        <f t="shared" si="48"/>
        <v>0</v>
      </c>
      <c r="S82">
        <f t="shared" si="30"/>
        <v>0</v>
      </c>
      <c r="T82">
        <f t="shared" si="49"/>
        <v>0</v>
      </c>
      <c r="U82">
        <f t="shared" si="50"/>
        <v>1</v>
      </c>
      <c r="V82" s="32" t="s">
        <v>13</v>
      </c>
      <c r="X82" s="32" t="s">
        <v>14</v>
      </c>
      <c r="Z82" s="64"/>
      <c r="AA82" s="32" t="s">
        <v>14</v>
      </c>
      <c r="AB82" s="32" t="s">
        <v>83</v>
      </c>
      <c r="AD82" s="65" t="s">
        <v>79</v>
      </c>
      <c r="AE82" s="32" t="s">
        <v>14</v>
      </c>
      <c r="AF82" s="31" t="s">
        <v>14</v>
      </c>
      <c r="AH82" s="32" t="s">
        <v>14</v>
      </c>
      <c r="AI82" s="65" t="s">
        <v>13</v>
      </c>
      <c r="AJ82" s="32" t="s">
        <v>13</v>
      </c>
      <c r="AK82" s="32" t="s">
        <v>13</v>
      </c>
      <c r="AL82" s="32" t="s">
        <v>13</v>
      </c>
      <c r="AN82" s="32" t="s">
        <v>13</v>
      </c>
      <c r="AQ82" s="32" t="s">
        <v>14</v>
      </c>
      <c r="AS82" s="32" t="s">
        <v>13</v>
      </c>
      <c r="AT82" s="32" t="s">
        <v>13</v>
      </c>
      <c r="AX82" s="32" t="s">
        <v>14</v>
      </c>
      <c r="BC82" s="32" t="s">
        <v>14</v>
      </c>
      <c r="BF82" s="32" t="s">
        <v>14</v>
      </c>
      <c r="BG82" s="32" t="s">
        <v>13</v>
      </c>
    </row>
    <row r="83" spans="1:59" x14ac:dyDescent="0.3">
      <c r="A83" s="2">
        <f t="shared" ref="A83:B83" si="67">A82+1</f>
        <v>164</v>
      </c>
      <c r="B83" s="12">
        <f t="shared" si="67"/>
        <v>81</v>
      </c>
      <c r="C83" s="26">
        <v>44725.708333333336</v>
      </c>
      <c r="D83" s="4">
        <v>24</v>
      </c>
      <c r="E83" s="4">
        <f t="shared" si="54"/>
        <v>1920</v>
      </c>
      <c r="F83" s="5">
        <f t="shared" si="24"/>
        <v>80</v>
      </c>
      <c r="G83">
        <f t="shared" si="52"/>
        <v>0</v>
      </c>
      <c r="H83">
        <f t="shared" si="42"/>
        <v>0</v>
      </c>
      <c r="I83">
        <f t="shared" si="43"/>
        <v>0</v>
      </c>
      <c r="J83">
        <f t="shared" si="44"/>
        <v>0</v>
      </c>
      <c r="K83">
        <f t="shared" si="45"/>
        <v>0</v>
      </c>
      <c r="L83">
        <f t="shared" si="18"/>
        <v>9</v>
      </c>
      <c r="M83">
        <f t="shared" si="29"/>
        <v>9</v>
      </c>
      <c r="N83" s="5"/>
      <c r="O83">
        <f t="shared" si="27"/>
        <v>0</v>
      </c>
      <c r="P83">
        <f t="shared" si="46"/>
        <v>0</v>
      </c>
      <c r="Q83">
        <f t="shared" si="47"/>
        <v>0</v>
      </c>
      <c r="R83">
        <f t="shared" si="48"/>
        <v>0</v>
      </c>
      <c r="S83">
        <f t="shared" si="30"/>
        <v>0</v>
      </c>
      <c r="T83">
        <f t="shared" si="49"/>
        <v>0</v>
      </c>
      <c r="U83">
        <f t="shared" si="50"/>
        <v>1</v>
      </c>
      <c r="V83" s="32" t="s">
        <v>13</v>
      </c>
      <c r="X83" s="32" t="s">
        <v>14</v>
      </c>
      <c r="Z83" s="64"/>
      <c r="AA83" s="32" t="s">
        <v>14</v>
      </c>
      <c r="AB83" s="32" t="s">
        <v>83</v>
      </c>
      <c r="AD83" s="65" t="s">
        <v>79</v>
      </c>
      <c r="AE83" s="32" t="s">
        <v>14</v>
      </c>
      <c r="AF83" s="31" t="s">
        <v>14</v>
      </c>
      <c r="AH83" s="32" t="s">
        <v>14</v>
      </c>
      <c r="AI83" s="65" t="s">
        <v>13</v>
      </c>
      <c r="AJ83" s="32" t="s">
        <v>13</v>
      </c>
      <c r="AK83" s="32" t="s">
        <v>13</v>
      </c>
      <c r="AL83" s="32" t="s">
        <v>13</v>
      </c>
      <c r="AN83" s="32" t="s">
        <v>13</v>
      </c>
      <c r="AQ83" s="32" t="s">
        <v>14</v>
      </c>
      <c r="AS83" s="32" t="s">
        <v>13</v>
      </c>
      <c r="AT83" s="32" t="s">
        <v>13</v>
      </c>
      <c r="AX83" s="32" t="s">
        <v>14</v>
      </c>
      <c r="BC83" s="32" t="s">
        <v>14</v>
      </c>
      <c r="BF83" s="32" t="s">
        <v>14</v>
      </c>
      <c r="BG83" s="32" t="s">
        <v>13</v>
      </c>
    </row>
    <row r="84" spans="1:59" x14ac:dyDescent="0.3">
      <c r="A84" s="2">
        <f t="shared" ref="A84:B84" si="68">A83+1</f>
        <v>165</v>
      </c>
      <c r="B84" s="12">
        <f t="shared" si="68"/>
        <v>82</v>
      </c>
      <c r="C84" s="26">
        <v>44726.708333333336</v>
      </c>
      <c r="D84" s="4">
        <v>24</v>
      </c>
      <c r="E84" s="4">
        <f t="shared" si="54"/>
        <v>1944</v>
      </c>
      <c r="F84" s="5">
        <f t="shared" si="24"/>
        <v>81</v>
      </c>
      <c r="G84">
        <f t="shared" si="52"/>
        <v>0</v>
      </c>
      <c r="H84">
        <f t="shared" si="42"/>
        <v>0</v>
      </c>
      <c r="I84">
        <f t="shared" si="43"/>
        <v>0</v>
      </c>
      <c r="J84">
        <f t="shared" si="44"/>
        <v>0</v>
      </c>
      <c r="K84">
        <f t="shared" si="45"/>
        <v>0</v>
      </c>
      <c r="L84">
        <f t="shared" si="18"/>
        <v>8</v>
      </c>
      <c r="M84">
        <f t="shared" si="29"/>
        <v>9</v>
      </c>
      <c r="N84" s="5"/>
      <c r="O84">
        <f t="shared" si="27"/>
        <v>0</v>
      </c>
      <c r="P84">
        <f t="shared" si="46"/>
        <v>0</v>
      </c>
      <c r="Q84">
        <f t="shared" si="47"/>
        <v>0</v>
      </c>
      <c r="R84">
        <f t="shared" si="48"/>
        <v>0</v>
      </c>
      <c r="S84">
        <f t="shared" si="30"/>
        <v>0</v>
      </c>
      <c r="T84">
        <f t="shared" si="49"/>
        <v>1</v>
      </c>
      <c r="U84">
        <f t="shared" si="50"/>
        <v>1</v>
      </c>
      <c r="V84" s="32" t="s">
        <v>13</v>
      </c>
      <c r="X84" s="32" t="s">
        <v>14</v>
      </c>
      <c r="Z84" s="64"/>
      <c r="AA84" s="32" t="s">
        <v>14</v>
      </c>
      <c r="AB84" s="32" t="s">
        <v>83</v>
      </c>
      <c r="AD84" s="65" t="s">
        <v>79</v>
      </c>
      <c r="AE84" s="32" t="s">
        <v>14</v>
      </c>
      <c r="AF84" s="31" t="s">
        <v>14</v>
      </c>
      <c r="AH84" s="32" t="s">
        <v>14</v>
      </c>
      <c r="AI84" s="65" t="s">
        <v>13</v>
      </c>
      <c r="AJ84" s="32" t="s">
        <v>13</v>
      </c>
      <c r="AK84" s="32" t="s">
        <v>13</v>
      </c>
      <c r="AL84" s="32" t="s">
        <v>13</v>
      </c>
      <c r="AN84" s="32" t="s">
        <v>13</v>
      </c>
      <c r="AQ84" s="32" t="s">
        <v>14</v>
      </c>
      <c r="AS84" s="32" t="s">
        <v>82</v>
      </c>
      <c r="AT84" s="32" t="s">
        <v>13</v>
      </c>
      <c r="AX84" s="32" t="s">
        <v>14</v>
      </c>
      <c r="BC84" s="32" t="s">
        <v>14</v>
      </c>
      <c r="BF84" s="32" t="s">
        <v>14</v>
      </c>
      <c r="BG84" s="32" t="s">
        <v>13</v>
      </c>
    </row>
    <row r="85" spans="1:59" x14ac:dyDescent="0.3">
      <c r="A85" s="2">
        <f t="shared" ref="A85:B85" si="69">A84+1</f>
        <v>166</v>
      </c>
      <c r="B85" s="12">
        <f t="shared" si="69"/>
        <v>83</v>
      </c>
      <c r="C85" s="26">
        <v>44727.708333333336</v>
      </c>
      <c r="D85" s="4">
        <v>24</v>
      </c>
      <c r="E85" s="4">
        <f t="shared" si="54"/>
        <v>1968</v>
      </c>
      <c r="F85" s="5">
        <f t="shared" si="24"/>
        <v>82</v>
      </c>
      <c r="G85">
        <f t="shared" si="52"/>
        <v>0</v>
      </c>
      <c r="H85">
        <f t="shared" si="42"/>
        <v>0</v>
      </c>
      <c r="I85">
        <f t="shared" si="43"/>
        <v>0</v>
      </c>
      <c r="J85">
        <f t="shared" si="44"/>
        <v>0</v>
      </c>
      <c r="K85">
        <f t="shared" si="45"/>
        <v>0</v>
      </c>
      <c r="L85">
        <f t="shared" si="18"/>
        <v>8</v>
      </c>
      <c r="M85">
        <f t="shared" si="29"/>
        <v>9</v>
      </c>
      <c r="N85" s="5"/>
      <c r="O85">
        <f t="shared" si="27"/>
        <v>0</v>
      </c>
      <c r="P85">
        <f t="shared" si="46"/>
        <v>0</v>
      </c>
      <c r="Q85">
        <f t="shared" si="47"/>
        <v>0</v>
      </c>
      <c r="R85">
        <f t="shared" si="48"/>
        <v>0</v>
      </c>
      <c r="S85">
        <f t="shared" si="30"/>
        <v>0</v>
      </c>
      <c r="T85">
        <f t="shared" si="49"/>
        <v>1</v>
      </c>
      <c r="U85">
        <f t="shared" si="50"/>
        <v>1</v>
      </c>
      <c r="V85" s="32" t="s">
        <v>13</v>
      </c>
      <c r="X85" s="32" t="s">
        <v>14</v>
      </c>
      <c r="Z85" s="68"/>
      <c r="AA85" s="32" t="s">
        <v>14</v>
      </c>
      <c r="AB85" s="32" t="s">
        <v>83</v>
      </c>
      <c r="AD85" s="65" t="s">
        <v>79</v>
      </c>
      <c r="AE85" s="32" t="s">
        <v>14</v>
      </c>
      <c r="AF85" s="31" t="s">
        <v>14</v>
      </c>
      <c r="AH85" s="32" t="s">
        <v>14</v>
      </c>
      <c r="AI85" s="65" t="s">
        <v>13</v>
      </c>
      <c r="AJ85" s="32" t="s">
        <v>13</v>
      </c>
      <c r="AK85" s="32" t="s">
        <v>82</v>
      </c>
      <c r="AL85" s="32" t="s">
        <v>13</v>
      </c>
      <c r="AN85" s="32" t="s">
        <v>13</v>
      </c>
      <c r="AQ85" s="32" t="s">
        <v>14</v>
      </c>
      <c r="AS85" s="65" t="s">
        <v>13</v>
      </c>
      <c r="AT85" s="32" t="s">
        <v>13</v>
      </c>
      <c r="AX85" s="32" t="s">
        <v>14</v>
      </c>
      <c r="BC85" s="32" t="s">
        <v>14</v>
      </c>
      <c r="BF85" s="32" t="s">
        <v>14</v>
      </c>
      <c r="BG85" s="32" t="s">
        <v>13</v>
      </c>
    </row>
    <row r="86" spans="1:59" x14ac:dyDescent="0.3">
      <c r="A86" s="2">
        <f t="shared" ref="A86:B86" si="70">A85+1</f>
        <v>167</v>
      </c>
      <c r="B86" s="12">
        <f t="shared" si="70"/>
        <v>84</v>
      </c>
      <c r="C86" s="26">
        <v>44728.708333333336</v>
      </c>
      <c r="D86" s="4">
        <v>24</v>
      </c>
      <c r="E86" s="4">
        <f t="shared" si="54"/>
        <v>1992</v>
      </c>
      <c r="F86" s="5">
        <f t="shared" si="24"/>
        <v>83</v>
      </c>
      <c r="G86">
        <f t="shared" si="52"/>
        <v>0</v>
      </c>
      <c r="H86">
        <f t="shared" si="42"/>
        <v>0</v>
      </c>
      <c r="I86">
        <f t="shared" si="43"/>
        <v>0</v>
      </c>
      <c r="J86">
        <f t="shared" si="44"/>
        <v>0</v>
      </c>
      <c r="K86">
        <f t="shared" si="45"/>
        <v>0</v>
      </c>
      <c r="L86">
        <f t="shared" si="18"/>
        <v>8</v>
      </c>
      <c r="M86">
        <f t="shared" si="29"/>
        <v>9</v>
      </c>
      <c r="N86" s="5"/>
      <c r="O86">
        <f t="shared" si="27"/>
        <v>0</v>
      </c>
      <c r="P86">
        <f t="shared" si="46"/>
        <v>0</v>
      </c>
      <c r="Q86">
        <f t="shared" si="47"/>
        <v>0</v>
      </c>
      <c r="R86">
        <f t="shared" si="48"/>
        <v>0</v>
      </c>
      <c r="S86">
        <f t="shared" si="30"/>
        <v>0</v>
      </c>
      <c r="T86">
        <f t="shared" si="49"/>
        <v>0</v>
      </c>
      <c r="U86">
        <f t="shared" si="50"/>
        <v>1</v>
      </c>
      <c r="V86" s="32" t="s">
        <v>13</v>
      </c>
      <c r="X86" s="32" t="s">
        <v>14</v>
      </c>
      <c r="AA86" s="32" t="s">
        <v>14</v>
      </c>
      <c r="AB86" s="32" t="s">
        <v>83</v>
      </c>
      <c r="AD86" s="32"/>
      <c r="AE86" s="32" t="s">
        <v>14</v>
      </c>
      <c r="AF86" s="31" t="s">
        <v>14</v>
      </c>
      <c r="AH86" s="32" t="s">
        <v>14</v>
      </c>
      <c r="AI86" s="65" t="s">
        <v>13</v>
      </c>
      <c r="AJ86" s="32" t="s">
        <v>13</v>
      </c>
      <c r="AK86" s="65" t="s">
        <v>79</v>
      </c>
      <c r="AL86" s="32" t="s">
        <v>13</v>
      </c>
      <c r="AN86" s="32" t="s">
        <v>13</v>
      </c>
      <c r="AQ86" s="32" t="s">
        <v>14</v>
      </c>
      <c r="AS86" s="65" t="s">
        <v>13</v>
      </c>
      <c r="AT86" s="32" t="s">
        <v>13</v>
      </c>
      <c r="AX86" s="32" t="s">
        <v>14</v>
      </c>
      <c r="BC86" s="32" t="s">
        <v>14</v>
      </c>
      <c r="BF86" s="32" t="s">
        <v>14</v>
      </c>
      <c r="BG86" s="32" t="s">
        <v>13</v>
      </c>
    </row>
    <row r="87" spans="1:59" x14ac:dyDescent="0.3">
      <c r="A87" s="2">
        <f t="shared" ref="A87:B87" si="71">A86+1</f>
        <v>168</v>
      </c>
      <c r="B87" s="12">
        <f t="shared" si="71"/>
        <v>85</v>
      </c>
      <c r="C87" s="26">
        <v>44729.708333333336</v>
      </c>
      <c r="D87" s="4">
        <v>24</v>
      </c>
      <c r="E87" s="4">
        <f t="shared" si="54"/>
        <v>2016</v>
      </c>
      <c r="F87" s="5">
        <f t="shared" si="24"/>
        <v>84</v>
      </c>
      <c r="G87">
        <f t="shared" si="52"/>
        <v>0</v>
      </c>
      <c r="H87">
        <f t="shared" si="42"/>
        <v>0</v>
      </c>
      <c r="I87">
        <f t="shared" si="43"/>
        <v>0</v>
      </c>
      <c r="J87">
        <f t="shared" si="44"/>
        <v>0</v>
      </c>
      <c r="K87">
        <f t="shared" si="45"/>
        <v>0</v>
      </c>
      <c r="L87">
        <f t="shared" si="18"/>
        <v>8</v>
      </c>
      <c r="M87">
        <f t="shared" si="29"/>
        <v>9</v>
      </c>
      <c r="N87" s="5"/>
      <c r="O87">
        <f t="shared" si="27"/>
        <v>0</v>
      </c>
      <c r="P87">
        <f t="shared" si="46"/>
        <v>0</v>
      </c>
      <c r="Q87">
        <f t="shared" si="47"/>
        <v>0</v>
      </c>
      <c r="R87">
        <f t="shared" si="48"/>
        <v>0</v>
      </c>
      <c r="S87">
        <f t="shared" si="30"/>
        <v>0</v>
      </c>
      <c r="T87">
        <f t="shared" si="49"/>
        <v>0</v>
      </c>
      <c r="U87">
        <f t="shared" si="50"/>
        <v>1</v>
      </c>
      <c r="V87" s="32" t="s">
        <v>13</v>
      </c>
      <c r="X87" s="32" t="s">
        <v>14</v>
      </c>
      <c r="AA87" s="32" t="s">
        <v>14</v>
      </c>
      <c r="AB87" s="32" t="s">
        <v>83</v>
      </c>
      <c r="AD87" s="32"/>
      <c r="AE87" s="32" t="s">
        <v>14</v>
      </c>
      <c r="AF87" s="31" t="s">
        <v>14</v>
      </c>
      <c r="AH87" s="32" t="s">
        <v>14</v>
      </c>
      <c r="AI87" s="65" t="s">
        <v>13</v>
      </c>
      <c r="AJ87" s="32" t="s">
        <v>13</v>
      </c>
      <c r="AK87" s="65" t="s">
        <v>79</v>
      </c>
      <c r="AL87" s="32" t="s">
        <v>13</v>
      </c>
      <c r="AN87" s="32" t="s">
        <v>13</v>
      </c>
      <c r="AQ87" s="32" t="s">
        <v>14</v>
      </c>
      <c r="AS87" s="65" t="s">
        <v>13</v>
      </c>
      <c r="AT87" s="32" t="s">
        <v>13</v>
      </c>
      <c r="AX87" s="32" t="s">
        <v>14</v>
      </c>
      <c r="BC87" s="32" t="s">
        <v>14</v>
      </c>
      <c r="BF87" s="32" t="s">
        <v>14</v>
      </c>
      <c r="BG87" s="32" t="s">
        <v>13</v>
      </c>
    </row>
    <row r="88" spans="1:59" x14ac:dyDescent="0.3">
      <c r="A88" s="2">
        <f t="shared" ref="A88:B88" si="72">A87+1</f>
        <v>169</v>
      </c>
      <c r="B88" s="12">
        <f t="shared" si="72"/>
        <v>86</v>
      </c>
      <c r="C88" s="26">
        <v>44730.708333333336</v>
      </c>
      <c r="D88" s="4">
        <v>24</v>
      </c>
      <c r="E88" s="4">
        <f t="shared" si="54"/>
        <v>2040</v>
      </c>
      <c r="F88" s="5">
        <f t="shared" si="24"/>
        <v>85</v>
      </c>
      <c r="G88">
        <f t="shared" si="52"/>
        <v>0</v>
      </c>
      <c r="H88">
        <f t="shared" si="42"/>
        <v>0</v>
      </c>
      <c r="I88">
        <f t="shared" si="43"/>
        <v>0</v>
      </c>
      <c r="J88">
        <f t="shared" si="44"/>
        <v>0</v>
      </c>
      <c r="K88">
        <f t="shared" si="45"/>
        <v>0</v>
      </c>
      <c r="L88">
        <f t="shared" si="18"/>
        <v>8</v>
      </c>
      <c r="M88">
        <f t="shared" si="29"/>
        <v>9</v>
      </c>
      <c r="N88" s="5"/>
      <c r="O88">
        <f t="shared" si="27"/>
        <v>0</v>
      </c>
      <c r="P88">
        <f t="shared" si="46"/>
        <v>0</v>
      </c>
      <c r="Q88">
        <f t="shared" si="47"/>
        <v>0</v>
      </c>
      <c r="R88">
        <f t="shared" si="48"/>
        <v>0</v>
      </c>
      <c r="S88">
        <f t="shared" si="30"/>
        <v>0</v>
      </c>
      <c r="T88">
        <f t="shared" si="49"/>
        <v>0</v>
      </c>
      <c r="U88">
        <f t="shared" si="50"/>
        <v>1</v>
      </c>
      <c r="V88" s="32" t="s">
        <v>13</v>
      </c>
      <c r="X88" s="32" t="s">
        <v>14</v>
      </c>
      <c r="AA88" s="32" t="s">
        <v>14</v>
      </c>
      <c r="AB88" s="32" t="s">
        <v>83</v>
      </c>
      <c r="AD88" s="32"/>
      <c r="AE88" s="32" t="s">
        <v>14</v>
      </c>
      <c r="AF88" s="31" t="s">
        <v>14</v>
      </c>
      <c r="AH88" s="32" t="s">
        <v>14</v>
      </c>
      <c r="AI88" s="65" t="s">
        <v>13</v>
      </c>
      <c r="AJ88" s="32" t="s">
        <v>13</v>
      </c>
      <c r="AK88" s="65" t="s">
        <v>79</v>
      </c>
      <c r="AL88" s="32" t="s">
        <v>13</v>
      </c>
      <c r="AN88" s="32" t="s">
        <v>13</v>
      </c>
      <c r="AQ88" s="32" t="s">
        <v>14</v>
      </c>
      <c r="AS88" s="65" t="s">
        <v>13</v>
      </c>
      <c r="AT88" s="32" t="s">
        <v>13</v>
      </c>
      <c r="AX88" s="32" t="s">
        <v>14</v>
      </c>
      <c r="BC88" s="32" t="s">
        <v>14</v>
      </c>
      <c r="BF88" s="32" t="s">
        <v>14</v>
      </c>
      <c r="BG88" s="32" t="s">
        <v>13</v>
      </c>
    </row>
    <row r="89" spans="1:59" x14ac:dyDescent="0.3">
      <c r="A89" s="2">
        <f t="shared" ref="A89:B89" si="73">A88+1</f>
        <v>170</v>
      </c>
      <c r="B89" s="12">
        <f t="shared" si="73"/>
        <v>87</v>
      </c>
      <c r="C89" s="26">
        <v>44731.708333333336</v>
      </c>
      <c r="D89" s="4">
        <v>24</v>
      </c>
      <c r="E89" s="4">
        <f t="shared" si="54"/>
        <v>2064</v>
      </c>
      <c r="F89" s="5">
        <f t="shared" si="24"/>
        <v>86</v>
      </c>
      <c r="G89">
        <f t="shared" si="52"/>
        <v>0</v>
      </c>
      <c r="H89">
        <f t="shared" si="42"/>
        <v>0</v>
      </c>
      <c r="I89">
        <f t="shared" si="43"/>
        <v>0</v>
      </c>
      <c r="J89">
        <f t="shared" si="44"/>
        <v>0</v>
      </c>
      <c r="K89">
        <f t="shared" si="45"/>
        <v>0</v>
      </c>
      <c r="L89">
        <f t="shared" si="18"/>
        <v>8</v>
      </c>
      <c r="M89">
        <f t="shared" si="29"/>
        <v>9</v>
      </c>
      <c r="N89" s="5"/>
      <c r="O89">
        <f t="shared" si="27"/>
        <v>0</v>
      </c>
      <c r="P89">
        <f t="shared" si="46"/>
        <v>0</v>
      </c>
      <c r="Q89">
        <f t="shared" si="47"/>
        <v>0</v>
      </c>
      <c r="R89">
        <f t="shared" si="48"/>
        <v>0</v>
      </c>
      <c r="S89">
        <f t="shared" si="30"/>
        <v>0</v>
      </c>
      <c r="T89">
        <f t="shared" si="49"/>
        <v>0</v>
      </c>
      <c r="U89">
        <f t="shared" si="50"/>
        <v>1</v>
      </c>
      <c r="V89" s="32" t="s">
        <v>13</v>
      </c>
      <c r="X89" s="32" t="s">
        <v>14</v>
      </c>
      <c r="AA89" s="32" t="s">
        <v>14</v>
      </c>
      <c r="AB89" s="32" t="s">
        <v>83</v>
      </c>
      <c r="AD89" s="32"/>
      <c r="AE89" s="32" t="s">
        <v>14</v>
      </c>
      <c r="AF89" s="31" t="s">
        <v>14</v>
      </c>
      <c r="AH89" s="32" t="s">
        <v>14</v>
      </c>
      <c r="AI89" s="65" t="s">
        <v>13</v>
      </c>
      <c r="AJ89" s="32" t="s">
        <v>13</v>
      </c>
      <c r="AK89" s="65" t="s">
        <v>79</v>
      </c>
      <c r="AL89" s="32" t="s">
        <v>13</v>
      </c>
      <c r="AN89" s="32" t="s">
        <v>13</v>
      </c>
      <c r="AQ89" s="32" t="s">
        <v>14</v>
      </c>
      <c r="AS89" s="65" t="s">
        <v>13</v>
      </c>
      <c r="AT89" s="32" t="s">
        <v>13</v>
      </c>
      <c r="AX89" s="32" t="s">
        <v>14</v>
      </c>
      <c r="BC89" s="32" t="s">
        <v>14</v>
      </c>
      <c r="BF89" s="32" t="s">
        <v>14</v>
      </c>
      <c r="BG89" s="32" t="s">
        <v>13</v>
      </c>
    </row>
    <row r="90" spans="1:59" x14ac:dyDescent="0.3">
      <c r="A90" s="2">
        <f t="shared" ref="A90:B90" si="74">A89+1</f>
        <v>171</v>
      </c>
      <c r="B90" s="12">
        <f t="shared" si="74"/>
        <v>88</v>
      </c>
      <c r="C90" s="26">
        <v>44732.708333333336</v>
      </c>
      <c r="D90" s="4">
        <v>24</v>
      </c>
      <c r="E90" s="4">
        <f t="shared" si="54"/>
        <v>2088</v>
      </c>
      <c r="F90" s="5">
        <f t="shared" si="24"/>
        <v>87</v>
      </c>
      <c r="G90">
        <f t="shared" si="52"/>
        <v>0</v>
      </c>
      <c r="H90">
        <f t="shared" si="42"/>
        <v>0</v>
      </c>
      <c r="I90">
        <f t="shared" si="43"/>
        <v>0</v>
      </c>
      <c r="J90">
        <f t="shared" si="44"/>
        <v>0</v>
      </c>
      <c r="K90">
        <f t="shared" si="45"/>
        <v>0</v>
      </c>
      <c r="L90">
        <f t="shared" si="18"/>
        <v>8</v>
      </c>
      <c r="M90">
        <f t="shared" si="29"/>
        <v>9</v>
      </c>
      <c r="N90" s="5"/>
      <c r="O90">
        <f t="shared" si="27"/>
        <v>0</v>
      </c>
      <c r="P90">
        <f t="shared" si="46"/>
        <v>0</v>
      </c>
      <c r="Q90">
        <f t="shared" si="47"/>
        <v>0</v>
      </c>
      <c r="R90">
        <f t="shared" si="48"/>
        <v>0</v>
      </c>
      <c r="S90">
        <f t="shared" si="30"/>
        <v>0</v>
      </c>
      <c r="T90">
        <f t="shared" si="49"/>
        <v>0</v>
      </c>
      <c r="U90">
        <f t="shared" si="50"/>
        <v>1</v>
      </c>
      <c r="V90" s="32" t="s">
        <v>13</v>
      </c>
      <c r="X90" s="32" t="s">
        <v>14</v>
      </c>
      <c r="AA90" s="32" t="s">
        <v>14</v>
      </c>
      <c r="AB90" s="32" t="s">
        <v>83</v>
      </c>
      <c r="AD90" s="32"/>
      <c r="AE90" s="32" t="s">
        <v>14</v>
      </c>
      <c r="AF90" s="31" t="s">
        <v>14</v>
      </c>
      <c r="AH90" s="32" t="s">
        <v>14</v>
      </c>
      <c r="AI90" s="65" t="s">
        <v>13</v>
      </c>
      <c r="AJ90" s="32" t="s">
        <v>13</v>
      </c>
      <c r="AK90" s="65" t="s">
        <v>79</v>
      </c>
      <c r="AL90" s="32" t="s">
        <v>13</v>
      </c>
      <c r="AN90" s="32" t="s">
        <v>13</v>
      </c>
      <c r="AQ90" s="32" t="s">
        <v>14</v>
      </c>
      <c r="AS90" s="65" t="s">
        <v>13</v>
      </c>
      <c r="AT90" s="32" t="s">
        <v>13</v>
      </c>
      <c r="AX90" s="32" t="s">
        <v>14</v>
      </c>
      <c r="BC90" s="32" t="s">
        <v>14</v>
      </c>
      <c r="BF90" s="32" t="s">
        <v>14</v>
      </c>
      <c r="BG90" s="32" t="s">
        <v>13</v>
      </c>
    </row>
    <row r="91" spans="1:59" x14ac:dyDescent="0.3">
      <c r="A91" s="2">
        <f t="shared" ref="A91:B91" si="75">A90+1</f>
        <v>172</v>
      </c>
      <c r="B91" s="12">
        <f t="shared" si="75"/>
        <v>89</v>
      </c>
      <c r="C91" s="26">
        <v>44733.708333333336</v>
      </c>
      <c r="D91" s="4">
        <v>24</v>
      </c>
      <c r="E91" s="4">
        <f t="shared" si="54"/>
        <v>2112</v>
      </c>
      <c r="F91" s="5">
        <f t="shared" si="24"/>
        <v>88</v>
      </c>
      <c r="G91">
        <f t="shared" si="52"/>
        <v>0</v>
      </c>
      <c r="H91">
        <f t="shared" si="42"/>
        <v>0</v>
      </c>
      <c r="I91">
        <f t="shared" si="43"/>
        <v>0</v>
      </c>
      <c r="J91">
        <f t="shared" si="44"/>
        <v>0</v>
      </c>
      <c r="K91">
        <f t="shared" si="45"/>
        <v>0</v>
      </c>
      <c r="L91">
        <f t="shared" si="18"/>
        <v>8</v>
      </c>
      <c r="M91">
        <f t="shared" si="29"/>
        <v>9</v>
      </c>
      <c r="N91" s="5"/>
      <c r="O91">
        <f t="shared" si="27"/>
        <v>0</v>
      </c>
      <c r="P91">
        <f t="shared" si="46"/>
        <v>0</v>
      </c>
      <c r="Q91">
        <f t="shared" si="47"/>
        <v>0</v>
      </c>
      <c r="R91">
        <f t="shared" si="48"/>
        <v>0</v>
      </c>
      <c r="S91">
        <f t="shared" si="30"/>
        <v>0</v>
      </c>
      <c r="T91">
        <f t="shared" si="49"/>
        <v>0</v>
      </c>
      <c r="U91">
        <f t="shared" si="50"/>
        <v>1</v>
      </c>
      <c r="V91" s="32" t="s">
        <v>13</v>
      </c>
      <c r="X91" s="32" t="s">
        <v>14</v>
      </c>
      <c r="AA91" s="32" t="s">
        <v>14</v>
      </c>
      <c r="AB91" s="32" t="s">
        <v>83</v>
      </c>
      <c r="AD91" s="32"/>
      <c r="AE91" s="32" t="s">
        <v>14</v>
      </c>
      <c r="AF91" s="31" t="s">
        <v>14</v>
      </c>
      <c r="AH91" s="32" t="s">
        <v>14</v>
      </c>
      <c r="AI91" s="65" t="s">
        <v>13</v>
      </c>
      <c r="AJ91" s="32" t="s">
        <v>13</v>
      </c>
      <c r="AK91" s="65" t="s">
        <v>79</v>
      </c>
      <c r="AL91" s="32" t="s">
        <v>13</v>
      </c>
      <c r="AN91" s="32" t="s">
        <v>13</v>
      </c>
      <c r="AQ91" s="32" t="s">
        <v>14</v>
      </c>
      <c r="AS91" s="65" t="s">
        <v>13</v>
      </c>
      <c r="AT91" s="32" t="s">
        <v>13</v>
      </c>
      <c r="AX91" s="32" t="s">
        <v>14</v>
      </c>
      <c r="BC91" s="32" t="s">
        <v>14</v>
      </c>
      <c r="BF91" s="32" t="s">
        <v>14</v>
      </c>
      <c r="BG91" s="32" t="s">
        <v>13</v>
      </c>
    </row>
    <row r="92" spans="1:59" x14ac:dyDescent="0.3">
      <c r="A92" s="2">
        <f t="shared" ref="A92:B92" si="76">A91+1</f>
        <v>173</v>
      </c>
      <c r="B92" s="12">
        <f t="shared" si="76"/>
        <v>90</v>
      </c>
      <c r="C92" s="26">
        <v>44734.708333333336</v>
      </c>
      <c r="D92" s="4">
        <v>24</v>
      </c>
      <c r="E92" s="4">
        <f>E91+D92</f>
        <v>2136</v>
      </c>
      <c r="F92" s="5">
        <f t="shared" si="24"/>
        <v>89</v>
      </c>
      <c r="G92">
        <f t="shared" si="52"/>
        <v>0</v>
      </c>
      <c r="H92">
        <f t="shared" si="42"/>
        <v>0</v>
      </c>
      <c r="I92">
        <f t="shared" si="43"/>
        <v>0</v>
      </c>
      <c r="J92">
        <f t="shared" si="44"/>
        <v>0</v>
      </c>
      <c r="K92">
        <f t="shared" si="45"/>
        <v>0</v>
      </c>
      <c r="L92">
        <f t="shared" si="18"/>
        <v>8</v>
      </c>
      <c r="M92">
        <f t="shared" si="29"/>
        <v>8</v>
      </c>
      <c r="N92" s="5"/>
      <c r="O92">
        <f t="shared" si="27"/>
        <v>0</v>
      </c>
      <c r="P92">
        <f t="shared" si="46"/>
        <v>0</v>
      </c>
      <c r="Q92">
        <f t="shared" si="47"/>
        <v>0</v>
      </c>
      <c r="R92">
        <f t="shared" si="48"/>
        <v>0</v>
      </c>
      <c r="S92">
        <f t="shared" si="30"/>
        <v>0</v>
      </c>
      <c r="T92">
        <f t="shared" si="49"/>
        <v>0</v>
      </c>
      <c r="U92">
        <f t="shared" si="50"/>
        <v>2</v>
      </c>
      <c r="V92" s="32" t="s">
        <v>13</v>
      </c>
      <c r="X92" s="32" t="s">
        <v>83</v>
      </c>
      <c r="AA92" s="32" t="s">
        <v>14</v>
      </c>
      <c r="AB92" s="32" t="s">
        <v>83</v>
      </c>
      <c r="AD92" s="32"/>
      <c r="AE92" s="32" t="s">
        <v>14</v>
      </c>
      <c r="AF92" s="31" t="s">
        <v>14</v>
      </c>
      <c r="AH92" s="32" t="s">
        <v>14</v>
      </c>
      <c r="AI92" s="65" t="s">
        <v>13</v>
      </c>
      <c r="AJ92" s="32" t="s">
        <v>13</v>
      </c>
      <c r="AK92" s="65" t="s">
        <v>79</v>
      </c>
      <c r="AL92" s="32" t="s">
        <v>13</v>
      </c>
      <c r="AN92" s="32" t="s">
        <v>13</v>
      </c>
      <c r="AQ92" s="32" t="s">
        <v>14</v>
      </c>
      <c r="AS92" s="65" t="s">
        <v>13</v>
      </c>
      <c r="AT92" s="32" t="s">
        <v>13</v>
      </c>
      <c r="AX92" s="32" t="s">
        <v>14</v>
      </c>
      <c r="BC92" s="32" t="s">
        <v>14</v>
      </c>
      <c r="BF92" s="32" t="s">
        <v>14</v>
      </c>
      <c r="BG92" s="32" t="s">
        <v>13</v>
      </c>
    </row>
    <row r="93" spans="1:59" x14ac:dyDescent="0.3">
      <c r="A93" s="2">
        <f t="shared" ref="A93:B93" si="77">A92+1</f>
        <v>174</v>
      </c>
      <c r="B93" s="12">
        <f t="shared" si="77"/>
        <v>91</v>
      </c>
      <c r="C93" s="26">
        <v>44735.708333333336</v>
      </c>
      <c r="D93" s="4">
        <v>24</v>
      </c>
      <c r="E93" s="4">
        <f t="shared" si="54"/>
        <v>2160</v>
      </c>
      <c r="F93" s="5">
        <f t="shared" si="24"/>
        <v>90</v>
      </c>
      <c r="G93">
        <f t="shared" si="52"/>
        <v>0</v>
      </c>
      <c r="H93">
        <f t="shared" si="42"/>
        <v>0</v>
      </c>
      <c r="I93">
        <f t="shared" si="43"/>
        <v>0</v>
      </c>
      <c r="J93">
        <f t="shared" si="44"/>
        <v>0</v>
      </c>
      <c r="K93">
        <f t="shared" si="45"/>
        <v>0</v>
      </c>
      <c r="L93">
        <f t="shared" si="18"/>
        <v>8</v>
      </c>
      <c r="M93">
        <f t="shared" si="29"/>
        <v>8</v>
      </c>
      <c r="N93" s="5"/>
      <c r="O93">
        <f t="shared" si="27"/>
        <v>0</v>
      </c>
      <c r="P93">
        <f t="shared" si="46"/>
        <v>0</v>
      </c>
      <c r="Q93">
        <f t="shared" si="47"/>
        <v>0</v>
      </c>
      <c r="R93">
        <f t="shared" si="48"/>
        <v>0</v>
      </c>
      <c r="S93">
        <f t="shared" si="30"/>
        <v>0</v>
      </c>
      <c r="T93">
        <f t="shared" si="49"/>
        <v>0</v>
      </c>
      <c r="U93">
        <f t="shared" si="50"/>
        <v>2</v>
      </c>
      <c r="V93" s="32" t="s">
        <v>13</v>
      </c>
      <c r="X93" s="32" t="s">
        <v>83</v>
      </c>
      <c r="AA93" s="32" t="s">
        <v>14</v>
      </c>
      <c r="AB93" s="32" t="s">
        <v>83</v>
      </c>
      <c r="AD93" s="32"/>
      <c r="AE93" s="32" t="s">
        <v>14</v>
      </c>
      <c r="AF93" s="31" t="s">
        <v>14</v>
      </c>
      <c r="AH93" s="32" t="s">
        <v>14</v>
      </c>
      <c r="AI93" s="65" t="s">
        <v>13</v>
      </c>
      <c r="AJ93" s="32" t="s">
        <v>13</v>
      </c>
      <c r="AK93" s="65" t="s">
        <v>79</v>
      </c>
      <c r="AL93" s="32" t="s">
        <v>13</v>
      </c>
      <c r="AN93" s="32" t="s">
        <v>13</v>
      </c>
      <c r="AQ93" s="32" t="s">
        <v>14</v>
      </c>
      <c r="AS93" s="65" t="s">
        <v>13</v>
      </c>
      <c r="AT93" s="32" t="s">
        <v>13</v>
      </c>
      <c r="AX93" s="32" t="s">
        <v>14</v>
      </c>
      <c r="BC93" s="32" t="s">
        <v>14</v>
      </c>
      <c r="BF93" s="32" t="s">
        <v>14</v>
      </c>
      <c r="BG93" s="32" t="s">
        <v>13</v>
      </c>
    </row>
    <row r="94" spans="1:59" x14ac:dyDescent="0.3">
      <c r="A94" s="2">
        <f t="shared" ref="A94:B94" si="78">A93+1</f>
        <v>175</v>
      </c>
      <c r="B94" s="12">
        <f t="shared" si="78"/>
        <v>92</v>
      </c>
      <c r="C94" s="26">
        <v>44736.708333333336</v>
      </c>
      <c r="D94" s="4">
        <v>24</v>
      </c>
      <c r="E94" s="4">
        <f t="shared" si="54"/>
        <v>2184</v>
      </c>
      <c r="F94" s="5">
        <f t="shared" si="24"/>
        <v>91</v>
      </c>
      <c r="G94">
        <f t="shared" si="52"/>
        <v>0</v>
      </c>
      <c r="H94">
        <f t="shared" si="42"/>
        <v>0</v>
      </c>
      <c r="I94">
        <f t="shared" si="43"/>
        <v>0</v>
      </c>
      <c r="J94">
        <f t="shared" si="44"/>
        <v>0</v>
      </c>
      <c r="K94">
        <f t="shared" si="45"/>
        <v>0</v>
      </c>
      <c r="L94">
        <f t="shared" si="18"/>
        <v>7</v>
      </c>
      <c r="M94">
        <f t="shared" si="29"/>
        <v>8</v>
      </c>
      <c r="N94" s="5"/>
      <c r="O94">
        <f t="shared" si="27"/>
        <v>0</v>
      </c>
      <c r="P94">
        <f t="shared" si="46"/>
        <v>0</v>
      </c>
      <c r="Q94">
        <f t="shared" si="47"/>
        <v>0</v>
      </c>
      <c r="R94">
        <f t="shared" si="48"/>
        <v>0</v>
      </c>
      <c r="S94">
        <f t="shared" si="30"/>
        <v>0</v>
      </c>
      <c r="T94">
        <f t="shared" si="49"/>
        <v>0</v>
      </c>
      <c r="U94">
        <f t="shared" si="50"/>
        <v>2</v>
      </c>
      <c r="V94" s="32" t="s">
        <v>13</v>
      </c>
      <c r="X94" s="32" t="s">
        <v>83</v>
      </c>
      <c r="AA94" s="32" t="s">
        <v>14</v>
      </c>
      <c r="AB94" s="32" t="s">
        <v>83</v>
      </c>
      <c r="AD94" s="32"/>
      <c r="AE94" s="32" t="s">
        <v>14</v>
      </c>
      <c r="AF94" s="31" t="s">
        <v>14</v>
      </c>
      <c r="AH94" s="32" t="s">
        <v>14</v>
      </c>
      <c r="AI94" s="65" t="s">
        <v>79</v>
      </c>
      <c r="AJ94" s="32" t="s">
        <v>13</v>
      </c>
      <c r="AK94" s="65" t="s">
        <v>79</v>
      </c>
      <c r="AL94" s="32" t="s">
        <v>13</v>
      </c>
      <c r="AN94" s="32" t="s">
        <v>13</v>
      </c>
      <c r="AQ94" s="32" t="s">
        <v>14</v>
      </c>
      <c r="AS94" s="65" t="s">
        <v>13</v>
      </c>
      <c r="AT94" s="32" t="s">
        <v>13</v>
      </c>
      <c r="AX94" s="32" t="s">
        <v>14</v>
      </c>
      <c r="BC94" s="32" t="s">
        <v>14</v>
      </c>
      <c r="BF94" s="32" t="s">
        <v>14</v>
      </c>
      <c r="BG94" s="32" t="s">
        <v>13</v>
      </c>
    </row>
    <row r="95" spans="1:59" x14ac:dyDescent="0.3">
      <c r="A95" s="2">
        <f t="shared" ref="A95:B95" si="79">A94+1</f>
        <v>176</v>
      </c>
      <c r="B95" s="12">
        <f t="shared" si="79"/>
        <v>93</v>
      </c>
      <c r="C95" s="26">
        <v>44737.708333333336</v>
      </c>
      <c r="D95" s="4">
        <v>24</v>
      </c>
      <c r="E95" s="4">
        <f t="shared" si="54"/>
        <v>2208</v>
      </c>
      <c r="F95" s="5">
        <f t="shared" si="24"/>
        <v>92</v>
      </c>
      <c r="G95">
        <f t="shared" si="52"/>
        <v>0</v>
      </c>
      <c r="H95">
        <f t="shared" si="42"/>
        <v>0</v>
      </c>
      <c r="I95">
        <f t="shared" si="43"/>
        <v>0</v>
      </c>
      <c r="J95">
        <f t="shared" si="44"/>
        <v>0</v>
      </c>
      <c r="K95">
        <f t="shared" si="45"/>
        <v>0</v>
      </c>
      <c r="L95">
        <f t="shared" si="18"/>
        <v>7</v>
      </c>
      <c r="M95">
        <f t="shared" si="29"/>
        <v>7</v>
      </c>
      <c r="N95" s="5"/>
      <c r="O95">
        <f t="shared" si="27"/>
        <v>0</v>
      </c>
      <c r="P95">
        <f t="shared" si="46"/>
        <v>0</v>
      </c>
      <c r="Q95">
        <f t="shared" si="47"/>
        <v>0</v>
      </c>
      <c r="R95">
        <f t="shared" si="48"/>
        <v>0</v>
      </c>
      <c r="S95">
        <f t="shared" si="30"/>
        <v>0</v>
      </c>
      <c r="T95">
        <f t="shared" si="49"/>
        <v>0</v>
      </c>
      <c r="U95">
        <f t="shared" si="50"/>
        <v>3</v>
      </c>
      <c r="V95" s="32" t="s">
        <v>13</v>
      </c>
      <c r="X95" s="32" t="s">
        <v>83</v>
      </c>
      <c r="AA95" s="32" t="s">
        <v>14</v>
      </c>
      <c r="AB95" s="32" t="s">
        <v>83</v>
      </c>
      <c r="AD95" s="32"/>
      <c r="AE95" s="32" t="s">
        <v>83</v>
      </c>
      <c r="AF95" s="31" t="s">
        <v>14</v>
      </c>
      <c r="AH95" s="32" t="s">
        <v>14</v>
      </c>
      <c r="AI95" s="32"/>
      <c r="AJ95" s="32" t="s">
        <v>13</v>
      </c>
      <c r="AK95" s="65" t="s">
        <v>79</v>
      </c>
      <c r="AL95" s="32" t="s">
        <v>13</v>
      </c>
      <c r="AN95" s="32" t="s">
        <v>13</v>
      </c>
      <c r="AQ95" s="32" t="s">
        <v>14</v>
      </c>
      <c r="AS95" s="65" t="s">
        <v>13</v>
      </c>
      <c r="AT95" s="32" t="s">
        <v>13</v>
      </c>
      <c r="AX95" s="32" t="s">
        <v>14</v>
      </c>
      <c r="BC95" s="32" t="s">
        <v>14</v>
      </c>
      <c r="BF95" s="32" t="s">
        <v>14</v>
      </c>
      <c r="BG95" s="32" t="s">
        <v>13</v>
      </c>
    </row>
    <row r="96" spans="1:59" x14ac:dyDescent="0.3">
      <c r="A96" s="2">
        <f t="shared" ref="A96:B96" si="80">A95+1</f>
        <v>177</v>
      </c>
      <c r="B96" s="12">
        <f t="shared" si="80"/>
        <v>94</v>
      </c>
      <c r="C96" s="26">
        <v>44738.708333333336</v>
      </c>
      <c r="D96" s="4">
        <v>24</v>
      </c>
      <c r="E96" s="4">
        <f t="shared" si="54"/>
        <v>2232</v>
      </c>
      <c r="F96" s="5">
        <f t="shared" si="24"/>
        <v>93</v>
      </c>
      <c r="G96">
        <f t="shared" si="52"/>
        <v>0</v>
      </c>
      <c r="H96">
        <f t="shared" si="42"/>
        <v>0</v>
      </c>
      <c r="I96">
        <f t="shared" si="43"/>
        <v>0</v>
      </c>
      <c r="J96">
        <f t="shared" si="44"/>
        <v>0</v>
      </c>
      <c r="K96">
        <f t="shared" si="45"/>
        <v>0</v>
      </c>
      <c r="L96">
        <f t="shared" si="18"/>
        <v>6</v>
      </c>
      <c r="M96">
        <f t="shared" si="29"/>
        <v>7</v>
      </c>
      <c r="N96" s="5"/>
      <c r="O96">
        <f t="shared" si="27"/>
        <v>0</v>
      </c>
      <c r="P96">
        <f t="shared" si="46"/>
        <v>0</v>
      </c>
      <c r="Q96">
        <f t="shared" si="47"/>
        <v>0</v>
      </c>
      <c r="R96">
        <f t="shared" si="48"/>
        <v>0</v>
      </c>
      <c r="S96">
        <f t="shared" si="30"/>
        <v>0</v>
      </c>
      <c r="T96">
        <f t="shared" si="49"/>
        <v>1</v>
      </c>
      <c r="U96">
        <f t="shared" si="50"/>
        <v>3</v>
      </c>
      <c r="V96" s="32" t="s">
        <v>13</v>
      </c>
      <c r="X96" s="32" t="s">
        <v>83</v>
      </c>
      <c r="AA96" s="32" t="s">
        <v>14</v>
      </c>
      <c r="AB96" s="32" t="s">
        <v>83</v>
      </c>
      <c r="AD96" s="32"/>
      <c r="AE96" s="32" t="s">
        <v>83</v>
      </c>
      <c r="AF96" s="31" t="s">
        <v>14</v>
      </c>
      <c r="AH96" s="32" t="s">
        <v>14</v>
      </c>
      <c r="AI96" s="32"/>
      <c r="AJ96" s="32" t="s">
        <v>82</v>
      </c>
      <c r="AK96" s="65" t="s">
        <v>79</v>
      </c>
      <c r="AL96" s="32" t="s">
        <v>13</v>
      </c>
      <c r="AN96" s="32" t="s">
        <v>13</v>
      </c>
      <c r="AQ96" s="32" t="s">
        <v>14</v>
      </c>
      <c r="AS96" s="65" t="s">
        <v>13</v>
      </c>
      <c r="AT96" s="32" t="s">
        <v>13</v>
      </c>
      <c r="AX96" s="32" t="s">
        <v>14</v>
      </c>
      <c r="BC96" s="32" t="s">
        <v>14</v>
      </c>
      <c r="BF96" s="32" t="s">
        <v>14</v>
      </c>
      <c r="BG96" s="32" t="s">
        <v>13</v>
      </c>
    </row>
    <row r="97" spans="1:59" x14ac:dyDescent="0.3">
      <c r="A97" s="2">
        <f t="shared" ref="A97:B97" si="81">A96+1</f>
        <v>178</v>
      </c>
      <c r="B97" s="12">
        <f t="shared" si="81"/>
        <v>95</v>
      </c>
      <c r="C97" s="26">
        <v>44739.708333333336</v>
      </c>
      <c r="D97" s="4">
        <v>24</v>
      </c>
      <c r="E97" s="4">
        <f t="shared" si="54"/>
        <v>2256</v>
      </c>
      <c r="F97" s="5">
        <f t="shared" si="24"/>
        <v>94</v>
      </c>
      <c r="G97">
        <f t="shared" si="52"/>
        <v>0</v>
      </c>
      <c r="H97">
        <f t="shared" si="42"/>
        <v>0</v>
      </c>
      <c r="I97">
        <f t="shared" si="43"/>
        <v>0</v>
      </c>
      <c r="J97">
        <f t="shared" si="44"/>
        <v>0</v>
      </c>
      <c r="K97">
        <f t="shared" si="45"/>
        <v>0</v>
      </c>
      <c r="L97">
        <f t="shared" si="18"/>
        <v>7</v>
      </c>
      <c r="M97">
        <f t="shared" si="29"/>
        <v>7</v>
      </c>
      <c r="N97" s="5"/>
      <c r="O97">
        <f t="shared" si="27"/>
        <v>0</v>
      </c>
      <c r="P97">
        <f t="shared" si="46"/>
        <v>0</v>
      </c>
      <c r="Q97">
        <f t="shared" si="47"/>
        <v>0</v>
      </c>
      <c r="R97">
        <f t="shared" si="48"/>
        <v>0</v>
      </c>
      <c r="S97">
        <f t="shared" si="30"/>
        <v>0</v>
      </c>
      <c r="T97">
        <f t="shared" si="49"/>
        <v>0</v>
      </c>
      <c r="U97">
        <f t="shared" si="50"/>
        <v>3</v>
      </c>
      <c r="V97" s="32" t="s">
        <v>13</v>
      </c>
      <c r="W97" s="65"/>
      <c r="X97" s="32" t="s">
        <v>83</v>
      </c>
      <c r="AA97" s="32" t="s">
        <v>14</v>
      </c>
      <c r="AB97" s="32" t="s">
        <v>83</v>
      </c>
      <c r="AD97" s="32"/>
      <c r="AE97" s="32" t="s">
        <v>83</v>
      </c>
      <c r="AF97" s="31" t="s">
        <v>14</v>
      </c>
      <c r="AH97" s="32" t="s">
        <v>14</v>
      </c>
      <c r="AI97" s="32"/>
      <c r="AJ97" s="65" t="s">
        <v>13</v>
      </c>
      <c r="AK97" s="65" t="s">
        <v>79</v>
      </c>
      <c r="AL97" s="32" t="s">
        <v>13</v>
      </c>
      <c r="AN97" s="32" t="s">
        <v>13</v>
      </c>
      <c r="AQ97" s="32" t="s">
        <v>14</v>
      </c>
      <c r="AS97" s="65" t="s">
        <v>13</v>
      </c>
      <c r="AT97" s="32" t="s">
        <v>13</v>
      </c>
      <c r="AX97" s="32" t="s">
        <v>14</v>
      </c>
      <c r="BC97" s="32" t="s">
        <v>14</v>
      </c>
      <c r="BF97" s="32" t="s">
        <v>14</v>
      </c>
      <c r="BG97" s="32" t="s">
        <v>13</v>
      </c>
    </row>
    <row r="98" spans="1:59" x14ac:dyDescent="0.3">
      <c r="A98" s="2">
        <f t="shared" ref="A98:B98" si="82">A97+1</f>
        <v>179</v>
      </c>
      <c r="B98" s="12">
        <f t="shared" si="82"/>
        <v>96</v>
      </c>
      <c r="C98" s="26">
        <v>44740.708333333336</v>
      </c>
      <c r="D98" s="4">
        <v>24</v>
      </c>
      <c r="E98" s="4">
        <f t="shared" si="54"/>
        <v>2280</v>
      </c>
      <c r="F98" s="5">
        <f t="shared" si="24"/>
        <v>95</v>
      </c>
      <c r="G98">
        <f t="shared" si="52"/>
        <v>0</v>
      </c>
      <c r="H98">
        <f t="shared" si="42"/>
        <v>0</v>
      </c>
      <c r="I98">
        <f t="shared" si="43"/>
        <v>0</v>
      </c>
      <c r="J98">
        <f t="shared" si="44"/>
        <v>0</v>
      </c>
      <c r="K98">
        <f t="shared" si="45"/>
        <v>0</v>
      </c>
      <c r="L98">
        <f t="shared" si="18"/>
        <v>7</v>
      </c>
      <c r="M98">
        <f t="shared" si="29"/>
        <v>7</v>
      </c>
      <c r="N98" s="5"/>
      <c r="O98">
        <f t="shared" si="27"/>
        <v>0</v>
      </c>
      <c r="P98">
        <f t="shared" si="46"/>
        <v>0</v>
      </c>
      <c r="Q98">
        <f t="shared" si="47"/>
        <v>0</v>
      </c>
      <c r="R98">
        <f t="shared" si="48"/>
        <v>0</v>
      </c>
      <c r="S98">
        <f t="shared" si="30"/>
        <v>0</v>
      </c>
      <c r="T98">
        <f t="shared" si="49"/>
        <v>0</v>
      </c>
      <c r="U98">
        <f t="shared" si="50"/>
        <v>3</v>
      </c>
      <c r="V98" s="32" t="s">
        <v>13</v>
      </c>
      <c r="W98" s="65"/>
      <c r="X98" s="32" t="s">
        <v>83</v>
      </c>
      <c r="AA98" s="32" t="s">
        <v>14</v>
      </c>
      <c r="AB98" s="32" t="s">
        <v>83</v>
      </c>
      <c r="AD98" s="32"/>
      <c r="AE98" s="32" t="s">
        <v>83</v>
      </c>
      <c r="AF98" s="31" t="s">
        <v>14</v>
      </c>
      <c r="AH98" s="32" t="s">
        <v>14</v>
      </c>
      <c r="AI98" s="32"/>
      <c r="AJ98" s="65" t="s">
        <v>13</v>
      </c>
      <c r="AK98" s="65" t="s">
        <v>79</v>
      </c>
      <c r="AL98" s="32" t="s">
        <v>13</v>
      </c>
      <c r="AN98" s="32" t="s">
        <v>13</v>
      </c>
      <c r="AQ98" s="32" t="s">
        <v>14</v>
      </c>
      <c r="AS98" s="65" t="s">
        <v>13</v>
      </c>
      <c r="AT98" s="32" t="s">
        <v>13</v>
      </c>
      <c r="AX98" s="32" t="s">
        <v>14</v>
      </c>
      <c r="BC98" s="32" t="s">
        <v>14</v>
      </c>
      <c r="BF98" s="32" t="s">
        <v>14</v>
      </c>
      <c r="BG98" s="32" t="s">
        <v>13</v>
      </c>
    </row>
    <row r="99" spans="1:59" x14ac:dyDescent="0.3">
      <c r="A99" s="2">
        <f t="shared" ref="A99:B99" si="83">A98+1</f>
        <v>180</v>
      </c>
      <c r="B99" s="12">
        <f t="shared" si="83"/>
        <v>97</v>
      </c>
      <c r="C99" s="26">
        <v>44741.708333333336</v>
      </c>
      <c r="D99" s="4">
        <v>24</v>
      </c>
      <c r="E99" s="4">
        <f t="shared" si="54"/>
        <v>2304</v>
      </c>
      <c r="F99" s="5">
        <f t="shared" si="24"/>
        <v>96</v>
      </c>
      <c r="G99">
        <f t="shared" si="52"/>
        <v>0</v>
      </c>
      <c r="H99">
        <f t="shared" si="42"/>
        <v>0</v>
      </c>
      <c r="I99">
        <f t="shared" si="43"/>
        <v>0</v>
      </c>
      <c r="J99">
        <f t="shared" si="44"/>
        <v>0</v>
      </c>
      <c r="K99">
        <f t="shared" si="45"/>
        <v>0</v>
      </c>
      <c r="L99">
        <f t="shared" ref="L99:L113" si="84">COUNTIF($V99:$BS99, "AM")</f>
        <v>7</v>
      </c>
      <c r="M99">
        <f t="shared" si="29"/>
        <v>7</v>
      </c>
      <c r="N99" s="5"/>
      <c r="O99">
        <f t="shared" si="27"/>
        <v>0</v>
      </c>
      <c r="P99">
        <f t="shared" si="46"/>
        <v>0</v>
      </c>
      <c r="Q99">
        <f t="shared" si="47"/>
        <v>0</v>
      </c>
      <c r="R99">
        <f t="shared" si="48"/>
        <v>0</v>
      </c>
      <c r="S99">
        <f t="shared" si="30"/>
        <v>0</v>
      </c>
      <c r="T99">
        <f t="shared" si="49"/>
        <v>0</v>
      </c>
      <c r="U99">
        <f t="shared" si="50"/>
        <v>3</v>
      </c>
      <c r="V99" s="32" t="s">
        <v>13</v>
      </c>
      <c r="W99" s="65"/>
      <c r="X99" s="32" t="s">
        <v>83</v>
      </c>
      <c r="AA99" s="32" t="s">
        <v>14</v>
      </c>
      <c r="AB99" s="32" t="s">
        <v>83</v>
      </c>
      <c r="AD99" s="32"/>
      <c r="AE99" s="32" t="s">
        <v>83</v>
      </c>
      <c r="AF99" s="31" t="s">
        <v>14</v>
      </c>
      <c r="AH99" s="32" t="s">
        <v>14</v>
      </c>
      <c r="AI99" s="32"/>
      <c r="AJ99" s="65" t="s">
        <v>13</v>
      </c>
      <c r="AK99" s="65" t="s">
        <v>79</v>
      </c>
      <c r="AL99" s="32" t="s">
        <v>13</v>
      </c>
      <c r="AN99" s="32" t="s">
        <v>13</v>
      </c>
      <c r="AQ99" s="32" t="s">
        <v>14</v>
      </c>
      <c r="AS99" s="65" t="s">
        <v>13</v>
      </c>
      <c r="AT99" s="32" t="s">
        <v>13</v>
      </c>
      <c r="AX99" s="32" t="s">
        <v>14</v>
      </c>
      <c r="BC99" s="32" t="s">
        <v>14</v>
      </c>
      <c r="BF99" s="32" t="s">
        <v>14</v>
      </c>
      <c r="BG99" s="32" t="s">
        <v>13</v>
      </c>
    </row>
    <row r="100" spans="1:59" x14ac:dyDescent="0.3">
      <c r="A100" s="2">
        <f t="shared" ref="A100:B100" si="85">A99+1</f>
        <v>181</v>
      </c>
      <c r="B100" s="12">
        <f t="shared" si="85"/>
        <v>98</v>
      </c>
      <c r="C100" s="26">
        <v>44742.708333333336</v>
      </c>
      <c r="D100" s="4">
        <v>24</v>
      </c>
      <c r="E100" s="4">
        <f t="shared" si="54"/>
        <v>2328</v>
      </c>
      <c r="F100" s="5">
        <f t="shared" si="24"/>
        <v>97</v>
      </c>
      <c r="G100">
        <f t="shared" si="52"/>
        <v>0</v>
      </c>
      <c r="H100">
        <f t="shared" si="42"/>
        <v>0</v>
      </c>
      <c r="I100">
        <f t="shared" si="43"/>
        <v>0</v>
      </c>
      <c r="J100">
        <f t="shared" si="44"/>
        <v>0</v>
      </c>
      <c r="K100">
        <f t="shared" si="45"/>
        <v>0</v>
      </c>
      <c r="L100">
        <f t="shared" si="84"/>
        <v>7</v>
      </c>
      <c r="M100">
        <f t="shared" si="29"/>
        <v>7</v>
      </c>
      <c r="N100" s="5"/>
      <c r="O100">
        <f t="shared" si="27"/>
        <v>0</v>
      </c>
      <c r="P100">
        <f t="shared" si="46"/>
        <v>0</v>
      </c>
      <c r="Q100">
        <f t="shared" si="47"/>
        <v>0</v>
      </c>
      <c r="R100">
        <f t="shared" si="48"/>
        <v>0</v>
      </c>
      <c r="S100">
        <f t="shared" si="30"/>
        <v>0</v>
      </c>
      <c r="T100">
        <f t="shared" si="49"/>
        <v>0</v>
      </c>
      <c r="U100">
        <f t="shared" si="50"/>
        <v>3</v>
      </c>
      <c r="V100" s="32" t="s">
        <v>13</v>
      </c>
      <c r="W100" s="65"/>
      <c r="X100" s="32" t="s">
        <v>83</v>
      </c>
      <c r="AA100" s="32" t="s">
        <v>14</v>
      </c>
      <c r="AB100" s="32" t="s">
        <v>83</v>
      </c>
      <c r="AD100" s="32"/>
      <c r="AE100" s="32" t="s">
        <v>83</v>
      </c>
      <c r="AF100" s="31" t="s">
        <v>14</v>
      </c>
      <c r="AH100" s="32" t="s">
        <v>14</v>
      </c>
      <c r="AI100" s="32"/>
      <c r="AJ100" s="65" t="s">
        <v>13</v>
      </c>
      <c r="AK100" s="65" t="s">
        <v>79</v>
      </c>
      <c r="AL100" s="32" t="s">
        <v>13</v>
      </c>
      <c r="AN100" s="32" t="s">
        <v>13</v>
      </c>
      <c r="AQ100" s="32" t="s">
        <v>14</v>
      </c>
      <c r="AS100" s="65" t="s">
        <v>13</v>
      </c>
      <c r="AT100" s="32" t="s">
        <v>13</v>
      </c>
      <c r="AX100" s="32" t="s">
        <v>14</v>
      </c>
      <c r="BC100" s="32" t="s">
        <v>14</v>
      </c>
      <c r="BF100" s="32" t="s">
        <v>14</v>
      </c>
      <c r="BG100" s="32" t="s">
        <v>13</v>
      </c>
    </row>
    <row r="101" spans="1:59" x14ac:dyDescent="0.3">
      <c r="A101" s="2">
        <f t="shared" ref="A101:B101" si="86">A100+1</f>
        <v>182</v>
      </c>
      <c r="B101" s="12">
        <f t="shared" si="86"/>
        <v>99</v>
      </c>
      <c r="C101" s="26">
        <v>44743.708333333336</v>
      </c>
      <c r="D101" s="4">
        <v>24</v>
      </c>
      <c r="E101" s="4">
        <f t="shared" si="54"/>
        <v>2352</v>
      </c>
      <c r="F101" s="5">
        <f t="shared" si="24"/>
        <v>98</v>
      </c>
      <c r="G101">
        <f t="shared" si="52"/>
        <v>0</v>
      </c>
      <c r="H101">
        <f t="shared" si="42"/>
        <v>0</v>
      </c>
      <c r="I101">
        <f t="shared" si="43"/>
        <v>0</v>
      </c>
      <c r="J101">
        <f t="shared" si="44"/>
        <v>0</v>
      </c>
      <c r="K101">
        <f t="shared" si="45"/>
        <v>0</v>
      </c>
      <c r="L101">
        <f t="shared" si="84"/>
        <v>7</v>
      </c>
      <c r="M101">
        <f t="shared" si="29"/>
        <v>7</v>
      </c>
      <c r="N101" s="5"/>
      <c r="O101">
        <f t="shared" si="27"/>
        <v>0</v>
      </c>
      <c r="P101">
        <f t="shared" si="46"/>
        <v>0</v>
      </c>
      <c r="Q101">
        <f t="shared" si="47"/>
        <v>0</v>
      </c>
      <c r="R101">
        <f t="shared" si="48"/>
        <v>0</v>
      </c>
      <c r="S101">
        <f t="shared" si="30"/>
        <v>0</v>
      </c>
      <c r="T101">
        <f t="shared" si="49"/>
        <v>0</v>
      </c>
      <c r="U101">
        <f t="shared" si="50"/>
        <v>3</v>
      </c>
      <c r="V101" s="32" t="s">
        <v>13</v>
      </c>
      <c r="W101" s="65"/>
      <c r="X101" s="32" t="s">
        <v>83</v>
      </c>
      <c r="AA101" s="32" t="s">
        <v>14</v>
      </c>
      <c r="AB101" s="32" t="s">
        <v>83</v>
      </c>
      <c r="AE101" s="32" t="s">
        <v>83</v>
      </c>
      <c r="AF101" s="31" t="s">
        <v>14</v>
      </c>
      <c r="AH101" s="32" t="s">
        <v>14</v>
      </c>
      <c r="AI101" s="32"/>
      <c r="AJ101" s="65" t="s">
        <v>13</v>
      </c>
      <c r="AK101" s="65" t="s">
        <v>79</v>
      </c>
      <c r="AL101" s="32" t="s">
        <v>13</v>
      </c>
      <c r="AN101" s="32" t="s">
        <v>13</v>
      </c>
      <c r="AQ101" s="32" t="s">
        <v>14</v>
      </c>
      <c r="AS101" s="65" t="s">
        <v>13</v>
      </c>
      <c r="AT101" s="32" t="s">
        <v>13</v>
      </c>
      <c r="AX101" s="32" t="s">
        <v>14</v>
      </c>
      <c r="BC101" s="32" t="s">
        <v>14</v>
      </c>
      <c r="BF101" s="32" t="s">
        <v>14</v>
      </c>
      <c r="BG101" s="32" t="s">
        <v>13</v>
      </c>
    </row>
    <row r="102" spans="1:59" x14ac:dyDescent="0.3">
      <c r="A102" s="2">
        <f t="shared" ref="A102:B102" si="87">A101+1</f>
        <v>183</v>
      </c>
      <c r="B102" s="12">
        <f t="shared" si="87"/>
        <v>100</v>
      </c>
      <c r="C102" s="26">
        <v>44744.708333333336</v>
      </c>
      <c r="D102" s="4">
        <v>24</v>
      </c>
      <c r="E102" s="4">
        <f t="shared" si="54"/>
        <v>2376</v>
      </c>
      <c r="F102" s="5">
        <f t="shared" si="24"/>
        <v>99</v>
      </c>
      <c r="G102">
        <f t="shared" si="52"/>
        <v>0</v>
      </c>
      <c r="H102">
        <f t="shared" si="42"/>
        <v>0</v>
      </c>
      <c r="I102">
        <f t="shared" si="43"/>
        <v>0</v>
      </c>
      <c r="J102">
        <f t="shared" si="44"/>
        <v>0</v>
      </c>
      <c r="K102">
        <f t="shared" si="45"/>
        <v>0</v>
      </c>
      <c r="L102">
        <f t="shared" si="84"/>
        <v>7</v>
      </c>
      <c r="M102">
        <f t="shared" si="29"/>
        <v>7</v>
      </c>
      <c r="N102" s="5"/>
      <c r="O102">
        <f t="shared" si="27"/>
        <v>0</v>
      </c>
      <c r="P102">
        <f t="shared" si="46"/>
        <v>0</v>
      </c>
      <c r="Q102">
        <f t="shared" si="47"/>
        <v>0</v>
      </c>
      <c r="R102">
        <f t="shared" si="48"/>
        <v>0</v>
      </c>
      <c r="S102">
        <f t="shared" si="30"/>
        <v>0</v>
      </c>
      <c r="T102">
        <f t="shared" si="49"/>
        <v>0</v>
      </c>
      <c r="U102">
        <f t="shared" si="50"/>
        <v>3</v>
      </c>
      <c r="V102" s="32" t="s">
        <v>13</v>
      </c>
      <c r="W102" s="65"/>
      <c r="X102" s="32" t="s">
        <v>83</v>
      </c>
      <c r="AA102" s="32" t="s">
        <v>14</v>
      </c>
      <c r="AB102" s="32" t="s">
        <v>83</v>
      </c>
      <c r="AE102" s="32" t="s">
        <v>83</v>
      </c>
      <c r="AF102" s="31" t="s">
        <v>14</v>
      </c>
      <c r="AH102" s="32" t="s">
        <v>14</v>
      </c>
      <c r="AI102" s="32"/>
      <c r="AJ102" s="65" t="s">
        <v>13</v>
      </c>
      <c r="AK102" s="65" t="s">
        <v>79</v>
      </c>
      <c r="AL102" s="32" t="s">
        <v>13</v>
      </c>
      <c r="AN102" s="32" t="s">
        <v>13</v>
      </c>
      <c r="AQ102" s="32" t="s">
        <v>14</v>
      </c>
      <c r="AS102" s="65" t="s">
        <v>13</v>
      </c>
      <c r="AT102" s="32" t="s">
        <v>13</v>
      </c>
      <c r="AX102" s="32" t="s">
        <v>14</v>
      </c>
      <c r="BC102" s="32" t="s">
        <v>14</v>
      </c>
      <c r="BF102" s="32" t="s">
        <v>14</v>
      </c>
      <c r="BG102" s="32" t="s">
        <v>13</v>
      </c>
    </row>
    <row r="103" spans="1:59" x14ac:dyDescent="0.3">
      <c r="A103" s="2">
        <f t="shared" ref="A103:B103" si="88">A102+1</f>
        <v>184</v>
      </c>
      <c r="B103" s="12">
        <f t="shared" si="88"/>
        <v>101</v>
      </c>
      <c r="C103" s="26">
        <v>44745.708333333336</v>
      </c>
      <c r="D103" s="4">
        <v>24</v>
      </c>
      <c r="E103" s="4">
        <f t="shared" si="54"/>
        <v>2400</v>
      </c>
      <c r="F103" s="5">
        <f t="shared" si="24"/>
        <v>100</v>
      </c>
      <c r="G103">
        <f t="shared" si="52"/>
        <v>0</v>
      </c>
      <c r="H103">
        <f t="shared" si="42"/>
        <v>0</v>
      </c>
      <c r="I103">
        <f t="shared" si="43"/>
        <v>0</v>
      </c>
      <c r="J103">
        <f t="shared" si="44"/>
        <v>0</v>
      </c>
      <c r="K103">
        <f t="shared" si="45"/>
        <v>0</v>
      </c>
      <c r="L103">
        <f t="shared" si="84"/>
        <v>6</v>
      </c>
      <c r="M103">
        <f t="shared" si="29"/>
        <v>6</v>
      </c>
      <c r="N103" s="5"/>
      <c r="O103">
        <f t="shared" si="27"/>
        <v>0</v>
      </c>
      <c r="P103">
        <f t="shared" si="46"/>
        <v>0</v>
      </c>
      <c r="Q103">
        <f t="shared" si="47"/>
        <v>0</v>
      </c>
      <c r="R103">
        <f t="shared" si="48"/>
        <v>0</v>
      </c>
      <c r="S103">
        <f t="shared" si="30"/>
        <v>0</v>
      </c>
      <c r="T103">
        <f t="shared" si="49"/>
        <v>1</v>
      </c>
      <c r="U103">
        <f t="shared" si="50"/>
        <v>4</v>
      </c>
      <c r="V103" s="32" t="s">
        <v>13</v>
      </c>
      <c r="W103" s="65"/>
      <c r="X103" s="32" t="s">
        <v>83</v>
      </c>
      <c r="AA103" s="32" t="s">
        <v>14</v>
      </c>
      <c r="AB103" s="32" t="s">
        <v>83</v>
      </c>
      <c r="AE103" s="32" t="s">
        <v>83</v>
      </c>
      <c r="AF103" s="31" t="s">
        <v>14</v>
      </c>
      <c r="AH103" s="32" t="s">
        <v>14</v>
      </c>
      <c r="AI103" s="32"/>
      <c r="AJ103" s="65" t="s">
        <v>13</v>
      </c>
      <c r="AK103" s="65" t="s">
        <v>79</v>
      </c>
      <c r="AL103" s="32" t="s">
        <v>13</v>
      </c>
      <c r="AN103" s="32" t="s">
        <v>13</v>
      </c>
      <c r="AQ103" s="32" t="s">
        <v>83</v>
      </c>
      <c r="AS103" s="65" t="s">
        <v>13</v>
      </c>
      <c r="AT103" s="32" t="s">
        <v>13</v>
      </c>
      <c r="AX103" s="32" t="s">
        <v>14</v>
      </c>
      <c r="BC103" s="32" t="s">
        <v>14</v>
      </c>
      <c r="BF103" s="32" t="s">
        <v>14</v>
      </c>
      <c r="BG103" s="32" t="s">
        <v>82</v>
      </c>
    </row>
    <row r="104" spans="1:59" x14ac:dyDescent="0.3">
      <c r="A104" s="2">
        <f t="shared" ref="A104:B104" si="89">A103+1</f>
        <v>185</v>
      </c>
      <c r="B104" s="12">
        <f t="shared" si="89"/>
        <v>102</v>
      </c>
      <c r="C104" s="26">
        <v>44746.708333333336</v>
      </c>
      <c r="D104" s="4">
        <v>24</v>
      </c>
      <c r="E104" s="4">
        <f t="shared" si="54"/>
        <v>2424</v>
      </c>
      <c r="F104" s="5">
        <f t="shared" si="24"/>
        <v>101</v>
      </c>
      <c r="G104">
        <f t="shared" si="52"/>
        <v>0</v>
      </c>
      <c r="H104">
        <f t="shared" si="42"/>
        <v>0</v>
      </c>
      <c r="I104">
        <f t="shared" si="43"/>
        <v>0</v>
      </c>
      <c r="J104">
        <f t="shared" si="44"/>
        <v>0</v>
      </c>
      <c r="K104">
        <f t="shared" si="45"/>
        <v>0</v>
      </c>
      <c r="L104">
        <f t="shared" si="84"/>
        <v>4</v>
      </c>
      <c r="M104">
        <f t="shared" si="29"/>
        <v>6</v>
      </c>
      <c r="N104" s="5"/>
      <c r="O104">
        <f t="shared" si="27"/>
        <v>0</v>
      </c>
      <c r="P104">
        <f t="shared" si="46"/>
        <v>0</v>
      </c>
      <c r="Q104">
        <f t="shared" si="47"/>
        <v>0</v>
      </c>
      <c r="R104">
        <f t="shared" si="48"/>
        <v>0</v>
      </c>
      <c r="S104">
        <f t="shared" si="30"/>
        <v>0</v>
      </c>
      <c r="T104">
        <f t="shared" si="49"/>
        <v>2</v>
      </c>
      <c r="U104">
        <f t="shared" si="50"/>
        <v>4</v>
      </c>
      <c r="V104" s="32" t="s">
        <v>13</v>
      </c>
      <c r="W104" s="65"/>
      <c r="X104" s="32" t="s">
        <v>83</v>
      </c>
      <c r="AA104" s="32" t="s">
        <v>14</v>
      </c>
      <c r="AB104" s="32" t="s">
        <v>83</v>
      </c>
      <c r="AE104" s="32" t="s">
        <v>83</v>
      </c>
      <c r="AF104" s="31" t="s">
        <v>14</v>
      </c>
      <c r="AH104" s="32" t="s">
        <v>14</v>
      </c>
      <c r="AI104" s="32"/>
      <c r="AJ104" s="65" t="s">
        <v>13</v>
      </c>
      <c r="AK104" s="65"/>
      <c r="AL104" s="32" t="s">
        <v>82</v>
      </c>
      <c r="AN104" s="32" t="s">
        <v>13</v>
      </c>
      <c r="AQ104" s="32" t="s">
        <v>83</v>
      </c>
      <c r="AS104" s="32" t="s">
        <v>82</v>
      </c>
      <c r="AT104" s="32" t="s">
        <v>13</v>
      </c>
      <c r="AX104" s="32" t="s">
        <v>14</v>
      </c>
      <c r="BC104" s="32" t="s">
        <v>14</v>
      </c>
      <c r="BF104" s="32" t="s">
        <v>14</v>
      </c>
      <c r="BG104" s="65" t="s">
        <v>79</v>
      </c>
    </row>
    <row r="105" spans="1:59" x14ac:dyDescent="0.3">
      <c r="A105" s="2">
        <f t="shared" ref="A105:B105" si="90">A104+1</f>
        <v>186</v>
      </c>
      <c r="B105" s="12">
        <f t="shared" si="90"/>
        <v>103</v>
      </c>
      <c r="C105" s="26">
        <v>44747.708333333336</v>
      </c>
      <c r="D105" s="4">
        <v>24</v>
      </c>
      <c r="E105" s="4">
        <f t="shared" si="54"/>
        <v>2448</v>
      </c>
      <c r="F105" s="5">
        <f t="shared" si="24"/>
        <v>102</v>
      </c>
      <c r="G105">
        <f t="shared" si="52"/>
        <v>0</v>
      </c>
      <c r="H105">
        <f t="shared" si="42"/>
        <v>0</v>
      </c>
      <c r="I105">
        <f t="shared" si="43"/>
        <v>0</v>
      </c>
      <c r="J105">
        <f t="shared" si="44"/>
        <v>0</v>
      </c>
      <c r="K105">
        <f t="shared" si="45"/>
        <v>0</v>
      </c>
      <c r="L105">
        <f t="shared" si="84"/>
        <v>3</v>
      </c>
      <c r="M105">
        <f t="shared" si="29"/>
        <v>5</v>
      </c>
      <c r="N105" s="5"/>
      <c r="O105">
        <f t="shared" si="27"/>
        <v>0</v>
      </c>
      <c r="P105">
        <f t="shared" si="46"/>
        <v>0</v>
      </c>
      <c r="Q105">
        <f t="shared" si="47"/>
        <v>0</v>
      </c>
      <c r="R105">
        <f t="shared" si="48"/>
        <v>0</v>
      </c>
      <c r="S105">
        <f t="shared" si="30"/>
        <v>0</v>
      </c>
      <c r="T105">
        <f t="shared" si="49"/>
        <v>2</v>
      </c>
      <c r="U105">
        <f t="shared" si="50"/>
        <v>5</v>
      </c>
      <c r="V105" s="32" t="s">
        <v>82</v>
      </c>
      <c r="W105" s="65"/>
      <c r="X105" s="32" t="s">
        <v>83</v>
      </c>
      <c r="AA105" s="32" t="s">
        <v>83</v>
      </c>
      <c r="AB105" s="32" t="s">
        <v>83</v>
      </c>
      <c r="AE105" s="32" t="s">
        <v>83</v>
      </c>
      <c r="AF105" s="31" t="s">
        <v>14</v>
      </c>
      <c r="AH105" s="32" t="s">
        <v>14</v>
      </c>
      <c r="AI105" s="32"/>
      <c r="AJ105" s="65" t="s">
        <v>13</v>
      </c>
      <c r="AL105" s="65" t="s">
        <v>79</v>
      </c>
      <c r="AN105" s="32" t="s">
        <v>13</v>
      </c>
      <c r="AQ105" s="32" t="s">
        <v>83</v>
      </c>
      <c r="AS105" s="32" t="s">
        <v>82</v>
      </c>
      <c r="AT105" s="32" t="s">
        <v>13</v>
      </c>
      <c r="AX105" s="32" t="s">
        <v>14</v>
      </c>
      <c r="BC105" s="32" t="s">
        <v>14</v>
      </c>
      <c r="BF105" s="32" t="s">
        <v>14</v>
      </c>
      <c r="BG105" s="65" t="s">
        <v>79</v>
      </c>
    </row>
    <row r="106" spans="1:59" x14ac:dyDescent="0.3">
      <c r="A106" s="2">
        <f t="shared" ref="A106:B106" si="91">A105+1</f>
        <v>187</v>
      </c>
      <c r="B106" s="12">
        <f t="shared" si="91"/>
        <v>104</v>
      </c>
      <c r="C106" s="26">
        <v>44748.708333333336</v>
      </c>
      <c r="D106" s="4">
        <v>24</v>
      </c>
      <c r="E106" s="4">
        <f t="shared" si="54"/>
        <v>2472</v>
      </c>
      <c r="F106" s="5">
        <f t="shared" si="24"/>
        <v>103</v>
      </c>
      <c r="G106">
        <f t="shared" si="52"/>
        <v>0</v>
      </c>
      <c r="H106">
        <f t="shared" si="42"/>
        <v>0</v>
      </c>
      <c r="I106">
        <f t="shared" si="43"/>
        <v>0</v>
      </c>
      <c r="J106">
        <f t="shared" si="44"/>
        <v>0</v>
      </c>
      <c r="K106">
        <f t="shared" si="45"/>
        <v>0</v>
      </c>
      <c r="L106">
        <f t="shared" si="84"/>
        <v>3</v>
      </c>
      <c r="M106">
        <f t="shared" si="29"/>
        <v>5</v>
      </c>
      <c r="N106" s="5"/>
      <c r="O106">
        <f t="shared" si="27"/>
        <v>0</v>
      </c>
      <c r="P106">
        <f t="shared" si="46"/>
        <v>0</v>
      </c>
      <c r="Q106">
        <f t="shared" si="47"/>
        <v>0</v>
      </c>
      <c r="R106">
        <f t="shared" si="48"/>
        <v>0</v>
      </c>
      <c r="S106">
        <f t="shared" si="30"/>
        <v>0</v>
      </c>
      <c r="T106">
        <f t="shared" si="49"/>
        <v>2</v>
      </c>
      <c r="U106">
        <f t="shared" si="50"/>
        <v>5</v>
      </c>
      <c r="V106" s="32" t="s">
        <v>82</v>
      </c>
      <c r="W106" s="65"/>
      <c r="X106" s="32" t="s">
        <v>83</v>
      </c>
      <c r="AA106" s="32" t="s">
        <v>83</v>
      </c>
      <c r="AB106" s="32" t="s">
        <v>83</v>
      </c>
      <c r="AE106" s="32" t="s">
        <v>83</v>
      </c>
      <c r="AF106" s="31" t="s">
        <v>14</v>
      </c>
      <c r="AH106" s="32" t="s">
        <v>14</v>
      </c>
      <c r="AJ106" s="65" t="s">
        <v>13</v>
      </c>
      <c r="AL106" s="65" t="s">
        <v>79</v>
      </c>
      <c r="AN106" s="32" t="s">
        <v>13</v>
      </c>
      <c r="AQ106" s="32" t="s">
        <v>83</v>
      </c>
      <c r="AS106" s="32" t="s">
        <v>82</v>
      </c>
      <c r="AT106" s="32" t="s">
        <v>13</v>
      </c>
      <c r="AX106" s="32" t="s">
        <v>14</v>
      </c>
      <c r="BC106" s="32" t="s">
        <v>14</v>
      </c>
      <c r="BF106" s="32" t="s">
        <v>14</v>
      </c>
      <c r="BG106" s="65" t="s">
        <v>79</v>
      </c>
    </row>
    <row r="107" spans="1:59" x14ac:dyDescent="0.3">
      <c r="A107" s="2">
        <f t="shared" ref="A107:B107" si="92">A106+1</f>
        <v>188</v>
      </c>
      <c r="B107" s="12">
        <f t="shared" si="92"/>
        <v>105</v>
      </c>
      <c r="C107" s="26">
        <v>44749.708333333336</v>
      </c>
      <c r="D107" s="4">
        <v>24</v>
      </c>
      <c r="E107" s="4">
        <f t="shared" si="54"/>
        <v>2496</v>
      </c>
      <c r="F107" s="5">
        <f t="shared" si="24"/>
        <v>104</v>
      </c>
      <c r="G107">
        <f t="shared" si="52"/>
        <v>0</v>
      </c>
      <c r="H107">
        <f t="shared" si="42"/>
        <v>0</v>
      </c>
      <c r="I107">
        <f t="shared" si="43"/>
        <v>0</v>
      </c>
      <c r="J107">
        <f t="shared" si="44"/>
        <v>0</v>
      </c>
      <c r="K107">
        <f t="shared" si="45"/>
        <v>0</v>
      </c>
      <c r="L107">
        <f t="shared" si="84"/>
        <v>3</v>
      </c>
      <c r="M107">
        <f t="shared" si="29"/>
        <v>3</v>
      </c>
      <c r="N107" s="5"/>
      <c r="O107">
        <f t="shared" si="27"/>
        <v>0</v>
      </c>
      <c r="P107">
        <f t="shared" si="46"/>
        <v>0</v>
      </c>
      <c r="Q107">
        <f t="shared" si="47"/>
        <v>0</v>
      </c>
      <c r="R107">
        <f t="shared" si="48"/>
        <v>0</v>
      </c>
      <c r="S107">
        <f t="shared" si="30"/>
        <v>0</v>
      </c>
      <c r="T107">
        <f t="shared" si="49"/>
        <v>2</v>
      </c>
      <c r="U107">
        <f t="shared" si="50"/>
        <v>7</v>
      </c>
      <c r="V107" s="32" t="s">
        <v>82</v>
      </c>
      <c r="W107" s="65"/>
      <c r="X107" s="32" t="s">
        <v>83</v>
      </c>
      <c r="AA107" s="32" t="s">
        <v>83</v>
      </c>
      <c r="AB107" s="32" t="s">
        <v>83</v>
      </c>
      <c r="AE107" s="32" t="s">
        <v>83</v>
      </c>
      <c r="AF107" s="31" t="s">
        <v>14</v>
      </c>
      <c r="AH107" s="32" t="s">
        <v>14</v>
      </c>
      <c r="AJ107" s="65" t="s">
        <v>13</v>
      </c>
      <c r="AL107" s="65" t="s">
        <v>79</v>
      </c>
      <c r="AN107" s="32" t="s">
        <v>13</v>
      </c>
      <c r="AQ107" s="32" t="s">
        <v>83</v>
      </c>
      <c r="AS107" s="32" t="s">
        <v>82</v>
      </c>
      <c r="AT107" s="32" t="s">
        <v>13</v>
      </c>
      <c r="AX107" s="32" t="s">
        <v>14</v>
      </c>
      <c r="BC107" s="32" t="s">
        <v>83</v>
      </c>
      <c r="BF107" s="32" t="s">
        <v>83</v>
      </c>
      <c r="BG107" s="65" t="s">
        <v>79</v>
      </c>
    </row>
    <row r="108" spans="1:59" x14ac:dyDescent="0.3">
      <c r="A108" s="2">
        <f t="shared" ref="A108:B108" si="93">A107+1</f>
        <v>189</v>
      </c>
      <c r="B108" s="12">
        <f t="shared" si="93"/>
        <v>106</v>
      </c>
      <c r="C108" s="26">
        <v>44750.708333333336</v>
      </c>
      <c r="D108" s="4">
        <v>24</v>
      </c>
      <c r="E108" s="4">
        <f t="shared" si="54"/>
        <v>2520</v>
      </c>
      <c r="F108" s="5">
        <f t="shared" si="24"/>
        <v>105</v>
      </c>
      <c r="G108">
        <f t="shared" si="52"/>
        <v>0</v>
      </c>
      <c r="H108">
        <f t="shared" si="42"/>
        <v>0</v>
      </c>
      <c r="I108">
        <f t="shared" si="43"/>
        <v>0</v>
      </c>
      <c r="J108">
        <f t="shared" si="44"/>
        <v>0</v>
      </c>
      <c r="K108">
        <f t="shared" si="45"/>
        <v>0</v>
      </c>
      <c r="L108">
        <f t="shared" si="84"/>
        <v>3</v>
      </c>
      <c r="M108">
        <f t="shared" si="29"/>
        <v>3</v>
      </c>
      <c r="N108" s="5"/>
      <c r="O108">
        <f t="shared" si="27"/>
        <v>0</v>
      </c>
      <c r="P108">
        <f t="shared" si="46"/>
        <v>0</v>
      </c>
      <c r="Q108">
        <f t="shared" si="47"/>
        <v>0</v>
      </c>
      <c r="R108">
        <f t="shared" si="48"/>
        <v>0</v>
      </c>
      <c r="S108">
        <f t="shared" si="30"/>
        <v>0</v>
      </c>
      <c r="T108">
        <f t="shared" si="49"/>
        <v>2</v>
      </c>
      <c r="U108">
        <f t="shared" si="50"/>
        <v>7</v>
      </c>
      <c r="V108" s="32" t="s">
        <v>82</v>
      </c>
      <c r="W108" s="65"/>
      <c r="X108" s="32" t="s">
        <v>83</v>
      </c>
      <c r="AA108" s="32" t="s">
        <v>83</v>
      </c>
      <c r="AB108" s="32" t="s">
        <v>83</v>
      </c>
      <c r="AE108" s="32" t="s">
        <v>83</v>
      </c>
      <c r="AF108" s="31" t="s">
        <v>14</v>
      </c>
      <c r="AH108" s="32" t="s">
        <v>14</v>
      </c>
      <c r="AJ108" s="65" t="s">
        <v>13</v>
      </c>
      <c r="AL108" s="32"/>
      <c r="AN108" s="32" t="s">
        <v>13</v>
      </c>
      <c r="AQ108" s="32" t="s">
        <v>83</v>
      </c>
      <c r="AS108" s="32" t="s">
        <v>82</v>
      </c>
      <c r="AT108" s="32" t="s">
        <v>13</v>
      </c>
      <c r="AX108" s="32" t="s">
        <v>14</v>
      </c>
      <c r="BC108" s="32" t="s">
        <v>83</v>
      </c>
      <c r="BF108" s="32" t="s">
        <v>83</v>
      </c>
    </row>
    <row r="109" spans="1:59" x14ac:dyDescent="0.3">
      <c r="A109" s="2">
        <f t="shared" ref="A109:B109" si="94">A108+1</f>
        <v>190</v>
      </c>
      <c r="B109" s="12">
        <f t="shared" si="94"/>
        <v>107</v>
      </c>
      <c r="C109" s="26">
        <v>44751.708333333336</v>
      </c>
      <c r="D109" s="4">
        <v>24</v>
      </c>
      <c r="E109" s="4">
        <f t="shared" si="54"/>
        <v>2544</v>
      </c>
      <c r="F109" s="5">
        <f t="shared" si="24"/>
        <v>106</v>
      </c>
      <c r="G109">
        <f t="shared" si="52"/>
        <v>0</v>
      </c>
      <c r="H109">
        <f t="shared" si="42"/>
        <v>0</v>
      </c>
      <c r="I109">
        <f t="shared" si="43"/>
        <v>0</v>
      </c>
      <c r="J109">
        <f t="shared" si="44"/>
        <v>0</v>
      </c>
      <c r="K109">
        <f t="shared" si="45"/>
        <v>0</v>
      </c>
      <c r="L109">
        <f t="shared" si="84"/>
        <v>3</v>
      </c>
      <c r="M109">
        <f t="shared" si="29"/>
        <v>3</v>
      </c>
      <c r="N109" s="5"/>
      <c r="O109">
        <f t="shared" si="27"/>
        <v>0</v>
      </c>
      <c r="P109">
        <f t="shared" si="46"/>
        <v>0</v>
      </c>
      <c r="Q109">
        <f t="shared" si="47"/>
        <v>0</v>
      </c>
      <c r="R109">
        <f t="shared" si="48"/>
        <v>0</v>
      </c>
      <c r="S109">
        <f t="shared" si="30"/>
        <v>0</v>
      </c>
      <c r="T109">
        <f t="shared" si="49"/>
        <v>2</v>
      </c>
      <c r="U109">
        <f t="shared" si="50"/>
        <v>7</v>
      </c>
      <c r="V109" s="32" t="s">
        <v>82</v>
      </c>
      <c r="W109" s="65"/>
      <c r="X109" s="32" t="s">
        <v>83</v>
      </c>
      <c r="AA109" s="32" t="s">
        <v>83</v>
      </c>
      <c r="AB109" s="32" t="s">
        <v>83</v>
      </c>
      <c r="AE109" s="32" t="s">
        <v>83</v>
      </c>
      <c r="AF109" s="31" t="s">
        <v>14</v>
      </c>
      <c r="AH109" s="32" t="s">
        <v>14</v>
      </c>
      <c r="AJ109" s="65" t="s">
        <v>13</v>
      </c>
      <c r="AL109" s="32"/>
      <c r="AN109" s="32" t="s">
        <v>13</v>
      </c>
      <c r="AQ109" s="32" t="s">
        <v>83</v>
      </c>
      <c r="AS109" s="32" t="s">
        <v>82</v>
      </c>
      <c r="AT109" s="32" t="s">
        <v>13</v>
      </c>
      <c r="AX109" s="32" t="s">
        <v>14</v>
      </c>
      <c r="BC109" s="32" t="s">
        <v>83</v>
      </c>
      <c r="BF109" s="32" t="s">
        <v>83</v>
      </c>
    </row>
    <row r="110" spans="1:59" x14ac:dyDescent="0.3">
      <c r="A110" s="2">
        <f t="shared" ref="A110:B110" si="95">A109+1</f>
        <v>191</v>
      </c>
      <c r="B110" s="12">
        <f t="shared" si="95"/>
        <v>108</v>
      </c>
      <c r="C110" s="26">
        <v>44752.708333333336</v>
      </c>
      <c r="D110" s="4">
        <v>24</v>
      </c>
      <c r="E110" s="4">
        <f t="shared" si="54"/>
        <v>2568</v>
      </c>
      <c r="F110" s="5">
        <f t="shared" si="24"/>
        <v>107</v>
      </c>
      <c r="G110">
        <f t="shared" si="52"/>
        <v>0</v>
      </c>
      <c r="H110">
        <f t="shared" si="42"/>
        <v>0</v>
      </c>
      <c r="I110">
        <f t="shared" si="43"/>
        <v>0</v>
      </c>
      <c r="J110">
        <f t="shared" si="44"/>
        <v>0</v>
      </c>
      <c r="K110">
        <f t="shared" si="45"/>
        <v>0</v>
      </c>
      <c r="L110">
        <f t="shared" si="84"/>
        <v>2</v>
      </c>
      <c r="M110">
        <f t="shared" si="29"/>
        <v>3</v>
      </c>
      <c r="N110" s="5"/>
      <c r="O110">
        <f t="shared" si="27"/>
        <v>0</v>
      </c>
      <c r="P110">
        <f t="shared" si="46"/>
        <v>0</v>
      </c>
      <c r="Q110">
        <f t="shared" si="47"/>
        <v>0</v>
      </c>
      <c r="R110">
        <f t="shared" si="48"/>
        <v>0</v>
      </c>
      <c r="S110">
        <f t="shared" si="30"/>
        <v>0</v>
      </c>
      <c r="T110">
        <f t="shared" si="49"/>
        <v>3</v>
      </c>
      <c r="U110">
        <f t="shared" si="50"/>
        <v>7</v>
      </c>
      <c r="V110" s="32" t="s">
        <v>82</v>
      </c>
      <c r="W110" s="65"/>
      <c r="X110" s="32" t="s">
        <v>83</v>
      </c>
      <c r="AA110" s="32" t="s">
        <v>83</v>
      </c>
      <c r="AB110" s="32" t="s">
        <v>83</v>
      </c>
      <c r="AE110" s="32" t="s">
        <v>83</v>
      </c>
      <c r="AF110" s="31" t="s">
        <v>14</v>
      </c>
      <c r="AH110" s="32" t="s">
        <v>14</v>
      </c>
      <c r="AJ110" s="65" t="s">
        <v>13</v>
      </c>
      <c r="AL110" s="32"/>
      <c r="AN110" s="32" t="s">
        <v>82</v>
      </c>
      <c r="AQ110" s="32" t="s">
        <v>83</v>
      </c>
      <c r="AS110" s="32" t="s">
        <v>82</v>
      </c>
      <c r="AT110" s="32" t="s">
        <v>13</v>
      </c>
      <c r="AX110" s="32" t="s">
        <v>14</v>
      </c>
      <c r="BC110" s="32" t="s">
        <v>83</v>
      </c>
      <c r="BF110" s="32" t="s">
        <v>83</v>
      </c>
    </row>
    <row r="111" spans="1:59" x14ac:dyDescent="0.3">
      <c r="A111" s="2">
        <f t="shared" ref="A111:B113" si="96">A110+1</f>
        <v>192</v>
      </c>
      <c r="B111" s="12">
        <f t="shared" si="96"/>
        <v>109</v>
      </c>
      <c r="C111" s="26">
        <v>44753.708333333336</v>
      </c>
      <c r="D111" s="4">
        <v>24</v>
      </c>
      <c r="E111" s="4">
        <f t="shared" si="54"/>
        <v>2592</v>
      </c>
      <c r="F111" s="5">
        <f t="shared" si="24"/>
        <v>108</v>
      </c>
      <c r="G111">
        <f t="shared" si="52"/>
        <v>0</v>
      </c>
      <c r="H111">
        <f t="shared" si="42"/>
        <v>0</v>
      </c>
      <c r="I111">
        <f t="shared" si="43"/>
        <v>0</v>
      </c>
      <c r="J111">
        <f t="shared" si="44"/>
        <v>0</v>
      </c>
      <c r="K111">
        <f t="shared" si="45"/>
        <v>0</v>
      </c>
      <c r="L111">
        <f>COUNTIF($V111:$BS111, "AM")</f>
        <v>2</v>
      </c>
      <c r="M111">
        <f>COUNTIF($V111:$BS111, "AF")</f>
        <v>2</v>
      </c>
      <c r="O111">
        <f t="shared" si="27"/>
        <v>0</v>
      </c>
      <c r="P111">
        <f t="shared" si="46"/>
        <v>0</v>
      </c>
      <c r="Q111">
        <f t="shared" si="47"/>
        <v>0</v>
      </c>
      <c r="R111">
        <f t="shared" si="48"/>
        <v>0</v>
      </c>
      <c r="S111">
        <f t="shared" si="30"/>
        <v>0</v>
      </c>
      <c r="T111">
        <f t="shared" si="49"/>
        <v>3</v>
      </c>
      <c r="U111">
        <f t="shared" si="50"/>
        <v>8</v>
      </c>
      <c r="V111" s="32" t="s">
        <v>82</v>
      </c>
      <c r="W111" s="65"/>
      <c r="X111" s="32" t="s">
        <v>83</v>
      </c>
      <c r="AA111" s="32" t="s">
        <v>83</v>
      </c>
      <c r="AB111" s="32" t="s">
        <v>83</v>
      </c>
      <c r="AE111" s="32" t="s">
        <v>83</v>
      </c>
      <c r="AF111" s="31" t="s">
        <v>14</v>
      </c>
      <c r="AH111" s="32" t="s">
        <v>83</v>
      </c>
      <c r="AJ111" s="65" t="s">
        <v>13</v>
      </c>
      <c r="AL111" s="32"/>
      <c r="AN111" s="32" t="s">
        <v>82</v>
      </c>
      <c r="AQ111" s="32" t="s">
        <v>83</v>
      </c>
      <c r="AS111" s="32" t="s">
        <v>82</v>
      </c>
      <c r="AT111" s="32" t="s">
        <v>13</v>
      </c>
      <c r="AX111" s="32" t="s">
        <v>14</v>
      </c>
      <c r="BC111" s="32" t="s">
        <v>83</v>
      </c>
      <c r="BF111" s="32" t="s">
        <v>83</v>
      </c>
    </row>
    <row r="112" spans="1:59" x14ac:dyDescent="0.3">
      <c r="A112" s="2">
        <f t="shared" si="96"/>
        <v>193</v>
      </c>
      <c r="B112" s="12">
        <f t="shared" si="96"/>
        <v>110</v>
      </c>
      <c r="C112" s="26">
        <v>44754.708333333336</v>
      </c>
      <c r="D112" s="4">
        <v>24</v>
      </c>
      <c r="E112" s="4">
        <f t="shared" ref="E112" si="97">E111+D112</f>
        <v>2616</v>
      </c>
      <c r="F112" s="5">
        <f t="shared" si="24"/>
        <v>109</v>
      </c>
      <c r="G112">
        <f t="shared" si="52"/>
        <v>0</v>
      </c>
      <c r="H112">
        <f t="shared" si="42"/>
        <v>0</v>
      </c>
      <c r="I112">
        <f t="shared" si="43"/>
        <v>0</v>
      </c>
      <c r="J112">
        <f t="shared" si="44"/>
        <v>0</v>
      </c>
      <c r="K112">
        <f t="shared" si="45"/>
        <v>0</v>
      </c>
      <c r="L112">
        <f t="shared" si="84"/>
        <v>0</v>
      </c>
      <c r="M112">
        <f>COUNTIF($V112:$BS112, "AF")</f>
        <v>0</v>
      </c>
      <c r="O112">
        <f t="shared" si="27"/>
        <v>0</v>
      </c>
      <c r="P112">
        <f t="shared" si="46"/>
        <v>0</v>
      </c>
      <c r="Q112">
        <f t="shared" si="47"/>
        <v>0</v>
      </c>
      <c r="R112">
        <f t="shared" si="48"/>
        <v>0</v>
      </c>
      <c r="S112">
        <f t="shared" si="30"/>
        <v>0</v>
      </c>
      <c r="T112">
        <f>COUNTIF($V112:$BS112, "AM_D")</f>
        <v>5</v>
      </c>
      <c r="U112">
        <f t="shared" si="50"/>
        <v>10</v>
      </c>
      <c r="V112" s="32" t="s">
        <v>82</v>
      </c>
      <c r="W112" s="65"/>
      <c r="X112" s="32" t="s">
        <v>83</v>
      </c>
      <c r="AA112" s="32" t="s">
        <v>83</v>
      </c>
      <c r="AB112" s="32" t="s">
        <v>83</v>
      </c>
      <c r="AE112" s="32" t="s">
        <v>83</v>
      </c>
      <c r="AF112" s="32" t="s">
        <v>83</v>
      </c>
      <c r="AH112" s="32" t="s">
        <v>83</v>
      </c>
      <c r="AJ112" s="32" t="s">
        <v>82</v>
      </c>
      <c r="AL112" s="32"/>
      <c r="AN112" s="32" t="s">
        <v>82</v>
      </c>
      <c r="AQ112" s="32" t="s">
        <v>83</v>
      </c>
      <c r="AS112" s="32" t="s">
        <v>82</v>
      </c>
      <c r="AT112" s="32" t="s">
        <v>82</v>
      </c>
      <c r="AX112" s="32" t="s">
        <v>83</v>
      </c>
      <c r="BC112" s="32" t="s">
        <v>83</v>
      </c>
      <c r="BF112" s="32" t="s">
        <v>83</v>
      </c>
    </row>
    <row r="113" spans="1:58" x14ac:dyDescent="0.3">
      <c r="A113" s="2">
        <f t="shared" si="96"/>
        <v>194</v>
      </c>
      <c r="B113" s="12">
        <f t="shared" si="96"/>
        <v>111</v>
      </c>
      <c r="C113" s="26">
        <v>44755.708333333336</v>
      </c>
      <c r="D113" s="4">
        <v>24</v>
      </c>
      <c r="E113" s="4">
        <f t="shared" ref="E113" si="98">E112+D113</f>
        <v>2640</v>
      </c>
      <c r="F113" s="5">
        <f t="shared" si="24"/>
        <v>110</v>
      </c>
      <c r="G113">
        <f t="shared" si="52"/>
        <v>0</v>
      </c>
      <c r="H113">
        <f t="shared" si="42"/>
        <v>0</v>
      </c>
      <c r="I113">
        <f t="shared" si="43"/>
        <v>0</v>
      </c>
      <c r="J113">
        <f t="shared" si="44"/>
        <v>0</v>
      </c>
      <c r="K113">
        <f t="shared" si="45"/>
        <v>0</v>
      </c>
      <c r="L113">
        <f t="shared" si="84"/>
        <v>0</v>
      </c>
      <c r="M113">
        <f>COUNTIF($V113:$BS113, "AF")</f>
        <v>0</v>
      </c>
      <c r="N113" s="11"/>
      <c r="O113">
        <f t="shared" si="27"/>
        <v>0</v>
      </c>
      <c r="P113">
        <f t="shared" si="46"/>
        <v>0</v>
      </c>
      <c r="Q113">
        <f t="shared" si="47"/>
        <v>0</v>
      </c>
      <c r="R113">
        <f t="shared" si="48"/>
        <v>0</v>
      </c>
      <c r="S113">
        <f t="shared" si="30"/>
        <v>0</v>
      </c>
      <c r="T113">
        <f>COUNTIF($V113:$BS113, "AM_D")</f>
        <v>5</v>
      </c>
      <c r="U113">
        <f t="shared" si="50"/>
        <v>10</v>
      </c>
      <c r="V113" s="32" t="s">
        <v>82</v>
      </c>
      <c r="W113" s="61"/>
      <c r="X113" s="32" t="s">
        <v>83</v>
      </c>
      <c r="AA113" s="32" t="s">
        <v>83</v>
      </c>
      <c r="AB113" s="32" t="s">
        <v>83</v>
      </c>
      <c r="AE113" s="32" t="s">
        <v>83</v>
      </c>
      <c r="AF113" s="32" t="s">
        <v>83</v>
      </c>
      <c r="AH113" s="32" t="s">
        <v>83</v>
      </c>
      <c r="AJ113" s="32" t="s">
        <v>82</v>
      </c>
      <c r="AL113" s="32"/>
      <c r="AN113" s="32" t="s">
        <v>82</v>
      </c>
      <c r="AQ113" s="32" t="s">
        <v>83</v>
      </c>
      <c r="AS113" s="32" t="s">
        <v>82</v>
      </c>
      <c r="AT113" s="32" t="s">
        <v>82</v>
      </c>
      <c r="AX113" s="32" t="s">
        <v>83</v>
      </c>
      <c r="BC113" s="32" t="s">
        <v>83</v>
      </c>
      <c r="BF113" s="32" t="s">
        <v>83</v>
      </c>
    </row>
    <row r="114" spans="1:58" x14ac:dyDescent="0.3">
      <c r="A114" s="2"/>
      <c r="B114" s="12"/>
      <c r="C114" s="26"/>
      <c r="D114" s="4"/>
      <c r="E114" s="4"/>
      <c r="F114" s="5"/>
      <c r="N114" s="5"/>
      <c r="AL114" s="32"/>
      <c r="AT114" s="32"/>
    </row>
    <row r="115" spans="1:58" x14ac:dyDescent="0.3">
      <c r="A115" s="2"/>
      <c r="B115" s="12"/>
      <c r="C115" s="26"/>
      <c r="D115" s="4"/>
      <c r="E115" s="4"/>
      <c r="F115" s="5"/>
      <c r="N115" s="5"/>
      <c r="AT115" s="32"/>
    </row>
    <row r="116" spans="1:58" x14ac:dyDescent="0.3">
      <c r="A116" s="2"/>
      <c r="B116" s="12"/>
      <c r="C116" s="26"/>
      <c r="D116" s="4"/>
      <c r="E116" s="4"/>
      <c r="F116" s="5"/>
      <c r="N116" s="5"/>
      <c r="AT116" s="32"/>
    </row>
    <row r="117" spans="1:58" x14ac:dyDescent="0.3">
      <c r="A117" s="2"/>
      <c r="B117" s="12"/>
      <c r="C117" s="26"/>
      <c r="D117" s="4"/>
      <c r="E117" s="4"/>
      <c r="F117" s="5"/>
      <c r="N117" s="5"/>
      <c r="AT117" s="32"/>
    </row>
    <row r="118" spans="1:58" x14ac:dyDescent="0.3">
      <c r="A118" s="2"/>
      <c r="B118" s="12"/>
      <c r="C118" s="26"/>
      <c r="D118" s="4"/>
      <c r="E118" s="4"/>
      <c r="F118" s="5"/>
      <c r="N118" s="5"/>
      <c r="AT118" s="32"/>
    </row>
    <row r="119" spans="1:58" x14ac:dyDescent="0.3">
      <c r="A119" s="2"/>
      <c r="B119" s="12"/>
      <c r="C119" s="26"/>
      <c r="D119" s="4"/>
      <c r="E119" s="4"/>
      <c r="F119" s="5"/>
      <c r="N119" s="5"/>
      <c r="AT119" s="32"/>
    </row>
    <row r="120" spans="1:58" x14ac:dyDescent="0.3">
      <c r="A120" s="2"/>
      <c r="B120" s="12"/>
      <c r="C120" s="26"/>
      <c r="D120" s="4"/>
      <c r="E120" s="4"/>
      <c r="F120" s="5"/>
      <c r="N120" s="5"/>
      <c r="AT120" s="32"/>
    </row>
    <row r="121" spans="1:58" x14ac:dyDescent="0.3">
      <c r="N121" s="5"/>
      <c r="AT121" s="32"/>
    </row>
    <row r="122" spans="1:58" x14ac:dyDescent="0.3">
      <c r="N122" s="5"/>
    </row>
    <row r="123" spans="1:58" x14ac:dyDescent="0.3">
      <c r="N123" s="5"/>
    </row>
    <row r="124" spans="1:58" x14ac:dyDescent="0.3">
      <c r="N124" s="5"/>
    </row>
    <row r="125" spans="1:58" x14ac:dyDescent="0.3">
      <c r="N125" s="5"/>
    </row>
    <row r="126" spans="1:58" x14ac:dyDescent="0.3">
      <c r="N126" s="5"/>
    </row>
    <row r="127" spans="1:58" x14ac:dyDescent="0.3">
      <c r="N127" s="5"/>
    </row>
    <row r="128" spans="1:58" x14ac:dyDescent="0.3">
      <c r="N128" s="5"/>
    </row>
    <row r="129" spans="14:14" x14ac:dyDescent="0.3">
      <c r="N129" s="5"/>
    </row>
    <row r="130" spans="14:14" x14ac:dyDescent="0.3">
      <c r="N130" s="5"/>
    </row>
    <row r="131" spans="14:14" x14ac:dyDescent="0.3">
      <c r="N131" s="5"/>
    </row>
    <row r="132" spans="14:14" x14ac:dyDescent="0.3">
      <c r="N132" s="5"/>
    </row>
    <row r="133" spans="14:14" x14ac:dyDescent="0.3">
      <c r="N133" s="5"/>
    </row>
    <row r="134" spans="14:14" x14ac:dyDescent="0.3">
      <c r="N134" s="5"/>
    </row>
    <row r="135" spans="14:14" x14ac:dyDescent="0.3">
      <c r="N135" s="5"/>
    </row>
    <row r="136" spans="14:14" x14ac:dyDescent="0.3">
      <c r="N136" s="5"/>
    </row>
    <row r="137" spans="14:14" x14ac:dyDescent="0.3">
      <c r="N137" s="5"/>
    </row>
    <row r="138" spans="14:14" x14ac:dyDescent="0.3">
      <c r="N138" s="5"/>
    </row>
    <row r="139" spans="14:14" x14ac:dyDescent="0.3">
      <c r="N139" s="5"/>
    </row>
    <row r="140" spans="14:14" x14ac:dyDescent="0.3">
      <c r="N140" s="5"/>
    </row>
    <row r="141" spans="14:14" x14ac:dyDescent="0.3">
      <c r="N141" s="5"/>
    </row>
    <row r="142" spans="14:14" x14ac:dyDescent="0.3">
      <c r="N142" s="5"/>
    </row>
    <row r="143" spans="14:14" x14ac:dyDescent="0.3">
      <c r="N143" s="5"/>
    </row>
    <row r="144" spans="14:14" x14ac:dyDescent="0.3">
      <c r="N144" s="5"/>
    </row>
    <row r="145" spans="14:14" x14ac:dyDescent="0.3">
      <c r="N145" s="5"/>
    </row>
    <row r="146" spans="14:14" x14ac:dyDescent="0.3">
      <c r="N146" s="5"/>
    </row>
    <row r="147" spans="14:14" x14ac:dyDescent="0.3">
      <c r="N147" s="5"/>
    </row>
    <row r="148" spans="14:14" x14ac:dyDescent="0.3">
      <c r="N148" s="5"/>
    </row>
    <row r="149" spans="14:14" x14ac:dyDescent="0.3">
      <c r="N149" s="5"/>
    </row>
    <row r="150" spans="14:14" x14ac:dyDescent="0.3">
      <c r="N150" s="5"/>
    </row>
    <row r="151" spans="14:14" x14ac:dyDescent="0.3">
      <c r="N151" s="5"/>
    </row>
    <row r="152" spans="14:14" x14ac:dyDescent="0.3">
      <c r="N152" s="5"/>
    </row>
    <row r="153" spans="14:14" x14ac:dyDescent="0.3">
      <c r="N153" s="5"/>
    </row>
    <row r="154" spans="14:14" x14ac:dyDescent="0.3">
      <c r="N154" s="5"/>
    </row>
    <row r="155" spans="14:14" x14ac:dyDescent="0.3">
      <c r="N155" s="5"/>
    </row>
    <row r="156" spans="14:14" x14ac:dyDescent="0.3">
      <c r="N156" s="5"/>
    </row>
    <row r="157" spans="14:14" x14ac:dyDescent="0.3">
      <c r="N157" s="5"/>
    </row>
    <row r="158" spans="14:14" x14ac:dyDescent="0.3">
      <c r="N158" s="5"/>
    </row>
    <row r="159" spans="14:14" x14ac:dyDescent="0.3">
      <c r="N159" s="5"/>
    </row>
    <row r="160" spans="14:14" x14ac:dyDescent="0.3">
      <c r="N160" s="5"/>
    </row>
    <row r="161" spans="14:14" x14ac:dyDescent="0.3">
      <c r="N161" s="5"/>
    </row>
    <row r="162" spans="14:14" x14ac:dyDescent="0.3">
      <c r="N162" s="5"/>
    </row>
    <row r="163" spans="14:14" x14ac:dyDescent="0.3">
      <c r="N163" s="5"/>
    </row>
    <row r="164" spans="14:14" x14ac:dyDescent="0.3">
      <c r="N164" s="5"/>
    </row>
    <row r="165" spans="14:14" x14ac:dyDescent="0.3">
      <c r="N165" s="5"/>
    </row>
    <row r="166" spans="14:14" x14ac:dyDescent="0.3">
      <c r="N166" s="5"/>
    </row>
  </sheetData>
  <mergeCells count="2">
    <mergeCell ref="V1:BS2"/>
    <mergeCell ref="O1:U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D06D-40D5-448C-85E1-F4466897F321}">
  <dimension ref="A1:BQ97"/>
  <sheetViews>
    <sheetView zoomScale="70" zoomScaleNormal="70" workbookViewId="0">
      <selection activeCell="E5" sqref="E5"/>
    </sheetView>
  </sheetViews>
  <sheetFormatPr defaultRowHeight="14.4" x14ac:dyDescent="0.3"/>
  <cols>
    <col min="1" max="2" width="9.109375" style="1" bestFit="1" customWidth="1"/>
    <col min="3" max="3" width="15.77734375" style="1" bestFit="1" customWidth="1"/>
    <col min="4" max="4" width="9.109375" style="1" bestFit="1" customWidth="1"/>
    <col min="5" max="5" width="20.77734375" style="1" bestFit="1" customWidth="1"/>
    <col min="6" max="6" width="10.21875" style="7" bestFit="1" customWidth="1"/>
    <col min="7" max="13" width="10.109375" style="1" customWidth="1"/>
    <col min="14" max="14" width="3" style="1" customWidth="1"/>
    <col min="15" max="19" width="10.109375" style="1" customWidth="1"/>
    <col min="20" max="16384" width="8.88671875" style="1"/>
  </cols>
  <sheetData>
    <row r="1" spans="1:69" ht="14.4" customHeight="1" x14ac:dyDescent="0.3">
      <c r="G1" s="56" t="s">
        <v>15</v>
      </c>
      <c r="H1" s="29"/>
      <c r="I1" s="29"/>
      <c r="J1" s="29"/>
      <c r="K1" s="29"/>
      <c r="L1" s="29"/>
      <c r="M1" s="29"/>
      <c r="N1" s="36"/>
      <c r="O1" s="89" t="s">
        <v>16</v>
      </c>
      <c r="P1" s="89"/>
      <c r="Q1" s="89"/>
      <c r="R1" s="89"/>
      <c r="S1" s="89"/>
      <c r="T1" s="91" t="s">
        <v>12</v>
      </c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</row>
    <row r="2" spans="1:69" ht="14.4" customHeight="1" x14ac:dyDescent="0.3">
      <c r="A2" s="8" t="s">
        <v>0</v>
      </c>
      <c r="B2" s="9" t="s">
        <v>81</v>
      </c>
      <c r="C2" s="10" t="s">
        <v>1</v>
      </c>
      <c r="D2" s="10" t="s">
        <v>2</v>
      </c>
      <c r="E2" s="10" t="s">
        <v>21</v>
      </c>
      <c r="F2" s="11" t="s">
        <v>3</v>
      </c>
      <c r="G2" s="24" t="s">
        <v>9</v>
      </c>
      <c r="H2" s="25" t="s">
        <v>5</v>
      </c>
      <c r="I2" s="16" t="s">
        <v>8</v>
      </c>
      <c r="J2" s="17" t="s">
        <v>10</v>
      </c>
      <c r="K2" s="18" t="s">
        <v>11</v>
      </c>
      <c r="L2" s="72" t="s">
        <v>13</v>
      </c>
      <c r="M2" s="20" t="s">
        <v>14</v>
      </c>
      <c r="N2" s="36"/>
      <c r="O2" s="24" t="s">
        <v>9</v>
      </c>
      <c r="P2" s="25" t="s">
        <v>5</v>
      </c>
      <c r="Q2" s="16" t="s">
        <v>8</v>
      </c>
      <c r="R2" s="17" t="s">
        <v>10</v>
      </c>
      <c r="S2" s="18" t="s">
        <v>11</v>
      </c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</row>
    <row r="3" spans="1:69" x14ac:dyDescent="0.3">
      <c r="A3" s="2">
        <v>84</v>
      </c>
      <c r="B3" s="12">
        <v>1</v>
      </c>
      <c r="C3" s="26">
        <v>44645.666666666664</v>
      </c>
      <c r="D3" s="4">
        <v>0</v>
      </c>
      <c r="E3" s="4">
        <v>0</v>
      </c>
      <c r="F3" s="5">
        <v>0</v>
      </c>
      <c r="G3" s="1">
        <f>COUNTIF($T3:$BQ3, "E")</f>
        <v>50</v>
      </c>
      <c r="H3" s="1">
        <f>COUNTIF($T3:$BQ3, "L1")</f>
        <v>0</v>
      </c>
      <c r="I3" s="1">
        <f>COUNTIF($T3:$BQ3, "L2")</f>
        <v>0</v>
      </c>
      <c r="J3" s="1">
        <f>COUNTIF($T3:$BQ3, "L3")</f>
        <v>0</v>
      </c>
      <c r="K3" s="1">
        <f>COUNTIF($T3:$BQ3, "P")</f>
        <v>0</v>
      </c>
      <c r="L3" s="1">
        <f t="shared" ref="L3:L32" si="0">COUNTIF($T3:$BQ3, "AM")</f>
        <v>0</v>
      </c>
      <c r="M3" s="1">
        <f t="shared" ref="M3:M32" si="1">COUNTIF($T3:$BQ3, "AF")</f>
        <v>0</v>
      </c>
      <c r="N3" s="36"/>
      <c r="O3" s="1">
        <f>COUNTIF($T3:$BQ3, "E_D")</f>
        <v>0</v>
      </c>
      <c r="P3" s="1">
        <f>COUNTIF($T3:$BQ3, "L1_D")</f>
        <v>0</v>
      </c>
      <c r="Q3" s="1">
        <f>COUNTIF($T3:$BQ3, "L2_D")</f>
        <v>0</v>
      </c>
      <c r="R3" s="1">
        <f>COUNTIF($T3:$BQ3, "L3_D")</f>
        <v>0</v>
      </c>
      <c r="S3" s="1">
        <f>COUNTIF($T3:$BQ3, "P_D")</f>
        <v>0</v>
      </c>
      <c r="T3" s="39" t="s">
        <v>4</v>
      </c>
      <c r="U3" s="39" t="s">
        <v>4</v>
      </c>
      <c r="V3" s="39" t="s">
        <v>4</v>
      </c>
      <c r="W3" s="39" t="s">
        <v>4</v>
      </c>
      <c r="X3" s="39" t="s">
        <v>4</v>
      </c>
      <c r="Y3" s="39" t="s">
        <v>4</v>
      </c>
      <c r="Z3" s="39" t="s">
        <v>4</v>
      </c>
      <c r="AA3" s="39" t="s">
        <v>4</v>
      </c>
      <c r="AB3" s="39" t="s">
        <v>4</v>
      </c>
      <c r="AC3" s="39" t="s">
        <v>4</v>
      </c>
      <c r="AD3" s="39" t="s">
        <v>4</v>
      </c>
      <c r="AE3" s="39" t="s">
        <v>4</v>
      </c>
      <c r="AF3" s="39" t="s">
        <v>4</v>
      </c>
      <c r="AG3" s="39" t="s">
        <v>4</v>
      </c>
      <c r="AH3" s="39" t="s">
        <v>4</v>
      </c>
      <c r="AI3" s="39" t="s">
        <v>4</v>
      </c>
      <c r="AJ3" s="39" t="s">
        <v>4</v>
      </c>
      <c r="AK3" s="39" t="s">
        <v>4</v>
      </c>
      <c r="AL3" s="39" t="s">
        <v>4</v>
      </c>
      <c r="AM3" s="39" t="s">
        <v>4</v>
      </c>
      <c r="AN3" s="39" t="s">
        <v>4</v>
      </c>
      <c r="AO3" s="39" t="s">
        <v>4</v>
      </c>
      <c r="AP3" s="39" t="s">
        <v>4</v>
      </c>
      <c r="AQ3" s="39" t="s">
        <v>4</v>
      </c>
      <c r="AR3" s="39" t="s">
        <v>4</v>
      </c>
      <c r="AS3" s="39" t="s">
        <v>4</v>
      </c>
      <c r="AT3" s="39" t="s">
        <v>4</v>
      </c>
      <c r="AU3" s="39" t="s">
        <v>4</v>
      </c>
      <c r="AV3" s="39" t="s">
        <v>4</v>
      </c>
      <c r="AW3" s="39" t="s">
        <v>4</v>
      </c>
      <c r="AX3" s="39" t="s">
        <v>4</v>
      </c>
      <c r="AY3" s="39" t="s">
        <v>4</v>
      </c>
      <c r="AZ3" s="39" t="s">
        <v>4</v>
      </c>
      <c r="BA3" s="39" t="s">
        <v>4</v>
      </c>
      <c r="BB3" s="39" t="s">
        <v>4</v>
      </c>
      <c r="BC3" s="39" t="s">
        <v>4</v>
      </c>
      <c r="BD3" s="39" t="s">
        <v>4</v>
      </c>
      <c r="BE3" s="39" t="s">
        <v>4</v>
      </c>
      <c r="BF3" s="39" t="s">
        <v>4</v>
      </c>
      <c r="BG3" s="39" t="s">
        <v>4</v>
      </c>
      <c r="BH3" s="39" t="s">
        <v>4</v>
      </c>
      <c r="BI3" s="39" t="s">
        <v>4</v>
      </c>
      <c r="BJ3" s="39" t="s">
        <v>4</v>
      </c>
      <c r="BK3" s="39" t="s">
        <v>4</v>
      </c>
      <c r="BL3" s="39" t="s">
        <v>4</v>
      </c>
      <c r="BM3" s="39" t="s">
        <v>4</v>
      </c>
      <c r="BN3" s="39" t="s">
        <v>4</v>
      </c>
      <c r="BO3" s="39" t="s">
        <v>4</v>
      </c>
      <c r="BP3" s="39" t="s">
        <v>4</v>
      </c>
      <c r="BQ3" s="39" t="s">
        <v>4</v>
      </c>
    </row>
    <row r="4" spans="1:69" x14ac:dyDescent="0.3">
      <c r="A4" s="2">
        <f>A3+1</f>
        <v>85</v>
      </c>
      <c r="B4" s="12">
        <f>B3+1</f>
        <v>2</v>
      </c>
      <c r="C4" s="26">
        <v>44646.666666608799</v>
      </c>
      <c r="D4" s="4">
        <v>24</v>
      </c>
      <c r="E4" s="4">
        <f>E3+D4</f>
        <v>24</v>
      </c>
      <c r="F4" s="5">
        <f>E4/24</f>
        <v>1</v>
      </c>
      <c r="G4" s="1">
        <f t="shared" ref="G4:G32" si="2">COUNTIF($T4:$BQ4, "E")</f>
        <v>43</v>
      </c>
      <c r="H4" s="1">
        <f t="shared" ref="H4:H32" si="3">COUNTIF($T4:$BQ4, "L1")</f>
        <v>7</v>
      </c>
      <c r="I4" s="1">
        <f t="shared" ref="I4:I32" si="4">COUNTIF($T4:$BQ4, "L2")</f>
        <v>0</v>
      </c>
      <c r="J4" s="1">
        <f t="shared" ref="J4:J32" si="5">COUNTIF($T4:$BQ4, "L3")</f>
        <v>0</v>
      </c>
      <c r="K4" s="1">
        <f t="shared" ref="K4:K32" si="6">COUNTIF($T4:$BQ4, "P")</f>
        <v>0</v>
      </c>
      <c r="L4" s="1">
        <f t="shared" si="0"/>
        <v>0</v>
      </c>
      <c r="M4" s="1">
        <f t="shared" si="1"/>
        <v>0</v>
      </c>
      <c r="N4" s="36"/>
      <c r="O4" s="1">
        <f t="shared" ref="O4:O32" si="7">COUNTIF($T4:$BQ4, "E_D")</f>
        <v>0</v>
      </c>
      <c r="P4" s="1">
        <f t="shared" ref="P4:P32" si="8">COUNTIF($T4:$BQ4, "L1_D")</f>
        <v>0</v>
      </c>
      <c r="Q4" s="1">
        <f t="shared" ref="Q4:Q32" si="9">COUNTIF($T4:$BQ4, "L2_D")</f>
        <v>0</v>
      </c>
      <c r="R4" s="1">
        <f t="shared" ref="R4:R32" si="10">COUNTIF($T4:$BQ4, "L3_D")</f>
        <v>0</v>
      </c>
      <c r="S4" s="1">
        <f t="shared" ref="S4:S31" si="11">COUNTIF($T4:$BQ4, "P_D")</f>
        <v>0</v>
      </c>
      <c r="T4" s="28" t="s">
        <v>5</v>
      </c>
      <c r="U4" s="28" t="s">
        <v>5</v>
      </c>
      <c r="V4" s="28" t="s">
        <v>5</v>
      </c>
      <c r="W4" s="28" t="s">
        <v>5</v>
      </c>
      <c r="X4" s="28" t="s">
        <v>5</v>
      </c>
      <c r="Y4" s="28" t="s">
        <v>4</v>
      </c>
      <c r="Z4" s="28" t="s">
        <v>4</v>
      </c>
      <c r="AA4" s="28" t="s">
        <v>4</v>
      </c>
      <c r="AB4" s="28" t="s">
        <v>5</v>
      </c>
      <c r="AC4" s="28" t="s">
        <v>5</v>
      </c>
      <c r="AD4" s="28" t="s">
        <v>4</v>
      </c>
      <c r="AE4" s="28" t="s">
        <v>4</v>
      </c>
      <c r="AF4" s="28" t="s">
        <v>4</v>
      </c>
      <c r="AG4" s="28" t="s">
        <v>4</v>
      </c>
      <c r="AH4" s="28" t="s">
        <v>4</v>
      </c>
      <c r="AI4" s="28" t="s">
        <v>4</v>
      </c>
      <c r="AJ4" s="28" t="s">
        <v>4</v>
      </c>
      <c r="AK4" s="28" t="s">
        <v>4</v>
      </c>
      <c r="AL4" s="28" t="s">
        <v>4</v>
      </c>
      <c r="AM4" s="28" t="s">
        <v>4</v>
      </c>
      <c r="AN4" s="28" t="s">
        <v>4</v>
      </c>
      <c r="AO4" s="28" t="s">
        <v>4</v>
      </c>
      <c r="AP4" s="28" t="s">
        <v>4</v>
      </c>
      <c r="AQ4" s="28" t="s">
        <v>4</v>
      </c>
      <c r="AR4" s="28" t="s">
        <v>4</v>
      </c>
      <c r="AS4" s="28" t="s">
        <v>4</v>
      </c>
      <c r="AT4" s="28" t="s">
        <v>4</v>
      </c>
      <c r="AU4" s="28" t="s">
        <v>4</v>
      </c>
      <c r="AV4" s="28" t="s">
        <v>4</v>
      </c>
      <c r="AW4" s="28" t="s">
        <v>4</v>
      </c>
      <c r="AX4" s="28" t="s">
        <v>4</v>
      </c>
      <c r="AY4" s="28" t="s">
        <v>4</v>
      </c>
      <c r="AZ4" s="28" t="s">
        <v>4</v>
      </c>
      <c r="BA4" s="28" t="s">
        <v>4</v>
      </c>
      <c r="BB4" s="28" t="s">
        <v>4</v>
      </c>
      <c r="BC4" s="28" t="s">
        <v>4</v>
      </c>
      <c r="BD4" s="28" t="s">
        <v>4</v>
      </c>
      <c r="BE4" s="28" t="s">
        <v>4</v>
      </c>
      <c r="BF4" s="28" t="s">
        <v>4</v>
      </c>
      <c r="BG4" s="28" t="s">
        <v>4</v>
      </c>
      <c r="BH4" s="28" t="s">
        <v>4</v>
      </c>
      <c r="BI4" s="28" t="s">
        <v>4</v>
      </c>
      <c r="BJ4" s="28" t="s">
        <v>4</v>
      </c>
      <c r="BK4" s="28" t="s">
        <v>4</v>
      </c>
      <c r="BL4" s="28" t="s">
        <v>4</v>
      </c>
      <c r="BM4" s="28" t="s">
        <v>4</v>
      </c>
      <c r="BN4" s="28" t="s">
        <v>4</v>
      </c>
      <c r="BO4" s="28" t="s">
        <v>4</v>
      </c>
      <c r="BP4" s="28" t="s">
        <v>4</v>
      </c>
      <c r="BQ4" s="28" t="s">
        <v>4</v>
      </c>
    </row>
    <row r="5" spans="1:69" x14ac:dyDescent="0.3">
      <c r="A5" s="2">
        <f t="shared" ref="A5:B20" si="12">A4+1</f>
        <v>86</v>
      </c>
      <c r="B5" s="12">
        <f t="shared" si="12"/>
        <v>3</v>
      </c>
      <c r="C5" s="26">
        <v>44647.666666608799</v>
      </c>
      <c r="D5" s="4">
        <v>24</v>
      </c>
      <c r="E5" s="4">
        <f>E4+D5</f>
        <v>48</v>
      </c>
      <c r="F5" s="5">
        <f t="shared" ref="F5:F32" si="13">E5/24</f>
        <v>2</v>
      </c>
      <c r="G5" s="1">
        <f t="shared" si="2"/>
        <v>8</v>
      </c>
      <c r="H5" s="1">
        <f t="shared" si="3"/>
        <v>42</v>
      </c>
      <c r="I5" s="1">
        <f t="shared" si="4"/>
        <v>0</v>
      </c>
      <c r="J5" s="1">
        <f t="shared" si="5"/>
        <v>0</v>
      </c>
      <c r="K5" s="1">
        <f t="shared" si="6"/>
        <v>0</v>
      </c>
      <c r="L5" s="1">
        <f t="shared" si="0"/>
        <v>0</v>
      </c>
      <c r="M5" s="1">
        <f t="shared" si="1"/>
        <v>0</v>
      </c>
      <c r="N5" s="33"/>
      <c r="O5" s="1">
        <f t="shared" si="7"/>
        <v>0</v>
      </c>
      <c r="P5" s="1">
        <f t="shared" si="8"/>
        <v>0</v>
      </c>
      <c r="Q5" s="1">
        <f t="shared" si="9"/>
        <v>0</v>
      </c>
      <c r="R5" s="1">
        <f t="shared" si="10"/>
        <v>0</v>
      </c>
      <c r="S5" s="1">
        <f t="shared" si="11"/>
        <v>0</v>
      </c>
      <c r="T5" s="40" t="s">
        <v>5</v>
      </c>
      <c r="U5" s="40" t="s">
        <v>5</v>
      </c>
      <c r="V5" s="40" t="s">
        <v>5</v>
      </c>
      <c r="W5" s="40" t="s">
        <v>5</v>
      </c>
      <c r="X5" s="40" t="s">
        <v>5</v>
      </c>
      <c r="Y5" s="40" t="s">
        <v>4</v>
      </c>
      <c r="Z5" s="40" t="s">
        <v>4</v>
      </c>
      <c r="AA5" s="40" t="s">
        <v>5</v>
      </c>
      <c r="AB5" s="40" t="s">
        <v>5</v>
      </c>
      <c r="AC5" s="40" t="s">
        <v>5</v>
      </c>
      <c r="AD5" s="40" t="s">
        <v>5</v>
      </c>
      <c r="AE5" s="40" t="s">
        <v>5</v>
      </c>
      <c r="AF5" s="40" t="s">
        <v>5</v>
      </c>
      <c r="AG5" s="40" t="s">
        <v>5</v>
      </c>
      <c r="AH5" s="40" t="s">
        <v>5</v>
      </c>
      <c r="AI5" s="40" t="s">
        <v>5</v>
      </c>
      <c r="AJ5" s="40" t="s">
        <v>5</v>
      </c>
      <c r="AK5" s="40" t="s">
        <v>5</v>
      </c>
      <c r="AL5" s="40" t="s">
        <v>5</v>
      </c>
      <c r="AM5" s="40" t="s">
        <v>5</v>
      </c>
      <c r="AN5" s="40" t="s">
        <v>4</v>
      </c>
      <c r="AO5" s="40" t="s">
        <v>4</v>
      </c>
      <c r="AP5" s="40" t="s">
        <v>4</v>
      </c>
      <c r="AQ5" s="40" t="s">
        <v>5</v>
      </c>
      <c r="AR5" s="40" t="s">
        <v>5</v>
      </c>
      <c r="AS5" s="40" t="s">
        <v>5</v>
      </c>
      <c r="AT5" s="40" t="s">
        <v>5</v>
      </c>
      <c r="AU5" s="40" t="s">
        <v>5</v>
      </c>
      <c r="AV5" s="40" t="s">
        <v>5</v>
      </c>
      <c r="AW5" s="40" t="s">
        <v>5</v>
      </c>
      <c r="AX5" s="40" t="s">
        <v>5</v>
      </c>
      <c r="AY5" s="40" t="s">
        <v>5</v>
      </c>
      <c r="AZ5" s="40" t="s">
        <v>5</v>
      </c>
      <c r="BA5" s="40" t="s">
        <v>5</v>
      </c>
      <c r="BB5" s="40" t="s">
        <v>5</v>
      </c>
      <c r="BC5" s="40" t="s">
        <v>4</v>
      </c>
      <c r="BD5" s="40" t="s">
        <v>4</v>
      </c>
      <c r="BE5" s="40" t="s">
        <v>5</v>
      </c>
      <c r="BF5" s="40" t="s">
        <v>5</v>
      </c>
      <c r="BG5" s="40" t="s">
        <v>5</v>
      </c>
      <c r="BH5" s="40" t="s">
        <v>4</v>
      </c>
      <c r="BI5" s="40" t="s">
        <v>5</v>
      </c>
      <c r="BJ5" s="40" t="s">
        <v>5</v>
      </c>
      <c r="BK5" s="40" t="s">
        <v>5</v>
      </c>
      <c r="BL5" s="40" t="s">
        <v>5</v>
      </c>
      <c r="BM5" s="40" t="s">
        <v>5</v>
      </c>
      <c r="BN5" s="40" t="s">
        <v>5</v>
      </c>
      <c r="BO5" s="40" t="s">
        <v>5</v>
      </c>
      <c r="BP5" s="40" t="s">
        <v>5</v>
      </c>
      <c r="BQ5" s="40" t="s">
        <v>5</v>
      </c>
    </row>
    <row r="6" spans="1:69" x14ac:dyDescent="0.3">
      <c r="A6" s="2">
        <f t="shared" si="12"/>
        <v>87</v>
      </c>
      <c r="B6" s="12">
        <f t="shared" si="12"/>
        <v>4</v>
      </c>
      <c r="C6" s="26">
        <v>44648.666666608799</v>
      </c>
      <c r="D6" s="4">
        <v>24</v>
      </c>
      <c r="E6" s="4">
        <f t="shared" ref="E5:E32" si="14">E5+D6</f>
        <v>72</v>
      </c>
      <c r="F6" s="5">
        <f t="shared" si="13"/>
        <v>3</v>
      </c>
      <c r="G6" s="1">
        <f t="shared" si="2"/>
        <v>2</v>
      </c>
      <c r="H6" s="1">
        <f t="shared" si="3"/>
        <v>48</v>
      </c>
      <c r="I6" s="1">
        <f t="shared" si="4"/>
        <v>0</v>
      </c>
      <c r="J6" s="1">
        <f t="shared" si="5"/>
        <v>0</v>
      </c>
      <c r="K6" s="1">
        <f t="shared" si="6"/>
        <v>0</v>
      </c>
      <c r="L6" s="1">
        <f t="shared" si="0"/>
        <v>0</v>
      </c>
      <c r="M6" s="1">
        <f t="shared" si="1"/>
        <v>0</v>
      </c>
      <c r="N6" s="33"/>
      <c r="O6" s="1">
        <f t="shared" si="7"/>
        <v>0</v>
      </c>
      <c r="P6" s="1">
        <f t="shared" si="8"/>
        <v>0</v>
      </c>
      <c r="Q6" s="1">
        <f t="shared" si="9"/>
        <v>0</v>
      </c>
      <c r="R6" s="1">
        <f t="shared" si="10"/>
        <v>0</v>
      </c>
      <c r="S6" s="1">
        <f t="shared" si="11"/>
        <v>0</v>
      </c>
      <c r="T6" s="28" t="s">
        <v>5</v>
      </c>
      <c r="U6" s="28" t="s">
        <v>5</v>
      </c>
      <c r="V6" s="28" t="s">
        <v>5</v>
      </c>
      <c r="W6" s="28" t="s">
        <v>5</v>
      </c>
      <c r="X6" s="28" t="s">
        <v>5</v>
      </c>
      <c r="Y6" s="28" t="s">
        <v>4</v>
      </c>
      <c r="Z6" s="28" t="s">
        <v>5</v>
      </c>
      <c r="AA6" s="28" t="s">
        <v>5</v>
      </c>
      <c r="AB6" s="28" t="s">
        <v>5</v>
      </c>
      <c r="AC6" s="28" t="s">
        <v>5</v>
      </c>
      <c r="AD6" s="28" t="s">
        <v>5</v>
      </c>
      <c r="AE6" s="28" t="s">
        <v>5</v>
      </c>
      <c r="AF6" s="28" t="s">
        <v>5</v>
      </c>
      <c r="AG6" s="28" t="s">
        <v>5</v>
      </c>
      <c r="AH6" s="28" t="s">
        <v>5</v>
      </c>
      <c r="AI6" s="28" t="s">
        <v>5</v>
      </c>
      <c r="AJ6" s="28" t="s">
        <v>5</v>
      </c>
      <c r="AK6" s="28" t="s">
        <v>5</v>
      </c>
      <c r="AL6" s="28" t="s">
        <v>5</v>
      </c>
      <c r="AM6" s="28" t="s">
        <v>5</v>
      </c>
      <c r="AN6" s="28" t="s">
        <v>5</v>
      </c>
      <c r="AO6" s="28" t="s">
        <v>5</v>
      </c>
      <c r="AP6" s="28" t="s">
        <v>5</v>
      </c>
      <c r="AQ6" s="28" t="s">
        <v>5</v>
      </c>
      <c r="AR6" s="28" t="s">
        <v>5</v>
      </c>
      <c r="AS6" s="28" t="s">
        <v>5</v>
      </c>
      <c r="AT6" s="28" t="s">
        <v>5</v>
      </c>
      <c r="AU6" s="28" t="s">
        <v>5</v>
      </c>
      <c r="AV6" s="28" t="s">
        <v>5</v>
      </c>
      <c r="AW6" s="28" t="s">
        <v>5</v>
      </c>
      <c r="AX6" s="28" t="s">
        <v>5</v>
      </c>
      <c r="AY6" s="28" t="s">
        <v>5</v>
      </c>
      <c r="AZ6" s="28" t="s">
        <v>5</v>
      </c>
      <c r="BA6" s="28" t="s">
        <v>5</v>
      </c>
      <c r="BB6" s="28" t="s">
        <v>5</v>
      </c>
      <c r="BC6" s="28" t="s">
        <v>4</v>
      </c>
      <c r="BD6" s="28" t="s">
        <v>5</v>
      </c>
      <c r="BE6" s="28" t="s">
        <v>5</v>
      </c>
      <c r="BF6" s="28" t="s">
        <v>5</v>
      </c>
      <c r="BG6" s="28" t="s">
        <v>5</v>
      </c>
      <c r="BH6" s="28" t="s">
        <v>5</v>
      </c>
      <c r="BI6" s="28" t="s">
        <v>5</v>
      </c>
      <c r="BJ6" s="28" t="s">
        <v>5</v>
      </c>
      <c r="BK6" s="28" t="s">
        <v>5</v>
      </c>
      <c r="BL6" s="28" t="s">
        <v>5</v>
      </c>
      <c r="BM6" s="28" t="s">
        <v>5</v>
      </c>
      <c r="BN6" s="28" t="s">
        <v>5</v>
      </c>
      <c r="BO6" s="28" t="s">
        <v>5</v>
      </c>
      <c r="BP6" s="28" t="s">
        <v>5</v>
      </c>
      <c r="BQ6" s="28" t="s">
        <v>5</v>
      </c>
    </row>
    <row r="7" spans="1:69" x14ac:dyDescent="0.3">
      <c r="A7" s="2">
        <f t="shared" si="12"/>
        <v>88</v>
      </c>
      <c r="B7" s="12">
        <f t="shared" si="12"/>
        <v>5</v>
      </c>
      <c r="C7" s="26">
        <v>44649.666666608799</v>
      </c>
      <c r="D7" s="4">
        <v>24</v>
      </c>
      <c r="E7" s="4">
        <f t="shared" si="14"/>
        <v>96</v>
      </c>
      <c r="F7" s="5">
        <f t="shared" si="13"/>
        <v>4</v>
      </c>
      <c r="G7" s="1">
        <f t="shared" si="2"/>
        <v>1</v>
      </c>
      <c r="H7" s="1">
        <f t="shared" si="3"/>
        <v>25</v>
      </c>
      <c r="I7" s="1">
        <f t="shared" si="4"/>
        <v>22</v>
      </c>
      <c r="J7" s="1">
        <f t="shared" si="5"/>
        <v>0</v>
      </c>
      <c r="K7" s="1">
        <f t="shared" si="6"/>
        <v>0</v>
      </c>
      <c r="L7" s="1">
        <f t="shared" si="0"/>
        <v>0</v>
      </c>
      <c r="M7" s="1">
        <f t="shared" si="1"/>
        <v>0</v>
      </c>
      <c r="N7" s="33"/>
      <c r="O7" s="1">
        <f t="shared" si="7"/>
        <v>0</v>
      </c>
      <c r="P7" s="1">
        <f t="shared" si="8"/>
        <v>2</v>
      </c>
      <c r="Q7" s="1">
        <f t="shared" si="9"/>
        <v>0</v>
      </c>
      <c r="R7" s="1">
        <f t="shared" si="10"/>
        <v>0</v>
      </c>
      <c r="S7" s="1">
        <f t="shared" si="11"/>
        <v>0</v>
      </c>
      <c r="T7" s="28" t="s">
        <v>8</v>
      </c>
      <c r="U7" s="28" t="s">
        <v>8</v>
      </c>
      <c r="V7" s="28" t="s">
        <v>8</v>
      </c>
      <c r="W7" s="28" t="s">
        <v>8</v>
      </c>
      <c r="X7" s="28" t="s">
        <v>8</v>
      </c>
      <c r="Y7" s="28" t="s">
        <v>5</v>
      </c>
      <c r="Z7" s="28" t="s">
        <v>5</v>
      </c>
      <c r="AA7" s="28" t="s">
        <v>5</v>
      </c>
      <c r="AB7" s="28" t="s">
        <v>8</v>
      </c>
      <c r="AC7" s="28" t="s">
        <v>8</v>
      </c>
      <c r="AD7" s="28" t="s">
        <v>18</v>
      </c>
      <c r="AE7" s="28" t="s">
        <v>5</v>
      </c>
      <c r="AF7" s="28" t="s">
        <v>5</v>
      </c>
      <c r="AG7" s="28" t="s">
        <v>5</v>
      </c>
      <c r="AH7" s="28" t="s">
        <v>5</v>
      </c>
      <c r="AI7" s="28" t="s">
        <v>5</v>
      </c>
      <c r="AJ7" s="28" t="s">
        <v>5</v>
      </c>
      <c r="AK7" s="28" t="s">
        <v>8</v>
      </c>
      <c r="AL7" s="28" t="s">
        <v>8</v>
      </c>
      <c r="AM7" s="28" t="s">
        <v>8</v>
      </c>
      <c r="AN7" s="28" t="s">
        <v>5</v>
      </c>
      <c r="AO7" s="28" t="s">
        <v>5</v>
      </c>
      <c r="AP7" s="28" t="s">
        <v>5</v>
      </c>
      <c r="AQ7" s="28" t="s">
        <v>5</v>
      </c>
      <c r="AR7" s="28" t="s">
        <v>5</v>
      </c>
      <c r="AS7" s="28" t="s">
        <v>5</v>
      </c>
      <c r="AT7" s="28" t="s">
        <v>5</v>
      </c>
      <c r="AU7" s="28" t="s">
        <v>5</v>
      </c>
      <c r="AV7" s="28" t="s">
        <v>5</v>
      </c>
      <c r="AW7" s="28" t="s">
        <v>5</v>
      </c>
      <c r="AX7" s="28" t="s">
        <v>5</v>
      </c>
      <c r="AY7" s="28" t="s">
        <v>5</v>
      </c>
      <c r="AZ7" s="28" t="s">
        <v>5</v>
      </c>
      <c r="BA7" s="28" t="s">
        <v>5</v>
      </c>
      <c r="BB7" s="28" t="s">
        <v>5</v>
      </c>
      <c r="BC7" s="28" t="s">
        <v>4</v>
      </c>
      <c r="BD7" s="28" t="s">
        <v>18</v>
      </c>
      <c r="BE7" s="28" t="s">
        <v>8</v>
      </c>
      <c r="BF7" s="28" t="s">
        <v>8</v>
      </c>
      <c r="BG7" s="28" t="s">
        <v>8</v>
      </c>
      <c r="BH7" s="28" t="s">
        <v>5</v>
      </c>
      <c r="BI7" s="28" t="s">
        <v>8</v>
      </c>
      <c r="BJ7" s="28" t="s">
        <v>8</v>
      </c>
      <c r="BK7" s="28" t="s">
        <v>8</v>
      </c>
      <c r="BL7" s="28" t="s">
        <v>8</v>
      </c>
      <c r="BM7" s="28" t="s">
        <v>8</v>
      </c>
      <c r="BN7" s="28" t="s">
        <v>8</v>
      </c>
      <c r="BO7" s="28" t="s">
        <v>8</v>
      </c>
      <c r="BP7" s="28" t="s">
        <v>8</v>
      </c>
      <c r="BQ7" s="28" t="s">
        <v>8</v>
      </c>
    </row>
    <row r="8" spans="1:69" x14ac:dyDescent="0.3">
      <c r="A8" s="2">
        <f t="shared" si="12"/>
        <v>89</v>
      </c>
      <c r="B8" s="12">
        <f t="shared" si="12"/>
        <v>6</v>
      </c>
      <c r="C8" s="26">
        <v>44650.666666608799</v>
      </c>
      <c r="D8" s="4">
        <v>24</v>
      </c>
      <c r="E8" s="4">
        <f t="shared" si="14"/>
        <v>120</v>
      </c>
      <c r="F8" s="5">
        <f t="shared" si="13"/>
        <v>5</v>
      </c>
      <c r="G8" s="1">
        <f t="shared" si="2"/>
        <v>0</v>
      </c>
      <c r="H8" s="1">
        <f t="shared" si="3"/>
        <v>6</v>
      </c>
      <c r="I8" s="1">
        <f t="shared" si="4"/>
        <v>39</v>
      </c>
      <c r="J8" s="1">
        <f t="shared" si="5"/>
        <v>0</v>
      </c>
      <c r="K8" s="1">
        <f t="shared" si="6"/>
        <v>0</v>
      </c>
      <c r="L8" s="1">
        <f t="shared" si="0"/>
        <v>0</v>
      </c>
      <c r="M8" s="1">
        <f t="shared" si="1"/>
        <v>0</v>
      </c>
      <c r="N8" s="33"/>
      <c r="O8" s="1">
        <f t="shared" si="7"/>
        <v>1</v>
      </c>
      <c r="P8" s="1">
        <f t="shared" si="8"/>
        <v>4</v>
      </c>
      <c r="Q8" s="1">
        <f t="shared" si="9"/>
        <v>0</v>
      </c>
      <c r="R8" s="1">
        <f t="shared" si="10"/>
        <v>0</v>
      </c>
      <c r="S8" s="1">
        <f t="shared" si="11"/>
        <v>0</v>
      </c>
      <c r="T8" s="28" t="s">
        <v>8</v>
      </c>
      <c r="U8" s="28" t="s">
        <v>8</v>
      </c>
      <c r="V8" s="28" t="s">
        <v>8</v>
      </c>
      <c r="W8" s="28" t="s">
        <v>8</v>
      </c>
      <c r="X8" s="28" t="s">
        <v>8</v>
      </c>
      <c r="Y8" s="28" t="s">
        <v>5</v>
      </c>
      <c r="Z8" s="28" t="s">
        <v>8</v>
      </c>
      <c r="AA8" s="28" t="s">
        <v>8</v>
      </c>
      <c r="AB8" s="28" t="s">
        <v>8</v>
      </c>
      <c r="AC8" s="28" t="s">
        <v>8</v>
      </c>
      <c r="AD8" s="28" t="s">
        <v>18</v>
      </c>
      <c r="AE8" s="28" t="s">
        <v>8</v>
      </c>
      <c r="AF8" s="28" t="s">
        <v>8</v>
      </c>
      <c r="AG8" s="28" t="s">
        <v>8</v>
      </c>
      <c r="AH8" s="28" t="s">
        <v>8</v>
      </c>
      <c r="AI8" s="28" t="s">
        <v>5</v>
      </c>
      <c r="AJ8" s="28" t="s">
        <v>5</v>
      </c>
      <c r="AK8" s="28" t="s">
        <v>8</v>
      </c>
      <c r="AL8" s="28" t="s">
        <v>8</v>
      </c>
      <c r="AM8" s="28" t="s">
        <v>8</v>
      </c>
      <c r="AN8" s="28" t="s">
        <v>5</v>
      </c>
      <c r="AO8" s="28" t="s">
        <v>5</v>
      </c>
      <c r="AP8" s="28" t="s">
        <v>5</v>
      </c>
      <c r="AQ8" s="28" t="s">
        <v>8</v>
      </c>
      <c r="AR8" s="28" t="s">
        <v>8</v>
      </c>
      <c r="AS8" s="28" t="s">
        <v>18</v>
      </c>
      <c r="AT8" s="28" t="s">
        <v>8</v>
      </c>
      <c r="AU8" s="28" t="s">
        <v>8</v>
      </c>
      <c r="AV8" s="28" t="s">
        <v>8</v>
      </c>
      <c r="AW8" s="28" t="s">
        <v>8</v>
      </c>
      <c r="AX8" s="28" t="s">
        <v>8</v>
      </c>
      <c r="AY8" s="28" t="s">
        <v>8</v>
      </c>
      <c r="AZ8" s="28" t="s">
        <v>8</v>
      </c>
      <c r="BA8" s="28" t="s">
        <v>8</v>
      </c>
      <c r="BB8" s="28" t="s">
        <v>8</v>
      </c>
      <c r="BC8" s="28" t="s">
        <v>17</v>
      </c>
      <c r="BD8" s="28" t="s">
        <v>18</v>
      </c>
      <c r="BE8" s="28" t="s">
        <v>8</v>
      </c>
      <c r="BF8" s="28" t="s">
        <v>8</v>
      </c>
      <c r="BG8" s="28" t="s">
        <v>8</v>
      </c>
      <c r="BH8" s="28" t="s">
        <v>18</v>
      </c>
      <c r="BI8" s="28" t="s">
        <v>8</v>
      </c>
      <c r="BJ8" s="28" t="s">
        <v>8</v>
      </c>
      <c r="BK8" s="28" t="s">
        <v>8</v>
      </c>
      <c r="BL8" s="28" t="s">
        <v>8</v>
      </c>
      <c r="BM8" s="28" t="s">
        <v>8</v>
      </c>
      <c r="BN8" s="28" t="s">
        <v>8</v>
      </c>
      <c r="BO8" s="28" t="s">
        <v>8</v>
      </c>
      <c r="BP8" s="28" t="s">
        <v>8</v>
      </c>
      <c r="BQ8" s="28" t="s">
        <v>8</v>
      </c>
    </row>
    <row r="9" spans="1:69" x14ac:dyDescent="0.3">
      <c r="A9" s="2">
        <f t="shared" si="12"/>
        <v>90</v>
      </c>
      <c r="B9" s="12">
        <f t="shared" si="12"/>
        <v>7</v>
      </c>
      <c r="C9" s="26">
        <v>44651.666666608799</v>
      </c>
      <c r="D9" s="4">
        <v>24</v>
      </c>
      <c r="E9" s="4">
        <f t="shared" si="14"/>
        <v>144</v>
      </c>
      <c r="F9" s="5">
        <f t="shared" si="13"/>
        <v>6</v>
      </c>
      <c r="G9" s="1">
        <f t="shared" si="2"/>
        <v>0</v>
      </c>
      <c r="H9" s="1">
        <f t="shared" si="3"/>
        <v>0</v>
      </c>
      <c r="I9" s="1">
        <f t="shared" si="4"/>
        <v>35</v>
      </c>
      <c r="J9" s="1">
        <f t="shared" si="5"/>
        <v>7</v>
      </c>
      <c r="K9" s="1">
        <f t="shared" si="6"/>
        <v>0</v>
      </c>
      <c r="L9" s="1">
        <f t="shared" si="0"/>
        <v>0</v>
      </c>
      <c r="M9" s="1">
        <f t="shared" si="1"/>
        <v>0</v>
      </c>
      <c r="N9" s="33"/>
      <c r="O9" s="1">
        <f t="shared" si="7"/>
        <v>1</v>
      </c>
      <c r="P9" s="1">
        <f t="shared" si="8"/>
        <v>5</v>
      </c>
      <c r="Q9" s="1">
        <f t="shared" si="9"/>
        <v>2</v>
      </c>
      <c r="R9" s="1">
        <f t="shared" si="10"/>
        <v>0</v>
      </c>
      <c r="S9" s="1">
        <f t="shared" si="11"/>
        <v>0</v>
      </c>
      <c r="T9" s="28" t="s">
        <v>10</v>
      </c>
      <c r="U9" s="28" t="s">
        <v>10</v>
      </c>
      <c r="V9" s="28" t="s">
        <v>10</v>
      </c>
      <c r="W9" s="28" t="s">
        <v>10</v>
      </c>
      <c r="X9" s="28" t="s">
        <v>10</v>
      </c>
      <c r="Y9" s="28" t="s">
        <v>18</v>
      </c>
      <c r="Z9" s="28" t="s">
        <v>22</v>
      </c>
      <c r="AA9" s="28" t="s">
        <v>8</v>
      </c>
      <c r="AB9" s="28" t="s">
        <v>8</v>
      </c>
      <c r="AC9" s="28" t="s">
        <v>8</v>
      </c>
      <c r="AD9" s="28" t="s">
        <v>18</v>
      </c>
      <c r="AE9" s="28" t="s">
        <v>8</v>
      </c>
      <c r="AF9" s="28" t="s">
        <v>8</v>
      </c>
      <c r="AG9" s="28" t="s">
        <v>8</v>
      </c>
      <c r="AH9" s="28" t="s">
        <v>8</v>
      </c>
      <c r="AI9" s="28" t="s">
        <v>8</v>
      </c>
      <c r="AJ9" s="28" t="s">
        <v>8</v>
      </c>
      <c r="AK9" s="28" t="s">
        <v>8</v>
      </c>
      <c r="AL9" s="28" t="s">
        <v>8</v>
      </c>
      <c r="AM9" s="28" t="s">
        <v>8</v>
      </c>
      <c r="AN9" s="28" t="s">
        <v>8</v>
      </c>
      <c r="AO9" s="28" t="s">
        <v>8</v>
      </c>
      <c r="AP9" s="28" t="s">
        <v>8</v>
      </c>
      <c r="AQ9" s="28" t="s">
        <v>8</v>
      </c>
      <c r="AR9" s="28" t="s">
        <v>8</v>
      </c>
      <c r="AS9" s="28" t="s">
        <v>18</v>
      </c>
      <c r="AT9" s="28" t="s">
        <v>8</v>
      </c>
      <c r="AU9" s="28" t="s">
        <v>8</v>
      </c>
      <c r="AV9" s="28" t="s">
        <v>8</v>
      </c>
      <c r="AW9" s="28" t="s">
        <v>8</v>
      </c>
      <c r="AX9" s="28" t="s">
        <v>8</v>
      </c>
      <c r="AY9" s="28" t="s">
        <v>8</v>
      </c>
      <c r="AZ9" s="28" t="s">
        <v>8</v>
      </c>
      <c r="BA9" s="28" t="s">
        <v>8</v>
      </c>
      <c r="BB9" s="28" t="s">
        <v>8</v>
      </c>
      <c r="BC9" s="28" t="s">
        <v>17</v>
      </c>
      <c r="BD9" s="28" t="s">
        <v>18</v>
      </c>
      <c r="BE9" s="28" t="s">
        <v>8</v>
      </c>
      <c r="BF9" s="28" t="s">
        <v>8</v>
      </c>
      <c r="BG9" s="28" t="s">
        <v>8</v>
      </c>
      <c r="BH9" s="28" t="s">
        <v>18</v>
      </c>
      <c r="BI9" s="28" t="s">
        <v>10</v>
      </c>
      <c r="BJ9" s="28" t="s">
        <v>10</v>
      </c>
      <c r="BK9" s="28" t="s">
        <v>8</v>
      </c>
      <c r="BL9" s="28" t="s">
        <v>8</v>
      </c>
      <c r="BM9" s="28" t="s">
        <v>22</v>
      </c>
      <c r="BN9" s="28" t="s">
        <v>8</v>
      </c>
      <c r="BO9" s="28" t="s">
        <v>8</v>
      </c>
      <c r="BP9" s="28" t="s">
        <v>8</v>
      </c>
      <c r="BQ9" s="28" t="s">
        <v>8</v>
      </c>
    </row>
    <row r="10" spans="1:69" x14ac:dyDescent="0.3">
      <c r="A10" s="2">
        <f t="shared" si="12"/>
        <v>91</v>
      </c>
      <c r="B10" s="12">
        <f t="shared" si="12"/>
        <v>8</v>
      </c>
      <c r="C10" s="26">
        <v>44652.666666608799</v>
      </c>
      <c r="D10" s="4">
        <v>24</v>
      </c>
      <c r="E10" s="4">
        <f t="shared" si="14"/>
        <v>168</v>
      </c>
      <c r="F10" s="5">
        <f t="shared" si="13"/>
        <v>7</v>
      </c>
      <c r="G10" s="1">
        <f t="shared" si="2"/>
        <v>0</v>
      </c>
      <c r="H10" s="1">
        <f t="shared" si="3"/>
        <v>0</v>
      </c>
      <c r="I10" s="1">
        <f t="shared" si="4"/>
        <v>10</v>
      </c>
      <c r="J10" s="1">
        <f t="shared" si="5"/>
        <v>29</v>
      </c>
      <c r="K10" s="1">
        <f t="shared" si="6"/>
        <v>0</v>
      </c>
      <c r="L10" s="1">
        <f t="shared" si="0"/>
        <v>0</v>
      </c>
      <c r="M10" s="1">
        <f t="shared" si="1"/>
        <v>0</v>
      </c>
      <c r="N10" s="33"/>
      <c r="O10" s="1">
        <f t="shared" si="7"/>
        <v>1</v>
      </c>
      <c r="P10" s="1">
        <f t="shared" si="8"/>
        <v>5</v>
      </c>
      <c r="Q10" s="1">
        <f>COUNTIF($T10:$BQ10, "L2_D")</f>
        <v>5</v>
      </c>
      <c r="R10" s="1">
        <f t="shared" si="10"/>
        <v>0</v>
      </c>
      <c r="S10" s="1">
        <f t="shared" si="11"/>
        <v>0</v>
      </c>
      <c r="T10" s="28" t="s">
        <v>10</v>
      </c>
      <c r="U10" s="28" t="s">
        <v>10</v>
      </c>
      <c r="V10" s="28" t="s">
        <v>10</v>
      </c>
      <c r="W10" s="28" t="s">
        <v>10</v>
      </c>
      <c r="X10" s="28" t="s">
        <v>10</v>
      </c>
      <c r="Y10" s="28" t="s">
        <v>18</v>
      </c>
      <c r="Z10" s="28" t="s">
        <v>22</v>
      </c>
      <c r="AA10" s="28" t="s">
        <v>10</v>
      </c>
      <c r="AB10" s="28" t="s">
        <v>10</v>
      </c>
      <c r="AC10" s="28" t="s">
        <v>10</v>
      </c>
      <c r="AD10" s="28" t="s">
        <v>18</v>
      </c>
      <c r="AE10" s="28" t="s">
        <v>22</v>
      </c>
      <c r="AF10" s="28" t="s">
        <v>8</v>
      </c>
      <c r="AG10" s="28" t="s">
        <v>8</v>
      </c>
      <c r="AH10" s="28" t="s">
        <v>8</v>
      </c>
      <c r="AI10" s="28" t="s">
        <v>22</v>
      </c>
      <c r="AJ10" s="28" t="s">
        <v>10</v>
      </c>
      <c r="AK10" s="28" t="s">
        <v>10</v>
      </c>
      <c r="AL10" s="28" t="s">
        <v>10</v>
      </c>
      <c r="AM10" s="28" t="s">
        <v>10</v>
      </c>
      <c r="AN10" s="28" t="s">
        <v>8</v>
      </c>
      <c r="AO10" s="28" t="s">
        <v>8</v>
      </c>
      <c r="AP10" s="28" t="s">
        <v>8</v>
      </c>
      <c r="AQ10" s="28" t="s">
        <v>10</v>
      </c>
      <c r="AR10" s="28" t="s">
        <v>10</v>
      </c>
      <c r="AS10" s="28" t="s">
        <v>18</v>
      </c>
      <c r="AT10" s="28" t="s">
        <v>8</v>
      </c>
      <c r="AU10" s="28" t="s">
        <v>10</v>
      </c>
      <c r="AV10" s="28" t="s">
        <v>10</v>
      </c>
      <c r="AW10" s="28" t="s">
        <v>10</v>
      </c>
      <c r="AX10" s="28" t="s">
        <v>8</v>
      </c>
      <c r="AY10" s="28" t="s">
        <v>10</v>
      </c>
      <c r="AZ10" s="28" t="s">
        <v>10</v>
      </c>
      <c r="BA10" s="28" t="s">
        <v>10</v>
      </c>
      <c r="BB10" s="28" t="s">
        <v>10</v>
      </c>
      <c r="BC10" s="28" t="s">
        <v>17</v>
      </c>
      <c r="BD10" s="28" t="s">
        <v>18</v>
      </c>
      <c r="BE10" s="28" t="s">
        <v>22</v>
      </c>
      <c r="BF10" s="28" t="s">
        <v>10</v>
      </c>
      <c r="BG10" s="28" t="s">
        <v>10</v>
      </c>
      <c r="BH10" s="28" t="s">
        <v>18</v>
      </c>
      <c r="BI10" s="28" t="s">
        <v>10</v>
      </c>
      <c r="BJ10" s="28" t="s">
        <v>10</v>
      </c>
      <c r="BK10" s="28" t="s">
        <v>8</v>
      </c>
      <c r="BL10" s="28" t="s">
        <v>8</v>
      </c>
      <c r="BM10" s="28" t="s">
        <v>22</v>
      </c>
      <c r="BN10" s="28" t="s">
        <v>10</v>
      </c>
      <c r="BO10" s="28" t="s">
        <v>10</v>
      </c>
      <c r="BP10" s="28" t="s">
        <v>10</v>
      </c>
      <c r="BQ10" s="28" t="s">
        <v>10</v>
      </c>
    </row>
    <row r="11" spans="1:69" x14ac:dyDescent="0.3">
      <c r="A11" s="2">
        <f t="shared" si="12"/>
        <v>92</v>
      </c>
      <c r="B11" s="12">
        <f t="shared" si="12"/>
        <v>9</v>
      </c>
      <c r="C11" s="26">
        <v>44653.666666608799</v>
      </c>
      <c r="D11" s="4">
        <v>24</v>
      </c>
      <c r="E11" s="4">
        <f t="shared" si="14"/>
        <v>192</v>
      </c>
      <c r="F11" s="5">
        <f t="shared" si="13"/>
        <v>8</v>
      </c>
      <c r="G11" s="1">
        <f t="shared" si="2"/>
        <v>0</v>
      </c>
      <c r="H11" s="1">
        <f t="shared" si="3"/>
        <v>0</v>
      </c>
      <c r="I11" s="1">
        <f t="shared" si="4"/>
        <v>0</v>
      </c>
      <c r="J11" s="1">
        <f t="shared" si="5"/>
        <v>37</v>
      </c>
      <c r="K11" s="1">
        <f t="shared" si="6"/>
        <v>0</v>
      </c>
      <c r="L11" s="1">
        <f t="shared" si="0"/>
        <v>0</v>
      </c>
      <c r="M11" s="1">
        <f t="shared" si="1"/>
        <v>0</v>
      </c>
      <c r="N11" s="33"/>
      <c r="O11" s="1">
        <f t="shared" si="7"/>
        <v>1</v>
      </c>
      <c r="P11" s="1">
        <f t="shared" si="8"/>
        <v>5</v>
      </c>
      <c r="Q11" s="1">
        <f t="shared" si="9"/>
        <v>7</v>
      </c>
      <c r="R11" s="1">
        <f t="shared" si="10"/>
        <v>0</v>
      </c>
      <c r="S11" s="1">
        <f t="shared" si="11"/>
        <v>0</v>
      </c>
      <c r="T11" s="28" t="s">
        <v>10</v>
      </c>
      <c r="U11" s="28" t="s">
        <v>10</v>
      </c>
      <c r="V11" s="28" t="s">
        <v>10</v>
      </c>
      <c r="W11" s="28" t="s">
        <v>10</v>
      </c>
      <c r="X11" s="28" t="s">
        <v>10</v>
      </c>
      <c r="Y11" s="28" t="s">
        <v>18</v>
      </c>
      <c r="Z11" s="28" t="s">
        <v>22</v>
      </c>
      <c r="AA11" s="28" t="s">
        <v>10</v>
      </c>
      <c r="AB11" s="28" t="s">
        <v>10</v>
      </c>
      <c r="AC11" s="28" t="s">
        <v>10</v>
      </c>
      <c r="AD11" s="28" t="s">
        <v>18</v>
      </c>
      <c r="AE11" s="28" t="s">
        <v>22</v>
      </c>
      <c r="AF11" s="28" t="s">
        <v>22</v>
      </c>
      <c r="AG11" s="28" t="s">
        <v>10</v>
      </c>
      <c r="AH11" s="28" t="s">
        <v>10</v>
      </c>
      <c r="AI11" s="28" t="s">
        <v>22</v>
      </c>
      <c r="AJ11" s="28" t="s">
        <v>10</v>
      </c>
      <c r="AK11" s="28" t="s">
        <v>10</v>
      </c>
      <c r="AL11" s="28" t="s">
        <v>10</v>
      </c>
      <c r="AM11" s="28" t="s">
        <v>10</v>
      </c>
      <c r="AN11" s="28" t="s">
        <v>10</v>
      </c>
      <c r="AO11" s="28" t="s">
        <v>10</v>
      </c>
      <c r="AP11" s="28" t="s">
        <v>10</v>
      </c>
      <c r="AQ11" s="28" t="s">
        <v>10</v>
      </c>
      <c r="AR11" s="28" t="s">
        <v>10</v>
      </c>
      <c r="AS11" s="28" t="s">
        <v>18</v>
      </c>
      <c r="AT11" s="28" t="s">
        <v>10</v>
      </c>
      <c r="AU11" s="28" t="s">
        <v>10</v>
      </c>
      <c r="AV11" s="28" t="s">
        <v>10</v>
      </c>
      <c r="AW11" s="28" t="s">
        <v>10</v>
      </c>
      <c r="AX11" s="28" t="s">
        <v>10</v>
      </c>
      <c r="AY11" s="28" t="s">
        <v>10</v>
      </c>
      <c r="AZ11" s="28" t="s">
        <v>10</v>
      </c>
      <c r="BA11" s="28" t="s">
        <v>10</v>
      </c>
      <c r="BB11" s="28" t="s">
        <v>10</v>
      </c>
      <c r="BC11" s="28" t="s">
        <v>17</v>
      </c>
      <c r="BD11" s="28" t="s">
        <v>18</v>
      </c>
      <c r="BE11" s="28" t="s">
        <v>22</v>
      </c>
      <c r="BF11" s="28" t="s">
        <v>10</v>
      </c>
      <c r="BG11" s="28" t="s">
        <v>10</v>
      </c>
      <c r="BH11" s="28" t="s">
        <v>18</v>
      </c>
      <c r="BI11" s="28" t="s">
        <v>10</v>
      </c>
      <c r="BJ11" s="28" t="s">
        <v>10</v>
      </c>
      <c r="BK11" s="28" t="s">
        <v>10</v>
      </c>
      <c r="BL11" s="28" t="s">
        <v>22</v>
      </c>
      <c r="BM11" s="28" t="s">
        <v>22</v>
      </c>
      <c r="BN11" s="28" t="s">
        <v>10</v>
      </c>
      <c r="BO11" s="28" t="s">
        <v>10</v>
      </c>
      <c r="BP11" s="28" t="s">
        <v>10</v>
      </c>
      <c r="BQ11" s="28" t="s">
        <v>10</v>
      </c>
    </row>
    <row r="12" spans="1:69" x14ac:dyDescent="0.3">
      <c r="A12" s="2">
        <f t="shared" si="12"/>
        <v>93</v>
      </c>
      <c r="B12" s="12">
        <f t="shared" si="12"/>
        <v>10</v>
      </c>
      <c r="C12" s="26">
        <v>44654.666666608799</v>
      </c>
      <c r="D12" s="4">
        <v>24</v>
      </c>
      <c r="E12" s="4">
        <f t="shared" si="14"/>
        <v>216</v>
      </c>
      <c r="F12" s="5">
        <f t="shared" si="13"/>
        <v>9</v>
      </c>
      <c r="G12" s="1">
        <f t="shared" si="2"/>
        <v>0</v>
      </c>
      <c r="H12" s="1">
        <f t="shared" si="3"/>
        <v>0</v>
      </c>
      <c r="I12" s="1">
        <f t="shared" si="4"/>
        <v>0</v>
      </c>
      <c r="J12" s="1">
        <f t="shared" si="5"/>
        <v>37</v>
      </c>
      <c r="K12" s="1">
        <f t="shared" si="6"/>
        <v>0</v>
      </c>
      <c r="L12" s="1">
        <f t="shared" si="0"/>
        <v>0</v>
      </c>
      <c r="M12" s="1">
        <f t="shared" si="1"/>
        <v>0</v>
      </c>
      <c r="N12" s="33"/>
      <c r="O12" s="1">
        <f t="shared" si="7"/>
        <v>1</v>
      </c>
      <c r="P12" s="1">
        <f t="shared" si="8"/>
        <v>5</v>
      </c>
      <c r="Q12" s="1">
        <f t="shared" si="9"/>
        <v>7</v>
      </c>
      <c r="R12" s="1">
        <f t="shared" si="10"/>
        <v>0</v>
      </c>
      <c r="S12" s="1">
        <f t="shared" si="11"/>
        <v>0</v>
      </c>
      <c r="T12" s="28" t="s">
        <v>10</v>
      </c>
      <c r="U12" s="28" t="s">
        <v>10</v>
      </c>
      <c r="V12" s="28" t="s">
        <v>10</v>
      </c>
      <c r="W12" s="28" t="s">
        <v>10</v>
      </c>
      <c r="X12" s="28" t="s">
        <v>10</v>
      </c>
      <c r="Y12" s="28" t="s">
        <v>18</v>
      </c>
      <c r="Z12" s="28" t="s">
        <v>22</v>
      </c>
      <c r="AA12" s="28" t="s">
        <v>10</v>
      </c>
      <c r="AB12" s="28" t="s">
        <v>10</v>
      </c>
      <c r="AC12" s="28" t="s">
        <v>10</v>
      </c>
      <c r="AD12" s="28" t="s">
        <v>18</v>
      </c>
      <c r="AE12" s="28" t="s">
        <v>22</v>
      </c>
      <c r="AF12" s="28" t="s">
        <v>22</v>
      </c>
      <c r="AG12" s="28" t="s">
        <v>10</v>
      </c>
      <c r="AH12" s="28" t="s">
        <v>10</v>
      </c>
      <c r="AI12" s="28" t="s">
        <v>22</v>
      </c>
      <c r="AJ12" s="28" t="s">
        <v>10</v>
      </c>
      <c r="AK12" s="28" t="s">
        <v>10</v>
      </c>
      <c r="AL12" s="28" t="s">
        <v>10</v>
      </c>
      <c r="AM12" s="28" t="s">
        <v>10</v>
      </c>
      <c r="AN12" s="28" t="s">
        <v>10</v>
      </c>
      <c r="AO12" s="28" t="s">
        <v>10</v>
      </c>
      <c r="AP12" s="28" t="s">
        <v>10</v>
      </c>
      <c r="AQ12" s="28" t="s">
        <v>10</v>
      </c>
      <c r="AR12" s="28" t="s">
        <v>10</v>
      </c>
      <c r="AS12" s="28" t="s">
        <v>18</v>
      </c>
      <c r="AT12" s="28" t="s">
        <v>10</v>
      </c>
      <c r="AU12" s="28" t="s">
        <v>10</v>
      </c>
      <c r="AV12" s="28" t="s">
        <v>10</v>
      </c>
      <c r="AW12" s="28" t="s">
        <v>10</v>
      </c>
      <c r="AX12" s="28" t="s">
        <v>10</v>
      </c>
      <c r="AY12" s="28" t="s">
        <v>10</v>
      </c>
      <c r="AZ12" s="28" t="s">
        <v>10</v>
      </c>
      <c r="BA12" s="28" t="s">
        <v>10</v>
      </c>
      <c r="BB12" s="28" t="s">
        <v>10</v>
      </c>
      <c r="BC12" s="28" t="s">
        <v>17</v>
      </c>
      <c r="BD12" s="28" t="s">
        <v>18</v>
      </c>
      <c r="BE12" s="28" t="s">
        <v>22</v>
      </c>
      <c r="BF12" s="28" t="s">
        <v>10</v>
      </c>
      <c r="BG12" s="28" t="s">
        <v>10</v>
      </c>
      <c r="BH12" s="28" t="s">
        <v>18</v>
      </c>
      <c r="BI12" s="28" t="s">
        <v>10</v>
      </c>
      <c r="BJ12" s="28" t="s">
        <v>10</v>
      </c>
      <c r="BK12" s="28" t="s">
        <v>10</v>
      </c>
      <c r="BL12" s="28" t="s">
        <v>22</v>
      </c>
      <c r="BM12" s="28" t="s">
        <v>22</v>
      </c>
      <c r="BN12" s="28" t="s">
        <v>10</v>
      </c>
      <c r="BO12" s="28" t="s">
        <v>10</v>
      </c>
      <c r="BP12" s="28" t="s">
        <v>10</v>
      </c>
      <c r="BQ12" s="28" t="s">
        <v>10</v>
      </c>
    </row>
    <row r="13" spans="1:69" x14ac:dyDescent="0.3">
      <c r="A13" s="2">
        <f t="shared" si="12"/>
        <v>94</v>
      </c>
      <c r="B13" s="12">
        <f t="shared" si="12"/>
        <v>11</v>
      </c>
      <c r="C13" s="26">
        <v>44655.666666608799</v>
      </c>
      <c r="D13" s="4">
        <v>24</v>
      </c>
      <c r="E13" s="4">
        <f t="shared" si="14"/>
        <v>240</v>
      </c>
      <c r="F13" s="5">
        <f t="shared" si="13"/>
        <v>10</v>
      </c>
      <c r="G13" s="1">
        <f t="shared" si="2"/>
        <v>0</v>
      </c>
      <c r="H13" s="1">
        <f t="shared" si="3"/>
        <v>0</v>
      </c>
      <c r="I13" s="1">
        <f t="shared" si="4"/>
        <v>0</v>
      </c>
      <c r="J13" s="1">
        <f t="shared" si="5"/>
        <v>32</v>
      </c>
      <c r="K13" s="1">
        <f t="shared" si="6"/>
        <v>5</v>
      </c>
      <c r="L13" s="1">
        <f t="shared" si="0"/>
        <v>0</v>
      </c>
      <c r="M13" s="1">
        <f t="shared" si="1"/>
        <v>0</v>
      </c>
      <c r="N13" s="33"/>
      <c r="O13" s="1">
        <f t="shared" si="7"/>
        <v>1</v>
      </c>
      <c r="P13" s="1">
        <f t="shared" si="8"/>
        <v>5</v>
      </c>
      <c r="Q13" s="1">
        <f t="shared" si="9"/>
        <v>7</v>
      </c>
      <c r="R13" s="1">
        <f t="shared" si="10"/>
        <v>0</v>
      </c>
      <c r="S13" s="1">
        <f t="shared" si="11"/>
        <v>0</v>
      </c>
      <c r="T13" s="28" t="s">
        <v>11</v>
      </c>
      <c r="U13" s="28" t="s">
        <v>11</v>
      </c>
      <c r="V13" s="28" t="s">
        <v>11</v>
      </c>
      <c r="W13" s="28" t="s">
        <v>11</v>
      </c>
      <c r="X13" s="28" t="s">
        <v>11</v>
      </c>
      <c r="Y13" s="28" t="s">
        <v>18</v>
      </c>
      <c r="Z13" s="28" t="s">
        <v>22</v>
      </c>
      <c r="AA13" s="28" t="s">
        <v>10</v>
      </c>
      <c r="AB13" s="28" t="s">
        <v>10</v>
      </c>
      <c r="AC13" s="28" t="s">
        <v>10</v>
      </c>
      <c r="AD13" s="28" t="s">
        <v>18</v>
      </c>
      <c r="AE13" s="28" t="s">
        <v>22</v>
      </c>
      <c r="AF13" s="28" t="s">
        <v>22</v>
      </c>
      <c r="AG13" s="28" t="s">
        <v>10</v>
      </c>
      <c r="AH13" s="28" t="s">
        <v>10</v>
      </c>
      <c r="AI13" s="28" t="s">
        <v>22</v>
      </c>
      <c r="AJ13" s="28" t="s">
        <v>10</v>
      </c>
      <c r="AK13" s="28" t="s">
        <v>10</v>
      </c>
      <c r="AL13" s="28" t="s">
        <v>10</v>
      </c>
      <c r="AM13" s="28" t="s">
        <v>10</v>
      </c>
      <c r="AN13" s="28" t="s">
        <v>10</v>
      </c>
      <c r="AO13" s="28" t="s">
        <v>10</v>
      </c>
      <c r="AP13" s="28" t="s">
        <v>10</v>
      </c>
      <c r="AQ13" s="28" t="s">
        <v>10</v>
      </c>
      <c r="AR13" s="28" t="s">
        <v>10</v>
      </c>
      <c r="AS13" s="28" t="s">
        <v>18</v>
      </c>
      <c r="AT13" s="28" t="s">
        <v>10</v>
      </c>
      <c r="AU13" s="28" t="s">
        <v>10</v>
      </c>
      <c r="AV13" s="28" t="s">
        <v>10</v>
      </c>
      <c r="AW13" s="28" t="s">
        <v>10</v>
      </c>
      <c r="AX13" s="28" t="s">
        <v>10</v>
      </c>
      <c r="AY13" s="28" t="s">
        <v>10</v>
      </c>
      <c r="AZ13" s="28" t="s">
        <v>10</v>
      </c>
      <c r="BA13" s="28" t="s">
        <v>10</v>
      </c>
      <c r="BB13" s="28" t="s">
        <v>10</v>
      </c>
      <c r="BC13" s="28" t="s">
        <v>17</v>
      </c>
      <c r="BD13" s="28" t="s">
        <v>18</v>
      </c>
      <c r="BE13" s="28" t="s">
        <v>22</v>
      </c>
      <c r="BF13" s="28" t="s">
        <v>10</v>
      </c>
      <c r="BG13" s="28" t="s">
        <v>10</v>
      </c>
      <c r="BH13" s="28" t="s">
        <v>18</v>
      </c>
      <c r="BI13" s="28" t="s">
        <v>10</v>
      </c>
      <c r="BJ13" s="28" t="s">
        <v>10</v>
      </c>
      <c r="BK13" s="28" t="s">
        <v>10</v>
      </c>
      <c r="BL13" s="28" t="s">
        <v>22</v>
      </c>
      <c r="BM13" s="28" t="s">
        <v>22</v>
      </c>
      <c r="BN13" s="28" t="s">
        <v>10</v>
      </c>
      <c r="BO13" s="28" t="s">
        <v>10</v>
      </c>
      <c r="BP13" s="28" t="s">
        <v>10</v>
      </c>
      <c r="BQ13" s="28" t="s">
        <v>10</v>
      </c>
    </row>
    <row r="14" spans="1:69" x14ac:dyDescent="0.3">
      <c r="A14" s="2">
        <f t="shared" si="12"/>
        <v>95</v>
      </c>
      <c r="B14" s="12">
        <f t="shared" si="12"/>
        <v>12</v>
      </c>
      <c r="C14" s="26">
        <v>44656.666666608799</v>
      </c>
      <c r="D14" s="4">
        <v>24</v>
      </c>
      <c r="E14" s="4">
        <f t="shared" si="14"/>
        <v>264</v>
      </c>
      <c r="F14" s="5">
        <f t="shared" si="13"/>
        <v>11</v>
      </c>
      <c r="G14" s="1">
        <f t="shared" si="2"/>
        <v>0</v>
      </c>
      <c r="H14" s="1">
        <f t="shared" si="3"/>
        <v>0</v>
      </c>
      <c r="I14" s="1">
        <f t="shared" si="4"/>
        <v>0</v>
      </c>
      <c r="J14" s="1">
        <f t="shared" si="5"/>
        <v>9</v>
      </c>
      <c r="K14" s="1">
        <f t="shared" si="6"/>
        <v>28</v>
      </c>
      <c r="L14" s="1">
        <f t="shared" si="0"/>
        <v>0</v>
      </c>
      <c r="M14" s="1">
        <f t="shared" si="1"/>
        <v>0</v>
      </c>
      <c r="N14" s="33"/>
      <c r="O14" s="1">
        <f t="shared" si="7"/>
        <v>1</v>
      </c>
      <c r="P14" s="1">
        <f t="shared" si="8"/>
        <v>5</v>
      </c>
      <c r="Q14" s="1">
        <f t="shared" si="9"/>
        <v>7</v>
      </c>
      <c r="R14" s="1">
        <f t="shared" si="10"/>
        <v>0</v>
      </c>
      <c r="S14" s="1">
        <f t="shared" si="11"/>
        <v>0</v>
      </c>
      <c r="T14" s="28" t="s">
        <v>11</v>
      </c>
      <c r="U14" s="28" t="s">
        <v>11</v>
      </c>
      <c r="V14" s="28" t="s">
        <v>11</v>
      </c>
      <c r="W14" s="28" t="s">
        <v>11</v>
      </c>
      <c r="X14" s="28" t="s">
        <v>11</v>
      </c>
      <c r="Y14" s="28" t="s">
        <v>18</v>
      </c>
      <c r="Z14" s="28" t="s">
        <v>22</v>
      </c>
      <c r="AA14" s="28" t="s">
        <v>10</v>
      </c>
      <c r="AB14" s="28" t="s">
        <v>11</v>
      </c>
      <c r="AC14" s="28" t="s">
        <v>11</v>
      </c>
      <c r="AD14" s="28" t="s">
        <v>18</v>
      </c>
      <c r="AE14" s="28" t="s">
        <v>22</v>
      </c>
      <c r="AF14" s="28" t="s">
        <v>22</v>
      </c>
      <c r="AG14" s="28" t="s">
        <v>10</v>
      </c>
      <c r="AH14" s="28" t="s">
        <v>10</v>
      </c>
      <c r="AI14" s="28" t="s">
        <v>22</v>
      </c>
      <c r="AJ14" s="28" t="s">
        <v>11</v>
      </c>
      <c r="AK14" s="28" t="s">
        <v>11</v>
      </c>
      <c r="AL14" s="28" t="s">
        <v>11</v>
      </c>
      <c r="AM14" s="28" t="s">
        <v>11</v>
      </c>
      <c r="AN14" s="28" t="s">
        <v>10</v>
      </c>
      <c r="AO14" s="28" t="s">
        <v>11</v>
      </c>
      <c r="AP14" s="28" t="s">
        <v>11</v>
      </c>
      <c r="AQ14" s="28" t="s">
        <v>11</v>
      </c>
      <c r="AR14" s="28" t="s">
        <v>11</v>
      </c>
      <c r="AS14" s="28" t="s">
        <v>18</v>
      </c>
      <c r="AT14" s="28" t="s">
        <v>10</v>
      </c>
      <c r="AU14" s="28" t="s">
        <v>10</v>
      </c>
      <c r="AV14" s="28" t="s">
        <v>10</v>
      </c>
      <c r="AW14" s="28" t="s">
        <v>11</v>
      </c>
      <c r="AX14" s="28" t="s">
        <v>10</v>
      </c>
      <c r="AY14" s="28" t="s">
        <v>11</v>
      </c>
      <c r="AZ14" s="28" t="s">
        <v>11</v>
      </c>
      <c r="BA14" s="28" t="s">
        <v>11</v>
      </c>
      <c r="BB14" s="28" t="s">
        <v>11</v>
      </c>
      <c r="BC14" s="28" t="s">
        <v>17</v>
      </c>
      <c r="BD14" s="28" t="s">
        <v>18</v>
      </c>
      <c r="BE14" s="28" t="s">
        <v>22</v>
      </c>
      <c r="BF14" s="28" t="s">
        <v>11</v>
      </c>
      <c r="BG14" s="28" t="s">
        <v>11</v>
      </c>
      <c r="BH14" s="28" t="s">
        <v>18</v>
      </c>
      <c r="BI14" s="28" t="s">
        <v>11</v>
      </c>
      <c r="BJ14" s="28" t="s">
        <v>11</v>
      </c>
      <c r="BK14" s="28" t="s">
        <v>10</v>
      </c>
      <c r="BL14" s="28" t="s">
        <v>22</v>
      </c>
      <c r="BM14" s="28" t="s">
        <v>22</v>
      </c>
      <c r="BN14" s="28" t="s">
        <v>11</v>
      </c>
      <c r="BO14" s="28" t="s">
        <v>11</v>
      </c>
      <c r="BP14" s="28" t="s">
        <v>11</v>
      </c>
      <c r="BQ14" s="28" t="s">
        <v>11</v>
      </c>
    </row>
    <row r="15" spans="1:69" x14ac:dyDescent="0.3">
      <c r="A15" s="2">
        <f t="shared" si="12"/>
        <v>96</v>
      </c>
      <c r="B15" s="12">
        <f t="shared" si="12"/>
        <v>13</v>
      </c>
      <c r="C15" s="26">
        <v>44657.666666608799</v>
      </c>
      <c r="D15" s="4">
        <v>24</v>
      </c>
      <c r="E15" s="4">
        <f t="shared" si="14"/>
        <v>288</v>
      </c>
      <c r="F15" s="5">
        <f t="shared" si="13"/>
        <v>12</v>
      </c>
      <c r="G15" s="1">
        <f t="shared" si="2"/>
        <v>0</v>
      </c>
      <c r="H15" s="1">
        <f t="shared" si="3"/>
        <v>0</v>
      </c>
      <c r="I15" s="1">
        <f t="shared" si="4"/>
        <v>0</v>
      </c>
      <c r="J15" s="1">
        <f t="shared" si="5"/>
        <v>3</v>
      </c>
      <c r="K15" s="1">
        <f t="shared" si="6"/>
        <v>34</v>
      </c>
      <c r="L15" s="1">
        <f t="shared" si="0"/>
        <v>0</v>
      </c>
      <c r="M15" s="1">
        <f t="shared" si="1"/>
        <v>0</v>
      </c>
      <c r="N15" s="33"/>
      <c r="O15" s="1">
        <f t="shared" si="7"/>
        <v>1</v>
      </c>
      <c r="P15" s="1">
        <f t="shared" si="8"/>
        <v>5</v>
      </c>
      <c r="Q15" s="1">
        <f t="shared" si="9"/>
        <v>7</v>
      </c>
      <c r="R15" s="1">
        <f t="shared" si="10"/>
        <v>0</v>
      </c>
      <c r="S15" s="1">
        <f t="shared" si="11"/>
        <v>0</v>
      </c>
      <c r="T15" s="28" t="s">
        <v>11</v>
      </c>
      <c r="U15" s="28" t="s">
        <v>11</v>
      </c>
      <c r="V15" s="28" t="s">
        <v>11</v>
      </c>
      <c r="W15" s="28" t="s">
        <v>11</v>
      </c>
      <c r="X15" s="28" t="s">
        <v>11</v>
      </c>
      <c r="Y15" s="28" t="s">
        <v>18</v>
      </c>
      <c r="Z15" s="28" t="s">
        <v>22</v>
      </c>
      <c r="AA15" s="28" t="s">
        <v>11</v>
      </c>
      <c r="AB15" s="28" t="s">
        <v>11</v>
      </c>
      <c r="AC15" s="28" t="s">
        <v>11</v>
      </c>
      <c r="AD15" s="28" t="s">
        <v>18</v>
      </c>
      <c r="AE15" s="28" t="s">
        <v>22</v>
      </c>
      <c r="AF15" s="28" t="s">
        <v>22</v>
      </c>
      <c r="AG15" s="28" t="s">
        <v>10</v>
      </c>
      <c r="AH15" s="28" t="s">
        <v>11</v>
      </c>
      <c r="AI15" s="28" t="s">
        <v>22</v>
      </c>
      <c r="AJ15" s="28" t="s">
        <v>11</v>
      </c>
      <c r="AK15" s="28" t="s">
        <v>11</v>
      </c>
      <c r="AL15" s="28" t="s">
        <v>11</v>
      </c>
      <c r="AM15" s="28" t="s">
        <v>11</v>
      </c>
      <c r="AN15" s="28" t="s">
        <v>11</v>
      </c>
      <c r="AO15" s="28" t="s">
        <v>11</v>
      </c>
      <c r="AP15" s="28" t="s">
        <v>11</v>
      </c>
      <c r="AQ15" s="28" t="s">
        <v>11</v>
      </c>
      <c r="AR15" s="28" t="s">
        <v>11</v>
      </c>
      <c r="AS15" s="28" t="s">
        <v>18</v>
      </c>
      <c r="AT15" s="28" t="s">
        <v>10</v>
      </c>
      <c r="AU15" s="28" t="s">
        <v>11</v>
      </c>
      <c r="AV15" s="28" t="s">
        <v>11</v>
      </c>
      <c r="AW15" s="28" t="s">
        <v>11</v>
      </c>
      <c r="AX15" s="28" t="s">
        <v>11</v>
      </c>
      <c r="AY15" s="28" t="s">
        <v>11</v>
      </c>
      <c r="AZ15" s="28" t="s">
        <v>11</v>
      </c>
      <c r="BA15" s="28" t="s">
        <v>11</v>
      </c>
      <c r="BB15" s="28" t="s">
        <v>11</v>
      </c>
      <c r="BC15" s="28" t="s">
        <v>17</v>
      </c>
      <c r="BD15" s="28" t="s">
        <v>18</v>
      </c>
      <c r="BE15" s="28" t="s">
        <v>22</v>
      </c>
      <c r="BF15" s="28" t="s">
        <v>11</v>
      </c>
      <c r="BG15" s="28" t="s">
        <v>11</v>
      </c>
      <c r="BH15" s="28" t="s">
        <v>18</v>
      </c>
      <c r="BI15" s="28" t="s">
        <v>11</v>
      </c>
      <c r="BJ15" s="28" t="s">
        <v>11</v>
      </c>
      <c r="BK15" s="28" t="s">
        <v>10</v>
      </c>
      <c r="BL15" s="28" t="s">
        <v>22</v>
      </c>
      <c r="BM15" s="28" t="s">
        <v>22</v>
      </c>
      <c r="BN15" s="28" t="s">
        <v>11</v>
      </c>
      <c r="BO15" s="28" t="s">
        <v>11</v>
      </c>
      <c r="BP15" s="28" t="s">
        <v>11</v>
      </c>
      <c r="BQ15" s="28" t="s">
        <v>11</v>
      </c>
    </row>
    <row r="16" spans="1:69" x14ac:dyDescent="0.3">
      <c r="A16" s="2">
        <f t="shared" si="12"/>
        <v>97</v>
      </c>
      <c r="B16" s="12">
        <f t="shared" si="12"/>
        <v>14</v>
      </c>
      <c r="C16" s="26">
        <v>44658.666666608799</v>
      </c>
      <c r="D16" s="4">
        <v>24</v>
      </c>
      <c r="E16" s="4">
        <f t="shared" si="14"/>
        <v>312</v>
      </c>
      <c r="F16" s="5">
        <f t="shared" si="13"/>
        <v>13</v>
      </c>
      <c r="G16" s="1">
        <f t="shared" si="2"/>
        <v>0</v>
      </c>
      <c r="H16" s="1">
        <f t="shared" si="3"/>
        <v>0</v>
      </c>
      <c r="I16" s="1">
        <f t="shared" si="4"/>
        <v>0</v>
      </c>
      <c r="J16" s="1">
        <f t="shared" si="5"/>
        <v>1</v>
      </c>
      <c r="K16" s="1">
        <f t="shared" si="6"/>
        <v>36</v>
      </c>
      <c r="L16" s="1">
        <f t="shared" si="0"/>
        <v>0</v>
      </c>
      <c r="M16" s="1">
        <f t="shared" si="1"/>
        <v>0</v>
      </c>
      <c r="N16" s="33"/>
      <c r="O16" s="1">
        <f t="shared" si="7"/>
        <v>1</v>
      </c>
      <c r="P16" s="1">
        <f t="shared" si="8"/>
        <v>5</v>
      </c>
      <c r="Q16" s="1">
        <f t="shared" si="9"/>
        <v>7</v>
      </c>
      <c r="R16" s="1">
        <f t="shared" si="10"/>
        <v>0</v>
      </c>
      <c r="S16" s="1">
        <f t="shared" si="11"/>
        <v>0</v>
      </c>
      <c r="T16" s="28" t="s">
        <v>11</v>
      </c>
      <c r="U16" s="28" t="s">
        <v>11</v>
      </c>
      <c r="V16" s="28" t="s">
        <v>11</v>
      </c>
      <c r="W16" s="28" t="s">
        <v>11</v>
      </c>
      <c r="X16" s="28" t="s">
        <v>11</v>
      </c>
      <c r="Y16" s="28" t="s">
        <v>18</v>
      </c>
      <c r="Z16" s="28" t="s">
        <v>22</v>
      </c>
      <c r="AA16" s="28" t="s">
        <v>11</v>
      </c>
      <c r="AB16" s="28" t="s">
        <v>11</v>
      </c>
      <c r="AC16" s="28" t="s">
        <v>11</v>
      </c>
      <c r="AD16" s="28" t="s">
        <v>18</v>
      </c>
      <c r="AE16" s="28" t="s">
        <v>22</v>
      </c>
      <c r="AF16" s="28" t="s">
        <v>22</v>
      </c>
      <c r="AG16" s="28" t="s">
        <v>11</v>
      </c>
      <c r="AH16" s="28" t="s">
        <v>11</v>
      </c>
      <c r="AI16" s="28" t="s">
        <v>22</v>
      </c>
      <c r="AJ16" s="28" t="s">
        <v>11</v>
      </c>
      <c r="AK16" s="28" t="s">
        <v>11</v>
      </c>
      <c r="AL16" s="28" t="s">
        <v>11</v>
      </c>
      <c r="AM16" s="28" t="s">
        <v>11</v>
      </c>
      <c r="AN16" s="28" t="s">
        <v>11</v>
      </c>
      <c r="AO16" s="28" t="s">
        <v>11</v>
      </c>
      <c r="AP16" s="28" t="s">
        <v>11</v>
      </c>
      <c r="AQ16" s="28" t="s">
        <v>11</v>
      </c>
      <c r="AR16" s="28" t="s">
        <v>11</v>
      </c>
      <c r="AS16" s="28" t="s">
        <v>18</v>
      </c>
      <c r="AT16" s="28" t="s">
        <v>11</v>
      </c>
      <c r="AU16" s="28" t="s">
        <v>11</v>
      </c>
      <c r="AV16" s="28" t="s">
        <v>11</v>
      </c>
      <c r="AW16" s="28" t="s">
        <v>11</v>
      </c>
      <c r="AX16" s="28" t="s">
        <v>11</v>
      </c>
      <c r="AY16" s="28" t="s">
        <v>11</v>
      </c>
      <c r="AZ16" s="28" t="s">
        <v>11</v>
      </c>
      <c r="BA16" s="28" t="s">
        <v>11</v>
      </c>
      <c r="BB16" s="28" t="s">
        <v>11</v>
      </c>
      <c r="BC16" s="28" t="s">
        <v>17</v>
      </c>
      <c r="BD16" s="28" t="s">
        <v>18</v>
      </c>
      <c r="BE16" s="28" t="s">
        <v>22</v>
      </c>
      <c r="BF16" s="28" t="s">
        <v>11</v>
      </c>
      <c r="BG16" s="28" t="s">
        <v>11</v>
      </c>
      <c r="BH16" s="28" t="s">
        <v>18</v>
      </c>
      <c r="BI16" s="28" t="s">
        <v>11</v>
      </c>
      <c r="BJ16" s="28" t="s">
        <v>11</v>
      </c>
      <c r="BK16" s="28" t="s">
        <v>10</v>
      </c>
      <c r="BL16" s="28" t="s">
        <v>22</v>
      </c>
      <c r="BM16" s="28" t="s">
        <v>22</v>
      </c>
      <c r="BN16" s="28" t="s">
        <v>11</v>
      </c>
      <c r="BO16" s="28" t="s">
        <v>11</v>
      </c>
      <c r="BP16" s="28" t="s">
        <v>11</v>
      </c>
      <c r="BQ16" s="28" t="s">
        <v>11</v>
      </c>
    </row>
    <row r="17" spans="1:69" x14ac:dyDescent="0.3">
      <c r="A17" s="2">
        <f t="shared" si="12"/>
        <v>98</v>
      </c>
      <c r="B17" s="12">
        <f t="shared" si="12"/>
        <v>15</v>
      </c>
      <c r="C17" s="26">
        <v>44659.666666608799</v>
      </c>
      <c r="D17" s="4">
        <v>24</v>
      </c>
      <c r="E17" s="4">
        <f t="shared" si="14"/>
        <v>336</v>
      </c>
      <c r="F17" s="5">
        <f t="shared" si="13"/>
        <v>14</v>
      </c>
      <c r="G17" s="1">
        <f t="shared" si="2"/>
        <v>0</v>
      </c>
      <c r="H17" s="1">
        <f t="shared" si="3"/>
        <v>0</v>
      </c>
      <c r="I17" s="1">
        <f t="shared" si="4"/>
        <v>0</v>
      </c>
      <c r="J17" s="1">
        <f t="shared" si="5"/>
        <v>1</v>
      </c>
      <c r="K17" s="1">
        <f t="shared" si="6"/>
        <v>36</v>
      </c>
      <c r="L17" s="1">
        <f t="shared" si="0"/>
        <v>0</v>
      </c>
      <c r="M17" s="1">
        <f t="shared" si="1"/>
        <v>0</v>
      </c>
      <c r="N17" s="33"/>
      <c r="O17" s="1">
        <f t="shared" si="7"/>
        <v>1</v>
      </c>
      <c r="P17" s="1">
        <f t="shared" si="8"/>
        <v>5</v>
      </c>
      <c r="Q17" s="1">
        <f t="shared" si="9"/>
        <v>7</v>
      </c>
      <c r="R17" s="1">
        <f t="shared" si="10"/>
        <v>0</v>
      </c>
      <c r="S17" s="1">
        <f t="shared" si="11"/>
        <v>0</v>
      </c>
      <c r="T17" s="28" t="s">
        <v>11</v>
      </c>
      <c r="U17" s="28" t="s">
        <v>11</v>
      </c>
      <c r="V17" s="28" t="s">
        <v>11</v>
      </c>
      <c r="W17" s="28" t="s">
        <v>11</v>
      </c>
      <c r="X17" s="28" t="s">
        <v>11</v>
      </c>
      <c r="Y17" s="28" t="s">
        <v>18</v>
      </c>
      <c r="Z17" s="28" t="s">
        <v>22</v>
      </c>
      <c r="AA17" s="28" t="s">
        <v>11</v>
      </c>
      <c r="AB17" s="28" t="s">
        <v>11</v>
      </c>
      <c r="AC17" s="28" t="s">
        <v>11</v>
      </c>
      <c r="AD17" s="28" t="s">
        <v>18</v>
      </c>
      <c r="AE17" s="28" t="s">
        <v>22</v>
      </c>
      <c r="AF17" s="28" t="s">
        <v>22</v>
      </c>
      <c r="AG17" s="28" t="s">
        <v>11</v>
      </c>
      <c r="AH17" s="28" t="s">
        <v>11</v>
      </c>
      <c r="AI17" s="28" t="s">
        <v>22</v>
      </c>
      <c r="AJ17" s="28" t="s">
        <v>11</v>
      </c>
      <c r="AK17" s="28" t="s">
        <v>11</v>
      </c>
      <c r="AL17" s="28" t="s">
        <v>11</v>
      </c>
      <c r="AM17" s="28" t="s">
        <v>11</v>
      </c>
      <c r="AN17" s="28" t="s">
        <v>11</v>
      </c>
      <c r="AO17" s="28" t="s">
        <v>11</v>
      </c>
      <c r="AP17" s="28" t="s">
        <v>11</v>
      </c>
      <c r="AQ17" s="28" t="s">
        <v>11</v>
      </c>
      <c r="AR17" s="28" t="s">
        <v>11</v>
      </c>
      <c r="AS17" s="28" t="s">
        <v>18</v>
      </c>
      <c r="AT17" s="28" t="s">
        <v>11</v>
      </c>
      <c r="AU17" s="28" t="s">
        <v>11</v>
      </c>
      <c r="AV17" s="28" t="s">
        <v>11</v>
      </c>
      <c r="AW17" s="28" t="s">
        <v>11</v>
      </c>
      <c r="AX17" s="28" t="s">
        <v>11</v>
      </c>
      <c r="AY17" s="28" t="s">
        <v>11</v>
      </c>
      <c r="AZ17" s="28" t="s">
        <v>11</v>
      </c>
      <c r="BA17" s="28" t="s">
        <v>11</v>
      </c>
      <c r="BB17" s="28" t="s">
        <v>11</v>
      </c>
      <c r="BC17" s="28" t="s">
        <v>17</v>
      </c>
      <c r="BD17" s="28" t="s">
        <v>18</v>
      </c>
      <c r="BE17" s="28" t="s">
        <v>22</v>
      </c>
      <c r="BF17" s="28" t="s">
        <v>11</v>
      </c>
      <c r="BG17" s="28" t="s">
        <v>11</v>
      </c>
      <c r="BH17" s="28" t="s">
        <v>18</v>
      </c>
      <c r="BI17" s="28" t="s">
        <v>11</v>
      </c>
      <c r="BJ17" s="28" t="s">
        <v>11</v>
      </c>
      <c r="BK17" s="28" t="s">
        <v>10</v>
      </c>
      <c r="BL17" s="28" t="s">
        <v>22</v>
      </c>
      <c r="BM17" s="28" t="s">
        <v>22</v>
      </c>
      <c r="BN17" s="28" t="s">
        <v>11</v>
      </c>
      <c r="BO17" s="28" t="s">
        <v>11</v>
      </c>
      <c r="BP17" s="28" t="s">
        <v>11</v>
      </c>
      <c r="BQ17" s="28" t="s">
        <v>11</v>
      </c>
    </row>
    <row r="18" spans="1:69" x14ac:dyDescent="0.3">
      <c r="A18" s="2">
        <f t="shared" si="12"/>
        <v>99</v>
      </c>
      <c r="B18" s="12">
        <f t="shared" si="12"/>
        <v>16</v>
      </c>
      <c r="C18" s="26">
        <v>44660.666666608799</v>
      </c>
      <c r="D18" s="4">
        <v>24</v>
      </c>
      <c r="E18" s="4">
        <f t="shared" si="14"/>
        <v>360</v>
      </c>
      <c r="F18" s="5">
        <f t="shared" si="13"/>
        <v>15</v>
      </c>
      <c r="G18" s="1">
        <f t="shared" si="2"/>
        <v>0</v>
      </c>
      <c r="H18" s="1">
        <f t="shared" si="3"/>
        <v>0</v>
      </c>
      <c r="I18" s="1">
        <f t="shared" si="4"/>
        <v>0</v>
      </c>
      <c r="J18" s="1">
        <f t="shared" si="5"/>
        <v>1</v>
      </c>
      <c r="K18" s="1">
        <f t="shared" si="6"/>
        <v>36</v>
      </c>
      <c r="L18" s="1">
        <f t="shared" si="0"/>
        <v>0</v>
      </c>
      <c r="M18" s="1">
        <f t="shared" si="1"/>
        <v>0</v>
      </c>
      <c r="N18" s="33"/>
      <c r="O18" s="1">
        <f t="shared" si="7"/>
        <v>1</v>
      </c>
      <c r="P18" s="1">
        <f t="shared" si="8"/>
        <v>5</v>
      </c>
      <c r="Q18" s="1">
        <f t="shared" si="9"/>
        <v>7</v>
      </c>
      <c r="R18" s="1">
        <f t="shared" si="10"/>
        <v>0</v>
      </c>
      <c r="S18" s="1">
        <f t="shared" si="11"/>
        <v>0</v>
      </c>
      <c r="T18" s="28" t="s">
        <v>11</v>
      </c>
      <c r="U18" s="28" t="s">
        <v>11</v>
      </c>
      <c r="V18" s="28" t="s">
        <v>11</v>
      </c>
      <c r="W18" s="28" t="s">
        <v>11</v>
      </c>
      <c r="X18" s="28" t="s">
        <v>11</v>
      </c>
      <c r="Y18" s="28" t="s">
        <v>18</v>
      </c>
      <c r="Z18" s="28" t="s">
        <v>22</v>
      </c>
      <c r="AA18" s="28" t="s">
        <v>11</v>
      </c>
      <c r="AB18" s="28" t="s">
        <v>11</v>
      </c>
      <c r="AC18" s="28" t="s">
        <v>11</v>
      </c>
      <c r="AD18" s="28" t="s">
        <v>18</v>
      </c>
      <c r="AE18" s="28" t="s">
        <v>22</v>
      </c>
      <c r="AF18" s="28" t="s">
        <v>22</v>
      </c>
      <c r="AG18" s="28" t="s">
        <v>11</v>
      </c>
      <c r="AH18" s="28" t="s">
        <v>11</v>
      </c>
      <c r="AI18" s="28" t="s">
        <v>22</v>
      </c>
      <c r="AJ18" s="28" t="s">
        <v>11</v>
      </c>
      <c r="AK18" s="28" t="s">
        <v>11</v>
      </c>
      <c r="AL18" s="28" t="s">
        <v>11</v>
      </c>
      <c r="AM18" s="28" t="s">
        <v>11</v>
      </c>
      <c r="AN18" s="28" t="s">
        <v>11</v>
      </c>
      <c r="AO18" s="28" t="s">
        <v>11</v>
      </c>
      <c r="AP18" s="28" t="s">
        <v>11</v>
      </c>
      <c r="AQ18" s="28" t="s">
        <v>11</v>
      </c>
      <c r="AR18" s="28" t="s">
        <v>11</v>
      </c>
      <c r="AS18" s="28" t="s">
        <v>18</v>
      </c>
      <c r="AT18" s="28" t="s">
        <v>11</v>
      </c>
      <c r="AU18" s="28" t="s">
        <v>11</v>
      </c>
      <c r="AV18" s="28" t="s">
        <v>11</v>
      </c>
      <c r="AW18" s="28" t="s">
        <v>11</v>
      </c>
      <c r="AX18" s="28" t="s">
        <v>11</v>
      </c>
      <c r="AY18" s="28" t="s">
        <v>11</v>
      </c>
      <c r="AZ18" s="28" t="s">
        <v>11</v>
      </c>
      <c r="BA18" s="28" t="s">
        <v>11</v>
      </c>
      <c r="BB18" s="28" t="s">
        <v>11</v>
      </c>
      <c r="BC18" s="28" t="s">
        <v>17</v>
      </c>
      <c r="BD18" s="28" t="s">
        <v>18</v>
      </c>
      <c r="BE18" s="28" t="s">
        <v>22</v>
      </c>
      <c r="BF18" s="28" t="s">
        <v>11</v>
      </c>
      <c r="BG18" s="28" t="s">
        <v>11</v>
      </c>
      <c r="BH18" s="28" t="s">
        <v>18</v>
      </c>
      <c r="BI18" s="28" t="s">
        <v>11</v>
      </c>
      <c r="BJ18" s="28" t="s">
        <v>11</v>
      </c>
      <c r="BK18" s="28" t="s">
        <v>10</v>
      </c>
      <c r="BL18" s="28" t="s">
        <v>22</v>
      </c>
      <c r="BM18" s="28" t="s">
        <v>22</v>
      </c>
      <c r="BN18" s="28" t="s">
        <v>11</v>
      </c>
      <c r="BO18" s="28" t="s">
        <v>11</v>
      </c>
      <c r="BP18" s="28" t="s">
        <v>11</v>
      </c>
      <c r="BQ18" s="28" t="s">
        <v>11</v>
      </c>
    </row>
    <row r="19" spans="1:69" x14ac:dyDescent="0.3">
      <c r="A19" s="2">
        <f t="shared" si="12"/>
        <v>100</v>
      </c>
      <c r="B19" s="12">
        <f t="shared" si="12"/>
        <v>17</v>
      </c>
      <c r="C19" s="26">
        <v>44661.666666608799</v>
      </c>
      <c r="D19" s="4">
        <v>24</v>
      </c>
      <c r="E19" s="4">
        <f t="shared" si="14"/>
        <v>384</v>
      </c>
      <c r="F19" s="5">
        <f t="shared" si="13"/>
        <v>16</v>
      </c>
      <c r="G19" s="1">
        <f t="shared" si="2"/>
        <v>0</v>
      </c>
      <c r="H19" s="1">
        <f t="shared" si="3"/>
        <v>0</v>
      </c>
      <c r="I19" s="1">
        <f t="shared" si="4"/>
        <v>0</v>
      </c>
      <c r="J19" s="1">
        <f t="shared" si="5"/>
        <v>0</v>
      </c>
      <c r="K19" s="1">
        <f t="shared" si="6"/>
        <v>37</v>
      </c>
      <c r="L19" s="1">
        <f t="shared" si="0"/>
        <v>0</v>
      </c>
      <c r="M19" s="1">
        <f t="shared" si="1"/>
        <v>0</v>
      </c>
      <c r="N19" s="33"/>
      <c r="O19" s="1">
        <f t="shared" si="7"/>
        <v>1</v>
      </c>
      <c r="P19" s="1">
        <f t="shared" si="8"/>
        <v>5</v>
      </c>
      <c r="Q19" s="1">
        <f t="shared" si="9"/>
        <v>7</v>
      </c>
      <c r="R19" s="1">
        <f t="shared" si="10"/>
        <v>0</v>
      </c>
      <c r="S19" s="1">
        <f t="shared" si="11"/>
        <v>0</v>
      </c>
      <c r="T19" s="28" t="s">
        <v>11</v>
      </c>
      <c r="U19" s="28" t="s">
        <v>11</v>
      </c>
      <c r="V19" s="28" t="s">
        <v>11</v>
      </c>
      <c r="W19" s="28" t="s">
        <v>11</v>
      </c>
      <c r="X19" s="28" t="s">
        <v>11</v>
      </c>
      <c r="Y19" s="28" t="s">
        <v>18</v>
      </c>
      <c r="Z19" s="28" t="s">
        <v>22</v>
      </c>
      <c r="AA19" s="28" t="s">
        <v>11</v>
      </c>
      <c r="AB19" s="28" t="s">
        <v>11</v>
      </c>
      <c r="AC19" s="28" t="s">
        <v>11</v>
      </c>
      <c r="AD19" s="28" t="s">
        <v>18</v>
      </c>
      <c r="AE19" s="28" t="s">
        <v>22</v>
      </c>
      <c r="AF19" s="28" t="s">
        <v>22</v>
      </c>
      <c r="AG19" s="28" t="s">
        <v>11</v>
      </c>
      <c r="AH19" s="28" t="s">
        <v>11</v>
      </c>
      <c r="AI19" s="28" t="s">
        <v>22</v>
      </c>
      <c r="AJ19" s="28" t="s">
        <v>11</v>
      </c>
      <c r="AK19" s="28" t="s">
        <v>11</v>
      </c>
      <c r="AL19" s="28" t="s">
        <v>11</v>
      </c>
      <c r="AM19" s="28" t="s">
        <v>11</v>
      </c>
      <c r="AN19" s="28" t="s">
        <v>11</v>
      </c>
      <c r="AO19" s="28" t="s">
        <v>11</v>
      </c>
      <c r="AP19" s="28" t="s">
        <v>11</v>
      </c>
      <c r="AQ19" s="28" t="s">
        <v>11</v>
      </c>
      <c r="AR19" s="28" t="s">
        <v>11</v>
      </c>
      <c r="AS19" s="28" t="s">
        <v>18</v>
      </c>
      <c r="AT19" s="28" t="s">
        <v>11</v>
      </c>
      <c r="AU19" s="28" t="s">
        <v>11</v>
      </c>
      <c r="AV19" s="28" t="s">
        <v>11</v>
      </c>
      <c r="AW19" s="28" t="s">
        <v>11</v>
      </c>
      <c r="AX19" s="28" t="s">
        <v>11</v>
      </c>
      <c r="AY19" s="28" t="s">
        <v>11</v>
      </c>
      <c r="AZ19" s="28" t="s">
        <v>11</v>
      </c>
      <c r="BA19" s="28" t="s">
        <v>11</v>
      </c>
      <c r="BB19" s="28" t="s">
        <v>11</v>
      </c>
      <c r="BC19" s="28" t="s">
        <v>17</v>
      </c>
      <c r="BD19" s="28" t="s">
        <v>18</v>
      </c>
      <c r="BE19" s="28" t="s">
        <v>22</v>
      </c>
      <c r="BF19" s="28" t="s">
        <v>11</v>
      </c>
      <c r="BG19" s="28" t="s">
        <v>11</v>
      </c>
      <c r="BH19" s="28" t="s">
        <v>18</v>
      </c>
      <c r="BI19" s="28" t="s">
        <v>11</v>
      </c>
      <c r="BJ19" s="28" t="s">
        <v>11</v>
      </c>
      <c r="BK19" s="28" t="s">
        <v>11</v>
      </c>
      <c r="BL19" s="28" t="s">
        <v>22</v>
      </c>
      <c r="BM19" s="28" t="s">
        <v>22</v>
      </c>
      <c r="BN19" s="28" t="s">
        <v>11</v>
      </c>
      <c r="BO19" s="28" t="s">
        <v>11</v>
      </c>
      <c r="BP19" s="28" t="s">
        <v>11</v>
      </c>
      <c r="BQ19" s="28" t="s">
        <v>11</v>
      </c>
    </row>
    <row r="20" spans="1:69" x14ac:dyDescent="0.3">
      <c r="A20" s="2">
        <f t="shared" si="12"/>
        <v>101</v>
      </c>
      <c r="B20" s="12">
        <f t="shared" si="12"/>
        <v>18</v>
      </c>
      <c r="C20" s="26">
        <v>44662.666666608799</v>
      </c>
      <c r="D20" s="4">
        <v>24</v>
      </c>
      <c r="E20" s="4">
        <f t="shared" si="14"/>
        <v>408</v>
      </c>
      <c r="F20" s="5">
        <f t="shared" si="13"/>
        <v>17</v>
      </c>
      <c r="G20" s="1">
        <f t="shared" si="2"/>
        <v>0</v>
      </c>
      <c r="H20" s="1">
        <f t="shared" si="3"/>
        <v>0</v>
      </c>
      <c r="I20" s="1">
        <f t="shared" si="4"/>
        <v>0</v>
      </c>
      <c r="J20" s="1">
        <f t="shared" si="5"/>
        <v>0</v>
      </c>
      <c r="K20" s="1">
        <f t="shared" si="6"/>
        <v>37</v>
      </c>
      <c r="L20" s="1">
        <f t="shared" si="0"/>
        <v>0</v>
      </c>
      <c r="M20" s="1">
        <f t="shared" si="1"/>
        <v>0</v>
      </c>
      <c r="N20" s="33"/>
      <c r="O20" s="1">
        <f t="shared" si="7"/>
        <v>1</v>
      </c>
      <c r="P20" s="1">
        <f t="shared" si="8"/>
        <v>5</v>
      </c>
      <c r="Q20" s="1">
        <f t="shared" si="9"/>
        <v>7</v>
      </c>
      <c r="R20" s="1">
        <f t="shared" si="10"/>
        <v>0</v>
      </c>
      <c r="S20" s="1">
        <f t="shared" si="11"/>
        <v>0</v>
      </c>
      <c r="T20" s="28" t="s">
        <v>11</v>
      </c>
      <c r="U20" s="28" t="s">
        <v>11</v>
      </c>
      <c r="V20" s="28" t="s">
        <v>11</v>
      </c>
      <c r="W20" s="28" t="s">
        <v>11</v>
      </c>
      <c r="X20" s="28" t="s">
        <v>11</v>
      </c>
      <c r="Y20" s="28" t="s">
        <v>18</v>
      </c>
      <c r="Z20" s="28" t="s">
        <v>22</v>
      </c>
      <c r="AA20" s="28" t="s">
        <v>11</v>
      </c>
      <c r="AB20" s="28" t="s">
        <v>11</v>
      </c>
      <c r="AC20" s="28" t="s">
        <v>11</v>
      </c>
      <c r="AD20" s="28" t="s">
        <v>18</v>
      </c>
      <c r="AE20" s="28" t="s">
        <v>22</v>
      </c>
      <c r="AF20" s="28" t="s">
        <v>22</v>
      </c>
      <c r="AG20" s="28" t="s">
        <v>11</v>
      </c>
      <c r="AH20" s="28" t="s">
        <v>11</v>
      </c>
      <c r="AI20" s="28" t="s">
        <v>22</v>
      </c>
      <c r="AJ20" s="28" t="s">
        <v>11</v>
      </c>
      <c r="AK20" s="28" t="s">
        <v>11</v>
      </c>
      <c r="AL20" s="28" t="s">
        <v>11</v>
      </c>
      <c r="AM20" s="28" t="s">
        <v>11</v>
      </c>
      <c r="AN20" s="28" t="s">
        <v>11</v>
      </c>
      <c r="AO20" s="28" t="s">
        <v>11</v>
      </c>
      <c r="AP20" s="28" t="s">
        <v>11</v>
      </c>
      <c r="AQ20" s="28" t="s">
        <v>11</v>
      </c>
      <c r="AR20" s="28" t="s">
        <v>11</v>
      </c>
      <c r="AS20" s="28" t="s">
        <v>18</v>
      </c>
      <c r="AT20" s="28" t="s">
        <v>11</v>
      </c>
      <c r="AU20" s="28" t="s">
        <v>11</v>
      </c>
      <c r="AV20" s="28" t="s">
        <v>11</v>
      </c>
      <c r="AW20" s="28" t="s">
        <v>11</v>
      </c>
      <c r="AX20" s="28" t="s">
        <v>11</v>
      </c>
      <c r="AY20" s="28" t="s">
        <v>11</v>
      </c>
      <c r="AZ20" s="28" t="s">
        <v>11</v>
      </c>
      <c r="BA20" s="28" t="s">
        <v>11</v>
      </c>
      <c r="BB20" s="28" t="s">
        <v>11</v>
      </c>
      <c r="BC20" s="28" t="s">
        <v>17</v>
      </c>
      <c r="BD20" s="28" t="s">
        <v>18</v>
      </c>
      <c r="BE20" s="28" t="s">
        <v>22</v>
      </c>
      <c r="BF20" s="28" t="s">
        <v>11</v>
      </c>
      <c r="BG20" s="28" t="s">
        <v>11</v>
      </c>
      <c r="BH20" s="28" t="s">
        <v>18</v>
      </c>
      <c r="BI20" s="28" t="s">
        <v>11</v>
      </c>
      <c r="BJ20" s="28" t="s">
        <v>11</v>
      </c>
      <c r="BK20" s="28" t="s">
        <v>11</v>
      </c>
      <c r="BL20" s="28" t="s">
        <v>22</v>
      </c>
      <c r="BM20" s="28" t="s">
        <v>22</v>
      </c>
      <c r="BN20" s="28" t="s">
        <v>11</v>
      </c>
      <c r="BO20" s="28" t="s">
        <v>11</v>
      </c>
      <c r="BP20" s="28" t="s">
        <v>11</v>
      </c>
      <c r="BQ20" s="28" t="s">
        <v>11</v>
      </c>
    </row>
    <row r="21" spans="1:69" x14ac:dyDescent="0.3">
      <c r="A21" s="2">
        <f t="shared" ref="A21:B32" si="15">A20+1</f>
        <v>102</v>
      </c>
      <c r="B21" s="12">
        <f t="shared" si="15"/>
        <v>19</v>
      </c>
      <c r="C21" s="26">
        <v>44663.666666608799</v>
      </c>
      <c r="D21" s="4">
        <v>24</v>
      </c>
      <c r="E21" s="4">
        <f t="shared" si="14"/>
        <v>432</v>
      </c>
      <c r="F21" s="5">
        <f t="shared" si="13"/>
        <v>18</v>
      </c>
      <c r="G21" s="1">
        <f t="shared" si="2"/>
        <v>0</v>
      </c>
      <c r="H21" s="1">
        <f t="shared" si="3"/>
        <v>0</v>
      </c>
      <c r="I21" s="1">
        <f t="shared" si="4"/>
        <v>0</v>
      </c>
      <c r="J21" s="1">
        <f t="shared" si="5"/>
        <v>0</v>
      </c>
      <c r="K21" s="1">
        <f t="shared" si="6"/>
        <v>37</v>
      </c>
      <c r="L21" s="1">
        <f t="shared" si="0"/>
        <v>0</v>
      </c>
      <c r="M21" s="1">
        <f t="shared" si="1"/>
        <v>0</v>
      </c>
      <c r="N21" s="33"/>
      <c r="O21" s="1">
        <f t="shared" si="7"/>
        <v>1</v>
      </c>
      <c r="P21" s="1">
        <f t="shared" si="8"/>
        <v>5</v>
      </c>
      <c r="Q21" s="1">
        <f t="shared" si="9"/>
        <v>7</v>
      </c>
      <c r="R21" s="1">
        <f t="shared" si="10"/>
        <v>0</v>
      </c>
      <c r="S21" s="1">
        <f t="shared" si="11"/>
        <v>0</v>
      </c>
      <c r="T21" s="28" t="s">
        <v>11</v>
      </c>
      <c r="U21" s="28" t="s">
        <v>11</v>
      </c>
      <c r="V21" s="28" t="s">
        <v>11</v>
      </c>
      <c r="W21" s="28" t="s">
        <v>11</v>
      </c>
      <c r="X21" s="28" t="s">
        <v>11</v>
      </c>
      <c r="Y21" s="28" t="s">
        <v>18</v>
      </c>
      <c r="Z21" s="28" t="s">
        <v>22</v>
      </c>
      <c r="AA21" s="28" t="s">
        <v>11</v>
      </c>
      <c r="AB21" s="28" t="s">
        <v>11</v>
      </c>
      <c r="AC21" s="28" t="s">
        <v>11</v>
      </c>
      <c r="AD21" s="28" t="s">
        <v>18</v>
      </c>
      <c r="AE21" s="28" t="s">
        <v>22</v>
      </c>
      <c r="AF21" s="28" t="s">
        <v>22</v>
      </c>
      <c r="AG21" s="28" t="s">
        <v>11</v>
      </c>
      <c r="AH21" s="28" t="s">
        <v>11</v>
      </c>
      <c r="AI21" s="28" t="s">
        <v>22</v>
      </c>
      <c r="AJ21" s="28" t="s">
        <v>11</v>
      </c>
      <c r="AK21" s="28" t="s">
        <v>11</v>
      </c>
      <c r="AL21" s="28" t="s">
        <v>11</v>
      </c>
      <c r="AM21" s="28" t="s">
        <v>11</v>
      </c>
      <c r="AN21" s="28" t="s">
        <v>11</v>
      </c>
      <c r="AO21" s="28" t="s">
        <v>11</v>
      </c>
      <c r="AP21" s="28" t="s">
        <v>11</v>
      </c>
      <c r="AQ21" s="28" t="s">
        <v>11</v>
      </c>
      <c r="AR21" s="28" t="s">
        <v>11</v>
      </c>
      <c r="AS21" s="28" t="s">
        <v>18</v>
      </c>
      <c r="AT21" s="28" t="s">
        <v>11</v>
      </c>
      <c r="AU21" s="28" t="s">
        <v>11</v>
      </c>
      <c r="AV21" s="28" t="s">
        <v>11</v>
      </c>
      <c r="AW21" s="28" t="s">
        <v>11</v>
      </c>
      <c r="AX21" s="28" t="s">
        <v>11</v>
      </c>
      <c r="AY21" s="28" t="s">
        <v>11</v>
      </c>
      <c r="AZ21" s="28" t="s">
        <v>11</v>
      </c>
      <c r="BA21" s="28" t="s">
        <v>11</v>
      </c>
      <c r="BB21" s="28" t="s">
        <v>11</v>
      </c>
      <c r="BC21" s="28" t="s">
        <v>17</v>
      </c>
      <c r="BD21" s="28" t="s">
        <v>18</v>
      </c>
      <c r="BE21" s="28" t="s">
        <v>22</v>
      </c>
      <c r="BF21" s="28" t="s">
        <v>11</v>
      </c>
      <c r="BG21" s="28" t="s">
        <v>11</v>
      </c>
      <c r="BH21" s="28" t="s">
        <v>18</v>
      </c>
      <c r="BI21" s="28" t="s">
        <v>11</v>
      </c>
      <c r="BJ21" s="28" t="s">
        <v>11</v>
      </c>
      <c r="BK21" s="28" t="s">
        <v>11</v>
      </c>
      <c r="BL21" s="28" t="s">
        <v>22</v>
      </c>
      <c r="BM21" s="28" t="s">
        <v>22</v>
      </c>
      <c r="BN21" s="28" t="s">
        <v>11</v>
      </c>
      <c r="BO21" s="28" t="s">
        <v>11</v>
      </c>
      <c r="BP21" s="28" t="s">
        <v>11</v>
      </c>
      <c r="BQ21" s="28" t="s">
        <v>11</v>
      </c>
    </row>
    <row r="22" spans="1:69" x14ac:dyDescent="0.3">
      <c r="A22" s="2">
        <f t="shared" si="15"/>
        <v>103</v>
      </c>
      <c r="B22" s="12">
        <f t="shared" si="15"/>
        <v>20</v>
      </c>
      <c r="C22" s="26">
        <v>44664.666666608799</v>
      </c>
      <c r="D22" s="4">
        <v>24</v>
      </c>
      <c r="E22" s="4">
        <f t="shared" si="14"/>
        <v>456</v>
      </c>
      <c r="F22" s="5">
        <f t="shared" si="13"/>
        <v>19</v>
      </c>
      <c r="G22" s="1">
        <f t="shared" si="2"/>
        <v>0</v>
      </c>
      <c r="H22" s="1">
        <f t="shared" si="3"/>
        <v>0</v>
      </c>
      <c r="I22" s="1">
        <f t="shared" si="4"/>
        <v>0</v>
      </c>
      <c r="J22" s="1">
        <f t="shared" si="5"/>
        <v>0</v>
      </c>
      <c r="K22" s="1">
        <f t="shared" si="6"/>
        <v>37</v>
      </c>
      <c r="L22" s="1">
        <f t="shared" si="0"/>
        <v>0</v>
      </c>
      <c r="M22" s="1">
        <f t="shared" si="1"/>
        <v>0</v>
      </c>
      <c r="N22" s="33"/>
      <c r="O22" s="1">
        <f t="shared" si="7"/>
        <v>1</v>
      </c>
      <c r="P22" s="1">
        <f t="shared" si="8"/>
        <v>5</v>
      </c>
      <c r="Q22" s="1">
        <f t="shared" si="9"/>
        <v>7</v>
      </c>
      <c r="R22" s="1">
        <f t="shared" si="10"/>
        <v>0</v>
      </c>
      <c r="S22" s="1">
        <f t="shared" si="11"/>
        <v>0</v>
      </c>
      <c r="T22" s="28" t="s">
        <v>11</v>
      </c>
      <c r="U22" s="28" t="s">
        <v>11</v>
      </c>
      <c r="V22" s="28" t="s">
        <v>11</v>
      </c>
      <c r="W22" s="28" t="s">
        <v>11</v>
      </c>
      <c r="X22" s="28" t="s">
        <v>11</v>
      </c>
      <c r="Y22" s="28" t="s">
        <v>18</v>
      </c>
      <c r="Z22" s="28" t="s">
        <v>22</v>
      </c>
      <c r="AA22" s="28" t="s">
        <v>11</v>
      </c>
      <c r="AB22" s="28" t="s">
        <v>11</v>
      </c>
      <c r="AC22" s="28" t="s">
        <v>11</v>
      </c>
      <c r="AD22" s="28" t="s">
        <v>18</v>
      </c>
      <c r="AE22" s="28" t="s">
        <v>22</v>
      </c>
      <c r="AF22" s="28" t="s">
        <v>22</v>
      </c>
      <c r="AG22" s="28" t="s">
        <v>11</v>
      </c>
      <c r="AH22" s="28" t="s">
        <v>11</v>
      </c>
      <c r="AI22" s="28" t="s">
        <v>22</v>
      </c>
      <c r="AJ22" s="28" t="s">
        <v>11</v>
      </c>
      <c r="AK22" s="28" t="s">
        <v>11</v>
      </c>
      <c r="AL22" s="28" t="s">
        <v>11</v>
      </c>
      <c r="AM22" s="28" t="s">
        <v>11</v>
      </c>
      <c r="AN22" s="28" t="s">
        <v>11</v>
      </c>
      <c r="AO22" s="28" t="s">
        <v>11</v>
      </c>
      <c r="AP22" s="28" t="s">
        <v>11</v>
      </c>
      <c r="AQ22" s="28" t="s">
        <v>11</v>
      </c>
      <c r="AR22" s="28" t="s">
        <v>11</v>
      </c>
      <c r="AS22" s="28" t="s">
        <v>18</v>
      </c>
      <c r="AT22" s="28" t="s">
        <v>11</v>
      </c>
      <c r="AU22" s="28" t="s">
        <v>11</v>
      </c>
      <c r="AV22" s="28" t="s">
        <v>11</v>
      </c>
      <c r="AW22" s="28" t="s">
        <v>11</v>
      </c>
      <c r="AX22" s="28" t="s">
        <v>11</v>
      </c>
      <c r="AY22" s="28" t="s">
        <v>11</v>
      </c>
      <c r="AZ22" s="28" t="s">
        <v>11</v>
      </c>
      <c r="BA22" s="28" t="s">
        <v>11</v>
      </c>
      <c r="BB22" s="28" t="s">
        <v>11</v>
      </c>
      <c r="BC22" s="28" t="s">
        <v>17</v>
      </c>
      <c r="BD22" s="28" t="s">
        <v>18</v>
      </c>
      <c r="BE22" s="28" t="s">
        <v>22</v>
      </c>
      <c r="BF22" s="28" t="s">
        <v>11</v>
      </c>
      <c r="BG22" s="28" t="s">
        <v>11</v>
      </c>
      <c r="BH22" s="28" t="s">
        <v>18</v>
      </c>
      <c r="BI22" s="28" t="s">
        <v>11</v>
      </c>
      <c r="BJ22" s="28" t="s">
        <v>11</v>
      </c>
      <c r="BK22" s="28" t="s">
        <v>11</v>
      </c>
      <c r="BL22" s="28" t="s">
        <v>22</v>
      </c>
      <c r="BM22" s="28" t="s">
        <v>22</v>
      </c>
      <c r="BN22" s="28" t="s">
        <v>11</v>
      </c>
      <c r="BO22" s="28" t="s">
        <v>11</v>
      </c>
      <c r="BP22" s="28" t="s">
        <v>11</v>
      </c>
      <c r="BQ22" s="28" t="s">
        <v>11</v>
      </c>
    </row>
    <row r="23" spans="1:69" x14ac:dyDescent="0.3">
      <c r="A23" s="2">
        <f t="shared" si="15"/>
        <v>104</v>
      </c>
      <c r="B23" s="12">
        <f t="shared" si="15"/>
        <v>21</v>
      </c>
      <c r="C23" s="26">
        <v>44665.666666608799</v>
      </c>
      <c r="D23" s="4">
        <v>24</v>
      </c>
      <c r="E23" s="4">
        <f t="shared" si="14"/>
        <v>480</v>
      </c>
      <c r="F23" s="5">
        <f t="shared" si="13"/>
        <v>20</v>
      </c>
      <c r="G23" s="1">
        <f t="shared" si="2"/>
        <v>0</v>
      </c>
      <c r="H23" s="1">
        <f t="shared" si="3"/>
        <v>0</v>
      </c>
      <c r="I23" s="1">
        <f t="shared" si="4"/>
        <v>0</v>
      </c>
      <c r="J23" s="1">
        <f t="shared" si="5"/>
        <v>0</v>
      </c>
      <c r="K23" s="1">
        <f t="shared" si="6"/>
        <v>30</v>
      </c>
      <c r="L23" s="1">
        <f t="shared" si="0"/>
        <v>1</v>
      </c>
      <c r="M23" s="1">
        <f t="shared" si="1"/>
        <v>6</v>
      </c>
      <c r="N23" s="33"/>
      <c r="O23" s="1">
        <f t="shared" si="7"/>
        <v>1</v>
      </c>
      <c r="P23" s="1">
        <f t="shared" si="8"/>
        <v>5</v>
      </c>
      <c r="Q23" s="1">
        <f t="shared" si="9"/>
        <v>7</v>
      </c>
      <c r="R23" s="1">
        <f t="shared" si="10"/>
        <v>0</v>
      </c>
      <c r="S23" s="1">
        <f t="shared" si="11"/>
        <v>0</v>
      </c>
      <c r="T23" s="70" t="s">
        <v>14</v>
      </c>
      <c r="U23" s="70" t="s">
        <v>14</v>
      </c>
      <c r="V23" s="70" t="s">
        <v>14</v>
      </c>
      <c r="W23" s="70" t="s">
        <v>14</v>
      </c>
      <c r="X23" s="70" t="s">
        <v>14</v>
      </c>
      <c r="Y23" s="28" t="s">
        <v>18</v>
      </c>
      <c r="Z23" s="28" t="s">
        <v>22</v>
      </c>
      <c r="AA23" s="28" t="s">
        <v>11</v>
      </c>
      <c r="AB23" s="28" t="s">
        <v>11</v>
      </c>
      <c r="AC23" s="71" t="s">
        <v>13</v>
      </c>
      <c r="AD23" s="28" t="s">
        <v>18</v>
      </c>
      <c r="AE23" s="28" t="s">
        <v>22</v>
      </c>
      <c r="AF23" s="28" t="s">
        <v>22</v>
      </c>
      <c r="AG23" s="28" t="s">
        <v>11</v>
      </c>
      <c r="AH23" s="28" t="s">
        <v>11</v>
      </c>
      <c r="AI23" s="28" t="s">
        <v>22</v>
      </c>
      <c r="AJ23" s="28" t="s">
        <v>11</v>
      </c>
      <c r="AK23" s="28" t="s">
        <v>11</v>
      </c>
      <c r="AL23" s="28" t="s">
        <v>11</v>
      </c>
      <c r="AM23" s="28" t="s">
        <v>11</v>
      </c>
      <c r="AN23" s="28" t="s">
        <v>11</v>
      </c>
      <c r="AO23" s="77" t="s">
        <v>14</v>
      </c>
      <c r="AP23" s="28" t="s">
        <v>11</v>
      </c>
      <c r="AQ23" s="28" t="s">
        <v>11</v>
      </c>
      <c r="AR23" s="28" t="s">
        <v>11</v>
      </c>
      <c r="AS23" s="28" t="s">
        <v>18</v>
      </c>
      <c r="AT23" s="28" t="s">
        <v>11</v>
      </c>
      <c r="AU23" s="28" t="s">
        <v>11</v>
      </c>
      <c r="AV23" s="28" t="s">
        <v>11</v>
      </c>
      <c r="AW23" s="28" t="s">
        <v>11</v>
      </c>
      <c r="AX23" s="28" t="s">
        <v>11</v>
      </c>
      <c r="AY23" s="28" t="s">
        <v>11</v>
      </c>
      <c r="AZ23" s="28" t="s">
        <v>11</v>
      </c>
      <c r="BA23" s="28" t="s">
        <v>11</v>
      </c>
      <c r="BB23" s="28" t="s">
        <v>11</v>
      </c>
      <c r="BC23" s="28" t="s">
        <v>17</v>
      </c>
      <c r="BD23" s="28" t="s">
        <v>18</v>
      </c>
      <c r="BE23" s="28" t="s">
        <v>22</v>
      </c>
      <c r="BF23" s="28" t="s">
        <v>11</v>
      </c>
      <c r="BG23" s="28" t="s">
        <v>11</v>
      </c>
      <c r="BH23" s="28" t="s">
        <v>18</v>
      </c>
      <c r="BI23" s="28" t="s">
        <v>11</v>
      </c>
      <c r="BJ23" s="28" t="s">
        <v>11</v>
      </c>
      <c r="BK23" s="28" t="s">
        <v>11</v>
      </c>
      <c r="BL23" s="28" t="s">
        <v>22</v>
      </c>
      <c r="BM23" s="28" t="s">
        <v>22</v>
      </c>
      <c r="BN23" s="28" t="s">
        <v>11</v>
      </c>
      <c r="BO23" s="28" t="s">
        <v>11</v>
      </c>
      <c r="BP23" s="28" t="s">
        <v>11</v>
      </c>
      <c r="BQ23" s="28" t="s">
        <v>11</v>
      </c>
    </row>
    <row r="24" spans="1:69" x14ac:dyDescent="0.3">
      <c r="A24" s="2">
        <f t="shared" si="15"/>
        <v>105</v>
      </c>
      <c r="B24" s="12">
        <f t="shared" si="15"/>
        <v>22</v>
      </c>
      <c r="C24" s="26">
        <v>44666.666666608799</v>
      </c>
      <c r="D24" s="4">
        <v>24</v>
      </c>
      <c r="E24" s="4">
        <f t="shared" si="14"/>
        <v>504</v>
      </c>
      <c r="F24" s="5">
        <f t="shared" si="13"/>
        <v>21</v>
      </c>
      <c r="G24" s="1">
        <f t="shared" si="2"/>
        <v>0</v>
      </c>
      <c r="H24" s="1">
        <f t="shared" si="3"/>
        <v>0</v>
      </c>
      <c r="I24" s="1">
        <f t="shared" si="4"/>
        <v>0</v>
      </c>
      <c r="J24" s="1">
        <f t="shared" si="5"/>
        <v>0</v>
      </c>
      <c r="K24" s="1">
        <f t="shared" si="6"/>
        <v>27</v>
      </c>
      <c r="L24" s="1">
        <f t="shared" si="0"/>
        <v>1</v>
      </c>
      <c r="M24" s="1">
        <f t="shared" si="1"/>
        <v>9</v>
      </c>
      <c r="N24" s="33"/>
      <c r="O24" s="1">
        <f t="shared" si="7"/>
        <v>1</v>
      </c>
      <c r="P24" s="1">
        <f t="shared" si="8"/>
        <v>5</v>
      </c>
      <c r="Q24" s="1">
        <f t="shared" si="9"/>
        <v>7</v>
      </c>
      <c r="R24" s="1">
        <f t="shared" si="10"/>
        <v>0</v>
      </c>
      <c r="S24" s="1">
        <f t="shared" si="11"/>
        <v>0</v>
      </c>
      <c r="T24" s="70" t="s">
        <v>14</v>
      </c>
      <c r="U24" s="70" t="s">
        <v>14</v>
      </c>
      <c r="V24" s="70" t="s">
        <v>14</v>
      </c>
      <c r="W24" s="70" t="s">
        <v>14</v>
      </c>
      <c r="X24" s="70" t="s">
        <v>14</v>
      </c>
      <c r="Y24" s="28" t="s">
        <v>18</v>
      </c>
      <c r="Z24" s="28" t="s">
        <v>22</v>
      </c>
      <c r="AA24" s="28" t="s">
        <v>11</v>
      </c>
      <c r="AB24" s="75" t="s">
        <v>14</v>
      </c>
      <c r="AC24" s="71" t="s">
        <v>13</v>
      </c>
      <c r="AD24" s="28" t="s">
        <v>18</v>
      </c>
      <c r="AE24" s="28" t="s">
        <v>22</v>
      </c>
      <c r="AF24" s="28" t="s">
        <v>22</v>
      </c>
      <c r="AG24" s="28" t="s">
        <v>11</v>
      </c>
      <c r="AH24" s="28" t="s">
        <v>11</v>
      </c>
      <c r="AI24" s="28" t="s">
        <v>22</v>
      </c>
      <c r="AJ24" s="28" t="s">
        <v>11</v>
      </c>
      <c r="AK24" s="28" t="s">
        <v>11</v>
      </c>
      <c r="AL24" s="28" t="s">
        <v>11</v>
      </c>
      <c r="AM24" s="28" t="s">
        <v>11</v>
      </c>
      <c r="AN24" s="28" t="s">
        <v>11</v>
      </c>
      <c r="AO24" s="70" t="s">
        <v>14</v>
      </c>
      <c r="AP24" s="28" t="s">
        <v>11</v>
      </c>
      <c r="AQ24" s="28" t="s">
        <v>11</v>
      </c>
      <c r="AR24" s="28" t="s">
        <v>11</v>
      </c>
      <c r="AS24" s="28" t="s">
        <v>18</v>
      </c>
      <c r="AT24" s="28" t="s">
        <v>11</v>
      </c>
      <c r="AU24" s="28" t="s">
        <v>11</v>
      </c>
      <c r="AV24" s="28" t="s">
        <v>11</v>
      </c>
      <c r="AW24" s="70" t="s">
        <v>14</v>
      </c>
      <c r="AX24" s="28" t="s">
        <v>11</v>
      </c>
      <c r="AY24" s="28" t="s">
        <v>11</v>
      </c>
      <c r="AZ24" s="28" t="s">
        <v>11</v>
      </c>
      <c r="BA24" s="28" t="s">
        <v>11</v>
      </c>
      <c r="BB24" s="70" t="s">
        <v>14</v>
      </c>
      <c r="BC24" s="28" t="s">
        <v>17</v>
      </c>
      <c r="BD24" s="28" t="s">
        <v>18</v>
      </c>
      <c r="BE24" s="28" t="s">
        <v>22</v>
      </c>
      <c r="BF24" s="28" t="s">
        <v>11</v>
      </c>
      <c r="BG24" s="28" t="s">
        <v>11</v>
      </c>
      <c r="BH24" s="28" t="s">
        <v>18</v>
      </c>
      <c r="BI24" s="28" t="s">
        <v>11</v>
      </c>
      <c r="BJ24" s="28" t="s">
        <v>11</v>
      </c>
      <c r="BK24" s="28" t="s">
        <v>11</v>
      </c>
      <c r="BL24" s="28" t="s">
        <v>22</v>
      </c>
      <c r="BM24" s="28" t="s">
        <v>22</v>
      </c>
      <c r="BN24" s="28" t="s">
        <v>11</v>
      </c>
      <c r="BO24" s="28" t="s">
        <v>11</v>
      </c>
      <c r="BP24" s="28" t="s">
        <v>11</v>
      </c>
      <c r="BQ24" s="28" t="s">
        <v>11</v>
      </c>
    </row>
    <row r="25" spans="1:69" x14ac:dyDescent="0.3">
      <c r="A25" s="2">
        <f t="shared" si="15"/>
        <v>106</v>
      </c>
      <c r="B25" s="12">
        <f t="shared" si="15"/>
        <v>23</v>
      </c>
      <c r="C25" s="26">
        <v>44667.666666608799</v>
      </c>
      <c r="D25" s="4">
        <v>24</v>
      </c>
      <c r="E25" s="4">
        <f t="shared" si="14"/>
        <v>528</v>
      </c>
      <c r="F25" s="5">
        <f t="shared" si="13"/>
        <v>22</v>
      </c>
      <c r="G25" s="1">
        <f t="shared" si="2"/>
        <v>0</v>
      </c>
      <c r="H25" s="1">
        <f t="shared" si="3"/>
        <v>0</v>
      </c>
      <c r="I25" s="1">
        <f t="shared" si="4"/>
        <v>0</v>
      </c>
      <c r="J25" s="1">
        <f t="shared" si="5"/>
        <v>0</v>
      </c>
      <c r="K25" s="1">
        <f t="shared" si="6"/>
        <v>19</v>
      </c>
      <c r="L25" s="1">
        <f t="shared" si="0"/>
        <v>5</v>
      </c>
      <c r="M25" s="1">
        <f t="shared" si="1"/>
        <v>12</v>
      </c>
      <c r="N25" s="33"/>
      <c r="O25" s="1">
        <f t="shared" si="7"/>
        <v>1</v>
      </c>
      <c r="P25" s="1">
        <f t="shared" si="8"/>
        <v>5</v>
      </c>
      <c r="Q25" s="1">
        <f t="shared" si="9"/>
        <v>7</v>
      </c>
      <c r="R25" s="1">
        <f t="shared" si="10"/>
        <v>0</v>
      </c>
      <c r="S25" s="1">
        <f t="shared" si="11"/>
        <v>0</v>
      </c>
      <c r="T25" s="70" t="s">
        <v>14</v>
      </c>
      <c r="U25" s="70" t="s">
        <v>14</v>
      </c>
      <c r="V25" s="70" t="s">
        <v>14</v>
      </c>
      <c r="W25" s="70" t="s">
        <v>14</v>
      </c>
      <c r="X25" s="70" t="s">
        <v>14</v>
      </c>
      <c r="Y25" s="28" t="s">
        <v>18</v>
      </c>
      <c r="Z25" s="28" t="s">
        <v>22</v>
      </c>
      <c r="AA25" s="28" t="s">
        <v>11</v>
      </c>
      <c r="AB25" s="70" t="s">
        <v>14</v>
      </c>
      <c r="AC25" s="71" t="s">
        <v>13</v>
      </c>
      <c r="AD25" s="28" t="s">
        <v>18</v>
      </c>
      <c r="AE25" s="28" t="s">
        <v>22</v>
      </c>
      <c r="AF25" s="28" t="s">
        <v>22</v>
      </c>
      <c r="AG25" s="28" t="s">
        <v>11</v>
      </c>
      <c r="AH25" s="28" t="s">
        <v>11</v>
      </c>
      <c r="AI25" s="28" t="s">
        <v>22</v>
      </c>
      <c r="AJ25" s="28" t="s">
        <v>11</v>
      </c>
      <c r="AK25" s="76" t="s">
        <v>13</v>
      </c>
      <c r="AL25" s="28" t="s">
        <v>11</v>
      </c>
      <c r="AM25" s="28" t="s">
        <v>26</v>
      </c>
      <c r="AN25" s="28" t="s">
        <v>11</v>
      </c>
      <c r="AO25" s="70" t="s">
        <v>14</v>
      </c>
      <c r="AP25" s="78" t="s">
        <v>13</v>
      </c>
      <c r="AQ25" s="28" t="s">
        <v>11</v>
      </c>
      <c r="AR25" s="28" t="s">
        <v>11</v>
      </c>
      <c r="AS25" s="28" t="s">
        <v>18</v>
      </c>
      <c r="AT25" s="28" t="s">
        <v>11</v>
      </c>
      <c r="AU25" s="28" t="s">
        <v>11</v>
      </c>
      <c r="AV25" s="71" t="s">
        <v>13</v>
      </c>
      <c r="AW25" s="70" t="s">
        <v>14</v>
      </c>
      <c r="AX25" s="28" t="s">
        <v>11</v>
      </c>
      <c r="AY25" s="28" t="s">
        <v>11</v>
      </c>
      <c r="AZ25" s="28" t="s">
        <v>11</v>
      </c>
      <c r="BA25" s="70" t="s">
        <v>14</v>
      </c>
      <c r="BB25" s="70" t="s">
        <v>14</v>
      </c>
      <c r="BC25" s="28" t="s">
        <v>17</v>
      </c>
      <c r="BD25" s="28" t="s">
        <v>18</v>
      </c>
      <c r="BE25" s="28" t="s">
        <v>22</v>
      </c>
      <c r="BF25" s="71" t="s">
        <v>13</v>
      </c>
      <c r="BG25" s="70" t="s">
        <v>14</v>
      </c>
      <c r="BH25" s="28" t="s">
        <v>18</v>
      </c>
      <c r="BI25" s="28" t="s">
        <v>11</v>
      </c>
      <c r="BJ25" s="28" t="s">
        <v>11</v>
      </c>
      <c r="BK25" s="28" t="s">
        <v>11</v>
      </c>
      <c r="BL25" s="28" t="s">
        <v>22</v>
      </c>
      <c r="BM25" s="28" t="s">
        <v>22</v>
      </c>
      <c r="BN25" s="28" t="s">
        <v>11</v>
      </c>
      <c r="BO25" s="70" t="s">
        <v>14</v>
      </c>
      <c r="BP25" s="28" t="s">
        <v>11</v>
      </c>
      <c r="BQ25" s="28" t="s">
        <v>11</v>
      </c>
    </row>
    <row r="26" spans="1:69" x14ac:dyDescent="0.3">
      <c r="A26" s="2">
        <f t="shared" si="15"/>
        <v>107</v>
      </c>
      <c r="B26" s="12">
        <f t="shared" si="15"/>
        <v>24</v>
      </c>
      <c r="C26" s="26">
        <v>44668.666666608799</v>
      </c>
      <c r="D26" s="4">
        <v>24</v>
      </c>
      <c r="E26" s="4">
        <f t="shared" si="14"/>
        <v>552</v>
      </c>
      <c r="F26" s="5">
        <f t="shared" si="13"/>
        <v>23</v>
      </c>
      <c r="G26" s="1">
        <f t="shared" si="2"/>
        <v>0</v>
      </c>
      <c r="H26" s="1">
        <f t="shared" si="3"/>
        <v>0</v>
      </c>
      <c r="I26" s="1">
        <f t="shared" si="4"/>
        <v>0</v>
      </c>
      <c r="J26" s="1">
        <f t="shared" si="5"/>
        <v>0</v>
      </c>
      <c r="K26" s="1">
        <f t="shared" si="6"/>
        <v>15</v>
      </c>
      <c r="L26" s="1">
        <f t="shared" si="0"/>
        <v>6</v>
      </c>
      <c r="M26" s="1">
        <f t="shared" si="1"/>
        <v>16</v>
      </c>
      <c r="N26" s="33"/>
      <c r="O26" s="1">
        <f t="shared" si="7"/>
        <v>1</v>
      </c>
      <c r="P26" s="1">
        <f t="shared" si="8"/>
        <v>5</v>
      </c>
      <c r="Q26" s="1">
        <f t="shared" si="9"/>
        <v>7</v>
      </c>
      <c r="R26" s="1">
        <f t="shared" si="10"/>
        <v>0</v>
      </c>
      <c r="S26" s="1">
        <f t="shared" si="11"/>
        <v>0</v>
      </c>
      <c r="T26" s="70" t="s">
        <v>14</v>
      </c>
      <c r="U26" s="70" t="s">
        <v>14</v>
      </c>
      <c r="V26" s="70" t="s">
        <v>14</v>
      </c>
      <c r="W26" s="70" t="s">
        <v>14</v>
      </c>
      <c r="X26" s="70" t="s">
        <v>14</v>
      </c>
      <c r="Y26" s="28" t="s">
        <v>18</v>
      </c>
      <c r="Z26" s="28" t="s">
        <v>22</v>
      </c>
      <c r="AA26" s="28" t="s">
        <v>11</v>
      </c>
      <c r="AB26" s="70" t="s">
        <v>14</v>
      </c>
      <c r="AC26" s="71" t="s">
        <v>13</v>
      </c>
      <c r="AD26" s="28" t="s">
        <v>18</v>
      </c>
      <c r="AE26" s="28" t="s">
        <v>22</v>
      </c>
      <c r="AF26" s="28" t="s">
        <v>22</v>
      </c>
      <c r="AG26" s="28" t="s">
        <v>11</v>
      </c>
      <c r="AH26" s="28" t="s">
        <v>11</v>
      </c>
      <c r="AI26" s="28" t="s">
        <v>22</v>
      </c>
      <c r="AJ26" s="28" t="s">
        <v>11</v>
      </c>
      <c r="AK26" s="71" t="s">
        <v>13</v>
      </c>
      <c r="AL26" s="28" t="s">
        <v>11</v>
      </c>
      <c r="AM26" s="70" t="s">
        <v>14</v>
      </c>
      <c r="AN26" s="71" t="s">
        <v>13</v>
      </c>
      <c r="AO26" s="70" t="s">
        <v>14</v>
      </c>
      <c r="AP26" s="71" t="s">
        <v>13</v>
      </c>
      <c r="AQ26" s="28" t="s">
        <v>11</v>
      </c>
      <c r="AR26" s="70" t="s">
        <v>14</v>
      </c>
      <c r="AS26" s="28" t="s">
        <v>18</v>
      </c>
      <c r="AT26" s="70" t="s">
        <v>14</v>
      </c>
      <c r="AU26" s="70" t="s">
        <v>14</v>
      </c>
      <c r="AV26" s="71" t="s">
        <v>13</v>
      </c>
      <c r="AW26" s="70" t="s">
        <v>14</v>
      </c>
      <c r="AX26" s="28" t="s">
        <v>11</v>
      </c>
      <c r="AY26" s="28" t="s">
        <v>11</v>
      </c>
      <c r="AZ26" s="28" t="s">
        <v>11</v>
      </c>
      <c r="BA26" s="70" t="s">
        <v>14</v>
      </c>
      <c r="BB26" s="70" t="s">
        <v>14</v>
      </c>
      <c r="BC26" s="28" t="s">
        <v>17</v>
      </c>
      <c r="BD26" s="28" t="s">
        <v>18</v>
      </c>
      <c r="BE26" s="28" t="s">
        <v>22</v>
      </c>
      <c r="BF26" s="71" t="s">
        <v>13</v>
      </c>
      <c r="BG26" s="70" t="s">
        <v>14</v>
      </c>
      <c r="BH26" s="28" t="s">
        <v>18</v>
      </c>
      <c r="BI26" s="28" t="s">
        <v>11</v>
      </c>
      <c r="BJ26" s="28" t="s">
        <v>11</v>
      </c>
      <c r="BK26" s="28" t="s">
        <v>11</v>
      </c>
      <c r="BL26" s="28" t="s">
        <v>22</v>
      </c>
      <c r="BM26" s="28" t="s">
        <v>22</v>
      </c>
      <c r="BN26" s="28" t="s">
        <v>11</v>
      </c>
      <c r="BO26" s="70" t="s">
        <v>14</v>
      </c>
      <c r="BP26" s="28" t="s">
        <v>11</v>
      </c>
      <c r="BQ26" s="28" t="s">
        <v>11</v>
      </c>
    </row>
    <row r="27" spans="1:69" x14ac:dyDescent="0.3">
      <c r="A27" s="2">
        <f t="shared" si="15"/>
        <v>108</v>
      </c>
      <c r="B27" s="12">
        <f t="shared" si="15"/>
        <v>25</v>
      </c>
      <c r="C27" s="26">
        <v>44669.666666608799</v>
      </c>
      <c r="D27" s="4">
        <v>24</v>
      </c>
      <c r="E27" s="4">
        <f t="shared" si="14"/>
        <v>576</v>
      </c>
      <c r="F27" s="5">
        <f t="shared" si="13"/>
        <v>24</v>
      </c>
      <c r="G27" s="1">
        <f t="shared" si="2"/>
        <v>0</v>
      </c>
      <c r="H27" s="1">
        <f t="shared" si="3"/>
        <v>0</v>
      </c>
      <c r="I27" s="1">
        <f t="shared" si="4"/>
        <v>0</v>
      </c>
      <c r="J27" s="1">
        <f t="shared" si="5"/>
        <v>0</v>
      </c>
      <c r="K27" s="1">
        <f t="shared" si="6"/>
        <v>11</v>
      </c>
      <c r="L27" s="1">
        <f t="shared" si="0"/>
        <v>8</v>
      </c>
      <c r="M27" s="1">
        <f t="shared" si="1"/>
        <v>18</v>
      </c>
      <c r="N27" s="33"/>
      <c r="O27" s="1">
        <f t="shared" si="7"/>
        <v>1</v>
      </c>
      <c r="P27" s="1">
        <f t="shared" si="8"/>
        <v>5</v>
      </c>
      <c r="Q27" s="1">
        <f t="shared" si="9"/>
        <v>7</v>
      </c>
      <c r="R27" s="1">
        <f t="shared" si="10"/>
        <v>0</v>
      </c>
      <c r="S27" s="1">
        <f t="shared" si="11"/>
        <v>0</v>
      </c>
      <c r="T27" s="70" t="s">
        <v>14</v>
      </c>
      <c r="U27" s="70" t="s">
        <v>14</v>
      </c>
      <c r="V27" s="70" t="s">
        <v>14</v>
      </c>
      <c r="W27" s="70" t="s">
        <v>14</v>
      </c>
      <c r="X27" s="70" t="s">
        <v>14</v>
      </c>
      <c r="Y27" s="28" t="s">
        <v>18</v>
      </c>
      <c r="Z27" s="28" t="s">
        <v>22</v>
      </c>
      <c r="AA27" s="71" t="s">
        <v>13</v>
      </c>
      <c r="AB27" s="70" t="s">
        <v>14</v>
      </c>
      <c r="AC27" s="71" t="s">
        <v>13</v>
      </c>
      <c r="AD27" s="28" t="s">
        <v>18</v>
      </c>
      <c r="AE27" s="28" t="s">
        <v>22</v>
      </c>
      <c r="AF27" s="28" t="s">
        <v>22</v>
      </c>
      <c r="AG27" s="70" t="s">
        <v>14</v>
      </c>
      <c r="AH27" s="71" t="s">
        <v>13</v>
      </c>
      <c r="AI27" s="28" t="s">
        <v>22</v>
      </c>
      <c r="AJ27" s="28" t="s">
        <v>11</v>
      </c>
      <c r="AK27" s="71" t="s">
        <v>13</v>
      </c>
      <c r="AL27" s="28" t="s">
        <v>11</v>
      </c>
      <c r="AM27" s="70" t="s">
        <v>14</v>
      </c>
      <c r="AN27" s="71" t="s">
        <v>13</v>
      </c>
      <c r="AO27" s="70" t="s">
        <v>14</v>
      </c>
      <c r="AP27" s="71" t="s">
        <v>13</v>
      </c>
      <c r="AQ27" s="28" t="s">
        <v>11</v>
      </c>
      <c r="AR27" s="70" t="s">
        <v>14</v>
      </c>
      <c r="AS27" s="28" t="s">
        <v>18</v>
      </c>
      <c r="AT27" s="70" t="s">
        <v>14</v>
      </c>
      <c r="AU27" s="70" t="s">
        <v>14</v>
      </c>
      <c r="AV27" s="71" t="s">
        <v>13</v>
      </c>
      <c r="AW27" s="70" t="s">
        <v>14</v>
      </c>
      <c r="AX27" s="28" t="s">
        <v>11</v>
      </c>
      <c r="AY27" s="28" t="s">
        <v>11</v>
      </c>
      <c r="AZ27" s="28" t="s">
        <v>11</v>
      </c>
      <c r="BA27" s="70" t="s">
        <v>14</v>
      </c>
      <c r="BB27" s="70" t="s">
        <v>14</v>
      </c>
      <c r="BC27" s="28" t="s">
        <v>17</v>
      </c>
      <c r="BD27" s="28" t="s">
        <v>18</v>
      </c>
      <c r="BE27" s="28" t="s">
        <v>22</v>
      </c>
      <c r="BF27" s="71" t="s">
        <v>13</v>
      </c>
      <c r="BG27" s="70" t="s">
        <v>14</v>
      </c>
      <c r="BH27" s="28" t="s">
        <v>18</v>
      </c>
      <c r="BI27" s="70" t="s">
        <v>14</v>
      </c>
      <c r="BJ27" s="28" t="s">
        <v>11</v>
      </c>
      <c r="BK27" s="28" t="s">
        <v>11</v>
      </c>
      <c r="BL27" s="28" t="s">
        <v>22</v>
      </c>
      <c r="BM27" s="28" t="s">
        <v>22</v>
      </c>
      <c r="BN27" s="28" t="s">
        <v>11</v>
      </c>
      <c r="BO27" s="70" t="s">
        <v>14</v>
      </c>
      <c r="BP27" s="28" t="s">
        <v>11</v>
      </c>
      <c r="BQ27" s="28" t="s">
        <v>11</v>
      </c>
    </row>
    <row r="28" spans="1:69" x14ac:dyDescent="0.3">
      <c r="A28" s="2">
        <f t="shared" si="15"/>
        <v>109</v>
      </c>
      <c r="B28" s="12">
        <f t="shared" si="15"/>
        <v>26</v>
      </c>
      <c r="C28" s="26">
        <v>44670.666666608799</v>
      </c>
      <c r="D28" s="4">
        <v>24</v>
      </c>
      <c r="E28" s="4">
        <f t="shared" si="14"/>
        <v>600</v>
      </c>
      <c r="F28" s="5">
        <f t="shared" si="13"/>
        <v>25</v>
      </c>
      <c r="G28" s="1">
        <f t="shared" si="2"/>
        <v>0</v>
      </c>
      <c r="H28" s="1">
        <f t="shared" si="3"/>
        <v>0</v>
      </c>
      <c r="I28" s="1">
        <f t="shared" si="4"/>
        <v>0</v>
      </c>
      <c r="J28" s="1">
        <f t="shared" si="5"/>
        <v>0</v>
      </c>
      <c r="K28" s="1">
        <f t="shared" si="6"/>
        <v>8</v>
      </c>
      <c r="L28" s="1">
        <f t="shared" si="0"/>
        <v>9</v>
      </c>
      <c r="M28" s="1">
        <f t="shared" si="1"/>
        <v>20</v>
      </c>
      <c r="N28" s="33"/>
      <c r="O28" s="1">
        <f t="shared" si="7"/>
        <v>1</v>
      </c>
      <c r="P28" s="1">
        <f t="shared" si="8"/>
        <v>5</v>
      </c>
      <c r="Q28" s="1">
        <f t="shared" si="9"/>
        <v>7</v>
      </c>
      <c r="R28" s="1">
        <f t="shared" si="10"/>
        <v>0</v>
      </c>
      <c r="S28" s="1">
        <f t="shared" si="11"/>
        <v>0</v>
      </c>
      <c r="T28" s="70" t="s">
        <v>14</v>
      </c>
      <c r="U28" s="70" t="s">
        <v>14</v>
      </c>
      <c r="V28" s="70" t="s">
        <v>14</v>
      </c>
      <c r="W28" s="70" t="s">
        <v>14</v>
      </c>
      <c r="X28" s="70" t="s">
        <v>14</v>
      </c>
      <c r="Y28" s="28" t="s">
        <v>18</v>
      </c>
      <c r="Z28" s="28" t="s">
        <v>22</v>
      </c>
      <c r="AA28" s="71" t="s">
        <v>13</v>
      </c>
      <c r="AB28" s="70" t="s">
        <v>14</v>
      </c>
      <c r="AC28" s="71" t="s">
        <v>13</v>
      </c>
      <c r="AD28" s="28" t="s">
        <v>18</v>
      </c>
      <c r="AE28" s="28" t="s">
        <v>22</v>
      </c>
      <c r="AF28" s="28" t="s">
        <v>22</v>
      </c>
      <c r="AG28" s="70" t="s">
        <v>14</v>
      </c>
      <c r="AH28" s="71" t="s">
        <v>13</v>
      </c>
      <c r="AI28" s="28" t="s">
        <v>22</v>
      </c>
      <c r="AJ28" s="79" t="s">
        <v>14</v>
      </c>
      <c r="AK28" s="71" t="s">
        <v>13</v>
      </c>
      <c r="AL28" s="28" t="s">
        <v>11</v>
      </c>
      <c r="AM28" s="70" t="s">
        <v>14</v>
      </c>
      <c r="AN28" s="71" t="s">
        <v>13</v>
      </c>
      <c r="AO28" s="70" t="s">
        <v>14</v>
      </c>
      <c r="AP28" s="71" t="s">
        <v>13</v>
      </c>
      <c r="AQ28" s="28" t="s">
        <v>11</v>
      </c>
      <c r="AR28" s="70" t="s">
        <v>14</v>
      </c>
      <c r="AS28" s="28" t="s">
        <v>18</v>
      </c>
      <c r="AT28" s="70" t="s">
        <v>14</v>
      </c>
      <c r="AU28" s="70" t="s">
        <v>14</v>
      </c>
      <c r="AV28" s="71" t="s">
        <v>13</v>
      </c>
      <c r="AW28" s="70" t="s">
        <v>14</v>
      </c>
      <c r="AX28" s="28" t="s">
        <v>11</v>
      </c>
      <c r="AY28" s="28" t="s">
        <v>11</v>
      </c>
      <c r="AZ28" s="28" t="s">
        <v>11</v>
      </c>
      <c r="BA28" s="70" t="s">
        <v>14</v>
      </c>
      <c r="BB28" s="70" t="s">
        <v>14</v>
      </c>
      <c r="BC28" s="28" t="s">
        <v>17</v>
      </c>
      <c r="BD28" s="28" t="s">
        <v>18</v>
      </c>
      <c r="BE28" s="28" t="s">
        <v>22</v>
      </c>
      <c r="BF28" s="71" t="s">
        <v>13</v>
      </c>
      <c r="BG28" s="70" t="s">
        <v>14</v>
      </c>
      <c r="BH28" s="28" t="s">
        <v>18</v>
      </c>
      <c r="BI28" s="70" t="s">
        <v>14</v>
      </c>
      <c r="BJ28" s="70" t="s">
        <v>14</v>
      </c>
      <c r="BK28" s="71" t="s">
        <v>13</v>
      </c>
      <c r="BL28" s="28" t="s">
        <v>22</v>
      </c>
      <c r="BM28" s="28" t="s">
        <v>22</v>
      </c>
      <c r="BN28" s="28" t="s">
        <v>11</v>
      </c>
      <c r="BO28" s="70" t="s">
        <v>14</v>
      </c>
      <c r="BP28" s="28" t="s">
        <v>11</v>
      </c>
      <c r="BQ28" s="28" t="s">
        <v>11</v>
      </c>
    </row>
    <row r="29" spans="1:69" x14ac:dyDescent="0.3">
      <c r="A29" s="2">
        <f t="shared" si="15"/>
        <v>110</v>
      </c>
      <c r="B29" s="12">
        <f t="shared" si="15"/>
        <v>27</v>
      </c>
      <c r="C29" s="26">
        <v>44671.666666608799</v>
      </c>
      <c r="D29" s="4">
        <v>24</v>
      </c>
      <c r="E29" s="4">
        <f t="shared" si="14"/>
        <v>624</v>
      </c>
      <c r="F29" s="5">
        <f t="shared" si="13"/>
        <v>26</v>
      </c>
      <c r="G29" s="1">
        <f t="shared" si="2"/>
        <v>0</v>
      </c>
      <c r="H29" s="1">
        <f t="shared" si="3"/>
        <v>0</v>
      </c>
      <c r="I29" s="1">
        <f t="shared" si="4"/>
        <v>0</v>
      </c>
      <c r="J29" s="1">
        <f t="shared" si="5"/>
        <v>0</v>
      </c>
      <c r="K29" s="1">
        <f t="shared" si="6"/>
        <v>7</v>
      </c>
      <c r="L29" s="1">
        <f t="shared" si="0"/>
        <v>10</v>
      </c>
      <c r="M29" s="1">
        <f t="shared" si="1"/>
        <v>20</v>
      </c>
      <c r="N29" s="33"/>
      <c r="O29" s="1">
        <f t="shared" si="7"/>
        <v>1</v>
      </c>
      <c r="P29" s="1">
        <f t="shared" si="8"/>
        <v>5</v>
      </c>
      <c r="Q29" s="1">
        <f t="shared" si="9"/>
        <v>7</v>
      </c>
      <c r="R29" s="1">
        <f t="shared" si="10"/>
        <v>0</v>
      </c>
      <c r="S29" s="1">
        <f t="shared" si="11"/>
        <v>0</v>
      </c>
      <c r="T29" s="70" t="s">
        <v>14</v>
      </c>
      <c r="U29" s="70" t="s">
        <v>14</v>
      </c>
      <c r="V29" s="70" t="s">
        <v>14</v>
      </c>
      <c r="W29" s="70" t="s">
        <v>14</v>
      </c>
      <c r="X29" s="70" t="s">
        <v>14</v>
      </c>
      <c r="Y29" s="28" t="s">
        <v>18</v>
      </c>
      <c r="Z29" s="28" t="s">
        <v>22</v>
      </c>
      <c r="AA29" s="71" t="s">
        <v>13</v>
      </c>
      <c r="AB29" s="70" t="s">
        <v>14</v>
      </c>
      <c r="AC29" s="71" t="s">
        <v>13</v>
      </c>
      <c r="AD29" s="28" t="s">
        <v>18</v>
      </c>
      <c r="AE29" s="28" t="s">
        <v>22</v>
      </c>
      <c r="AF29" s="28" t="s">
        <v>22</v>
      </c>
      <c r="AG29" s="70" t="s">
        <v>14</v>
      </c>
      <c r="AH29" s="71" t="s">
        <v>13</v>
      </c>
      <c r="AI29" s="28" t="s">
        <v>22</v>
      </c>
      <c r="AJ29" s="70" t="s">
        <v>14</v>
      </c>
      <c r="AK29" s="71" t="s">
        <v>13</v>
      </c>
      <c r="AL29" s="28" t="s">
        <v>11</v>
      </c>
      <c r="AM29" s="70" t="s">
        <v>14</v>
      </c>
      <c r="AN29" s="71" t="s">
        <v>13</v>
      </c>
      <c r="AO29" s="70" t="s">
        <v>14</v>
      </c>
      <c r="AP29" s="71" t="s">
        <v>13</v>
      </c>
      <c r="AQ29" s="28" t="s">
        <v>11</v>
      </c>
      <c r="AR29" s="70" t="s">
        <v>14</v>
      </c>
      <c r="AS29" s="28" t="s">
        <v>18</v>
      </c>
      <c r="AT29" s="70" t="s">
        <v>14</v>
      </c>
      <c r="AU29" s="70" t="s">
        <v>14</v>
      </c>
      <c r="AV29" s="71" t="s">
        <v>13</v>
      </c>
      <c r="AW29" s="70" t="s">
        <v>14</v>
      </c>
      <c r="AX29" s="28" t="s">
        <v>11</v>
      </c>
      <c r="AY29" s="28" t="s">
        <v>11</v>
      </c>
      <c r="AZ29" s="28" t="s">
        <v>11</v>
      </c>
      <c r="BA29" s="70" t="s">
        <v>14</v>
      </c>
      <c r="BB29" s="70" t="s">
        <v>14</v>
      </c>
      <c r="BC29" s="28" t="s">
        <v>17</v>
      </c>
      <c r="BD29" s="28" t="s">
        <v>18</v>
      </c>
      <c r="BE29" s="28" t="s">
        <v>22</v>
      </c>
      <c r="BF29" s="71" t="s">
        <v>13</v>
      </c>
      <c r="BG29" s="70" t="s">
        <v>14</v>
      </c>
      <c r="BH29" s="28" t="s">
        <v>18</v>
      </c>
      <c r="BI29" s="70" t="s">
        <v>14</v>
      </c>
      <c r="BJ29" s="70" t="s">
        <v>14</v>
      </c>
      <c r="BK29" s="71" t="s">
        <v>13</v>
      </c>
      <c r="BL29" s="28" t="s">
        <v>22</v>
      </c>
      <c r="BM29" s="28" t="s">
        <v>22</v>
      </c>
      <c r="BN29" s="28" t="s">
        <v>11</v>
      </c>
      <c r="BO29" s="70" t="s">
        <v>14</v>
      </c>
      <c r="BP29" s="80" t="s">
        <v>13</v>
      </c>
      <c r="BQ29" s="28" t="s">
        <v>11</v>
      </c>
    </row>
    <row r="30" spans="1:69" x14ac:dyDescent="0.3">
      <c r="A30" s="2">
        <f t="shared" si="15"/>
        <v>111</v>
      </c>
      <c r="B30" s="12">
        <f t="shared" si="15"/>
        <v>28</v>
      </c>
      <c r="C30" s="26">
        <v>44672.666666608799</v>
      </c>
      <c r="D30" s="4">
        <v>24</v>
      </c>
      <c r="E30" s="4">
        <f t="shared" si="14"/>
        <v>648</v>
      </c>
      <c r="F30" s="5">
        <f t="shared" si="13"/>
        <v>27</v>
      </c>
      <c r="G30" s="1">
        <f t="shared" si="2"/>
        <v>0</v>
      </c>
      <c r="H30" s="1">
        <f t="shared" si="3"/>
        <v>0</v>
      </c>
      <c r="I30" s="1">
        <f t="shared" si="4"/>
        <v>0</v>
      </c>
      <c r="J30" s="1">
        <f t="shared" si="5"/>
        <v>0</v>
      </c>
      <c r="K30" s="1">
        <f t="shared" si="6"/>
        <v>7</v>
      </c>
      <c r="L30" s="1">
        <f t="shared" si="0"/>
        <v>10</v>
      </c>
      <c r="M30" s="1">
        <f t="shared" si="1"/>
        <v>20</v>
      </c>
      <c r="N30" s="33"/>
      <c r="O30" s="1">
        <f t="shared" si="7"/>
        <v>1</v>
      </c>
      <c r="P30" s="1">
        <f t="shared" si="8"/>
        <v>5</v>
      </c>
      <c r="Q30" s="1">
        <f t="shared" si="9"/>
        <v>7</v>
      </c>
      <c r="R30" s="1">
        <f t="shared" si="10"/>
        <v>0</v>
      </c>
      <c r="S30" s="1">
        <f t="shared" si="11"/>
        <v>0</v>
      </c>
      <c r="T30" s="70" t="s">
        <v>14</v>
      </c>
      <c r="U30" s="70" t="s">
        <v>14</v>
      </c>
      <c r="V30" s="70" t="s">
        <v>14</v>
      </c>
      <c r="W30" s="70" t="s">
        <v>14</v>
      </c>
      <c r="X30" s="70" t="s">
        <v>14</v>
      </c>
      <c r="Y30" s="28" t="s">
        <v>18</v>
      </c>
      <c r="Z30" s="28" t="s">
        <v>22</v>
      </c>
      <c r="AA30" s="71" t="s">
        <v>13</v>
      </c>
      <c r="AB30" s="70" t="s">
        <v>14</v>
      </c>
      <c r="AC30" s="71" t="s">
        <v>13</v>
      </c>
      <c r="AD30" s="28" t="s">
        <v>18</v>
      </c>
      <c r="AE30" s="28" t="s">
        <v>22</v>
      </c>
      <c r="AF30" s="28" t="s">
        <v>22</v>
      </c>
      <c r="AG30" s="70" t="s">
        <v>14</v>
      </c>
      <c r="AH30" s="71" t="s">
        <v>13</v>
      </c>
      <c r="AI30" s="28" t="s">
        <v>22</v>
      </c>
      <c r="AJ30" s="70" t="s">
        <v>14</v>
      </c>
      <c r="AK30" s="71" t="s">
        <v>13</v>
      </c>
      <c r="AL30" s="28" t="s">
        <v>11</v>
      </c>
      <c r="AM30" s="70" t="s">
        <v>14</v>
      </c>
      <c r="AN30" s="71" t="s">
        <v>13</v>
      </c>
      <c r="AO30" s="70" t="s">
        <v>14</v>
      </c>
      <c r="AP30" s="71" t="s">
        <v>13</v>
      </c>
      <c r="AQ30" s="28" t="s">
        <v>11</v>
      </c>
      <c r="AR30" s="70" t="s">
        <v>14</v>
      </c>
      <c r="AS30" s="28" t="s">
        <v>18</v>
      </c>
      <c r="AT30" s="70" t="s">
        <v>14</v>
      </c>
      <c r="AU30" s="70" t="s">
        <v>14</v>
      </c>
      <c r="AV30" s="71" t="s">
        <v>13</v>
      </c>
      <c r="AW30" s="70" t="s">
        <v>14</v>
      </c>
      <c r="AX30" s="28" t="s">
        <v>11</v>
      </c>
      <c r="AY30" s="28" t="s">
        <v>11</v>
      </c>
      <c r="AZ30" s="28" t="s">
        <v>11</v>
      </c>
      <c r="BA30" s="70" t="s">
        <v>14</v>
      </c>
      <c r="BB30" s="70" t="s">
        <v>14</v>
      </c>
      <c r="BC30" s="28" t="s">
        <v>17</v>
      </c>
      <c r="BD30" s="28" t="s">
        <v>18</v>
      </c>
      <c r="BE30" s="28" t="s">
        <v>22</v>
      </c>
      <c r="BF30" s="71" t="s">
        <v>13</v>
      </c>
      <c r="BG30" s="70" t="s">
        <v>14</v>
      </c>
      <c r="BH30" s="28" t="s">
        <v>18</v>
      </c>
      <c r="BI30" s="70" t="s">
        <v>14</v>
      </c>
      <c r="BJ30" s="70" t="s">
        <v>14</v>
      </c>
      <c r="BK30" s="71" t="s">
        <v>13</v>
      </c>
      <c r="BL30" s="28" t="s">
        <v>22</v>
      </c>
      <c r="BM30" s="28" t="s">
        <v>22</v>
      </c>
      <c r="BN30" s="28" t="s">
        <v>11</v>
      </c>
      <c r="BO30" s="70" t="s">
        <v>14</v>
      </c>
      <c r="BP30" s="71" t="s">
        <v>13</v>
      </c>
      <c r="BQ30" s="28" t="s">
        <v>11</v>
      </c>
    </row>
    <row r="31" spans="1:69" x14ac:dyDescent="0.3">
      <c r="A31" s="2">
        <f t="shared" si="15"/>
        <v>112</v>
      </c>
      <c r="B31" s="12">
        <f t="shared" si="15"/>
        <v>29</v>
      </c>
      <c r="C31" s="26">
        <v>44673.666666608799</v>
      </c>
      <c r="D31" s="4">
        <v>24</v>
      </c>
      <c r="E31" s="4">
        <f t="shared" si="14"/>
        <v>672</v>
      </c>
      <c r="F31" s="5">
        <f t="shared" si="13"/>
        <v>28</v>
      </c>
      <c r="G31" s="1">
        <f t="shared" si="2"/>
        <v>0</v>
      </c>
      <c r="H31" s="1">
        <f t="shared" si="3"/>
        <v>0</v>
      </c>
      <c r="I31" s="1">
        <f t="shared" si="4"/>
        <v>0</v>
      </c>
      <c r="J31" s="1">
        <f t="shared" si="5"/>
        <v>0</v>
      </c>
      <c r="K31" s="1">
        <f t="shared" si="6"/>
        <v>5</v>
      </c>
      <c r="L31" s="1">
        <f t="shared" si="0"/>
        <v>10</v>
      </c>
      <c r="M31" s="1">
        <f t="shared" si="1"/>
        <v>20</v>
      </c>
      <c r="N31" s="33"/>
      <c r="O31" s="1">
        <f t="shared" si="7"/>
        <v>1</v>
      </c>
      <c r="P31" s="1">
        <f t="shared" si="8"/>
        <v>5</v>
      </c>
      <c r="Q31" s="1">
        <f t="shared" si="9"/>
        <v>7</v>
      </c>
      <c r="R31" s="1">
        <f t="shared" si="10"/>
        <v>0</v>
      </c>
      <c r="S31" s="1">
        <f t="shared" si="11"/>
        <v>2</v>
      </c>
      <c r="T31" s="70" t="s">
        <v>14</v>
      </c>
      <c r="U31" s="70" t="s">
        <v>14</v>
      </c>
      <c r="V31" s="70" t="s">
        <v>14</v>
      </c>
      <c r="W31" s="70" t="s">
        <v>14</v>
      </c>
      <c r="X31" s="70" t="s">
        <v>14</v>
      </c>
      <c r="Y31" s="28" t="s">
        <v>18</v>
      </c>
      <c r="Z31" s="28" t="s">
        <v>22</v>
      </c>
      <c r="AA31" s="71" t="s">
        <v>13</v>
      </c>
      <c r="AB31" s="70" t="s">
        <v>14</v>
      </c>
      <c r="AC31" s="71" t="s">
        <v>13</v>
      </c>
      <c r="AD31" s="28" t="s">
        <v>18</v>
      </c>
      <c r="AE31" s="28" t="s">
        <v>22</v>
      </c>
      <c r="AF31" s="28" t="s">
        <v>22</v>
      </c>
      <c r="AG31" s="70" t="s">
        <v>14</v>
      </c>
      <c r="AH31" s="71" t="s">
        <v>13</v>
      </c>
      <c r="AI31" s="28" t="s">
        <v>22</v>
      </c>
      <c r="AJ31" s="70" t="s">
        <v>14</v>
      </c>
      <c r="AK31" s="71" t="s">
        <v>13</v>
      </c>
      <c r="AL31" s="28" t="s">
        <v>11</v>
      </c>
      <c r="AM31" s="70" t="s">
        <v>14</v>
      </c>
      <c r="AN31" s="71" t="s">
        <v>13</v>
      </c>
      <c r="AO31" s="70" t="s">
        <v>14</v>
      </c>
      <c r="AP31" s="71" t="s">
        <v>13</v>
      </c>
      <c r="AQ31" s="28" t="s">
        <v>11</v>
      </c>
      <c r="AR31" s="70" t="s">
        <v>14</v>
      </c>
      <c r="AS31" s="28" t="s">
        <v>18</v>
      </c>
      <c r="AT31" s="70" t="s">
        <v>14</v>
      </c>
      <c r="AU31" s="70" t="s">
        <v>14</v>
      </c>
      <c r="AV31" s="71" t="s">
        <v>13</v>
      </c>
      <c r="AW31" s="70" t="s">
        <v>14</v>
      </c>
      <c r="AX31" s="28" t="s">
        <v>11</v>
      </c>
      <c r="AY31" s="28" t="s">
        <v>11</v>
      </c>
      <c r="AZ31" s="28" t="s">
        <v>11</v>
      </c>
      <c r="BA31" s="70" t="s">
        <v>14</v>
      </c>
      <c r="BB31" s="70" t="s">
        <v>14</v>
      </c>
      <c r="BC31" s="28" t="s">
        <v>17</v>
      </c>
      <c r="BD31" s="28" t="s">
        <v>18</v>
      </c>
      <c r="BE31" s="28" t="s">
        <v>22</v>
      </c>
      <c r="BF31" s="71" t="s">
        <v>13</v>
      </c>
      <c r="BG31" s="70" t="s">
        <v>14</v>
      </c>
      <c r="BH31" s="28" t="s">
        <v>18</v>
      </c>
      <c r="BI31" s="70" t="s">
        <v>14</v>
      </c>
      <c r="BJ31" s="70" t="s">
        <v>14</v>
      </c>
      <c r="BK31" s="71" t="s">
        <v>13</v>
      </c>
      <c r="BL31" s="28" t="s">
        <v>22</v>
      </c>
      <c r="BM31" s="28" t="s">
        <v>22</v>
      </c>
      <c r="BN31" s="28" t="s">
        <v>27</v>
      </c>
      <c r="BO31" s="70" t="s">
        <v>14</v>
      </c>
      <c r="BP31" s="71" t="s">
        <v>13</v>
      </c>
      <c r="BQ31" s="28" t="s">
        <v>27</v>
      </c>
    </row>
    <row r="32" spans="1:69" x14ac:dyDescent="0.3">
      <c r="A32" s="2">
        <f t="shared" si="15"/>
        <v>113</v>
      </c>
      <c r="B32" s="12">
        <f t="shared" si="15"/>
        <v>30</v>
      </c>
      <c r="C32" s="26">
        <v>44674.666666608799</v>
      </c>
      <c r="D32" s="4">
        <v>24</v>
      </c>
      <c r="E32" s="4">
        <f t="shared" si="14"/>
        <v>696</v>
      </c>
      <c r="F32" s="5">
        <f t="shared" si="13"/>
        <v>29</v>
      </c>
      <c r="G32" s="1">
        <f t="shared" si="2"/>
        <v>0</v>
      </c>
      <c r="H32" s="1">
        <f t="shared" si="3"/>
        <v>0</v>
      </c>
      <c r="I32" s="1">
        <f t="shared" si="4"/>
        <v>0</v>
      </c>
      <c r="J32" s="1">
        <f t="shared" si="5"/>
        <v>0</v>
      </c>
      <c r="K32" s="1">
        <f t="shared" si="6"/>
        <v>0</v>
      </c>
      <c r="L32" s="1">
        <f t="shared" si="0"/>
        <v>10</v>
      </c>
      <c r="M32" s="1">
        <f t="shared" si="1"/>
        <v>20</v>
      </c>
      <c r="N32" s="33"/>
      <c r="O32" s="1">
        <f t="shared" si="7"/>
        <v>1</v>
      </c>
      <c r="P32" s="1">
        <f t="shared" si="8"/>
        <v>5</v>
      </c>
      <c r="Q32" s="1">
        <f t="shared" si="9"/>
        <v>7</v>
      </c>
      <c r="R32" s="1">
        <f t="shared" si="10"/>
        <v>0</v>
      </c>
      <c r="S32" s="1">
        <f>COUNTIF($T32:$BQ32, "P_D")</f>
        <v>7</v>
      </c>
      <c r="T32" s="70" t="s">
        <v>14</v>
      </c>
      <c r="U32" s="70" t="s">
        <v>14</v>
      </c>
      <c r="V32" s="70" t="s">
        <v>14</v>
      </c>
      <c r="W32" s="70" t="s">
        <v>14</v>
      </c>
      <c r="X32" s="70" t="s">
        <v>14</v>
      </c>
      <c r="Y32" s="28" t="s">
        <v>18</v>
      </c>
      <c r="Z32" s="28" t="s">
        <v>22</v>
      </c>
      <c r="AA32" s="71" t="s">
        <v>13</v>
      </c>
      <c r="AB32" s="70" t="s">
        <v>14</v>
      </c>
      <c r="AC32" s="71" t="s">
        <v>13</v>
      </c>
      <c r="AD32" s="28" t="s">
        <v>18</v>
      </c>
      <c r="AE32" s="28" t="s">
        <v>22</v>
      </c>
      <c r="AF32" s="28" t="s">
        <v>22</v>
      </c>
      <c r="AG32" s="70" t="s">
        <v>14</v>
      </c>
      <c r="AH32" s="71" t="s">
        <v>13</v>
      </c>
      <c r="AI32" s="28" t="s">
        <v>22</v>
      </c>
      <c r="AJ32" s="70" t="s">
        <v>14</v>
      </c>
      <c r="AK32" s="71" t="s">
        <v>13</v>
      </c>
      <c r="AL32" s="28" t="s">
        <v>27</v>
      </c>
      <c r="AM32" s="70" t="s">
        <v>14</v>
      </c>
      <c r="AN32" s="71" t="s">
        <v>13</v>
      </c>
      <c r="AO32" s="70" t="s">
        <v>14</v>
      </c>
      <c r="AP32" s="71" t="s">
        <v>13</v>
      </c>
      <c r="AQ32" s="28" t="s">
        <v>27</v>
      </c>
      <c r="AR32" s="70" t="s">
        <v>14</v>
      </c>
      <c r="AS32" s="28" t="s">
        <v>18</v>
      </c>
      <c r="AT32" s="70" t="s">
        <v>14</v>
      </c>
      <c r="AU32" s="70" t="s">
        <v>14</v>
      </c>
      <c r="AV32" s="71" t="s">
        <v>13</v>
      </c>
      <c r="AW32" s="70" t="s">
        <v>14</v>
      </c>
      <c r="AX32" s="28" t="s">
        <v>27</v>
      </c>
      <c r="AY32" s="28" t="s">
        <v>27</v>
      </c>
      <c r="AZ32" s="28" t="s">
        <v>27</v>
      </c>
      <c r="BA32" s="70" t="s">
        <v>14</v>
      </c>
      <c r="BB32" s="70" t="s">
        <v>14</v>
      </c>
      <c r="BC32" s="28" t="s">
        <v>17</v>
      </c>
      <c r="BD32" s="28" t="s">
        <v>18</v>
      </c>
      <c r="BE32" s="28" t="s">
        <v>22</v>
      </c>
      <c r="BF32" s="71" t="s">
        <v>13</v>
      </c>
      <c r="BG32" s="70" t="s">
        <v>14</v>
      </c>
      <c r="BH32" s="28" t="s">
        <v>18</v>
      </c>
      <c r="BI32" s="70" t="s">
        <v>14</v>
      </c>
      <c r="BJ32" s="70" t="s">
        <v>14</v>
      </c>
      <c r="BK32" s="71" t="s">
        <v>13</v>
      </c>
      <c r="BL32" s="28" t="s">
        <v>22</v>
      </c>
      <c r="BM32" s="28" t="s">
        <v>22</v>
      </c>
      <c r="BN32" s="28" t="s">
        <v>27</v>
      </c>
      <c r="BO32" s="70" t="s">
        <v>14</v>
      </c>
      <c r="BP32" s="71" t="s">
        <v>13</v>
      </c>
      <c r="BQ32" s="28" t="s">
        <v>27</v>
      </c>
    </row>
    <row r="33" spans="14:68" x14ac:dyDescent="0.3">
      <c r="X33" s="28" t="s">
        <v>14</v>
      </c>
      <c r="AA33" s="28" t="s">
        <v>13</v>
      </c>
      <c r="AB33" s="28" t="s">
        <v>14</v>
      </c>
      <c r="AC33" s="28" t="s">
        <v>13</v>
      </c>
      <c r="AG33" s="28" t="s">
        <v>14</v>
      </c>
      <c r="AH33" s="28" t="s">
        <v>13</v>
      </c>
      <c r="AJ33" s="28" t="s">
        <v>14</v>
      </c>
      <c r="AK33" s="28" t="s">
        <v>13</v>
      </c>
      <c r="AM33" s="28" t="s">
        <v>14</v>
      </c>
      <c r="AN33" s="28" t="s">
        <v>13</v>
      </c>
      <c r="AO33" s="28" t="s">
        <v>14</v>
      </c>
      <c r="AP33" s="28" t="s">
        <v>13</v>
      </c>
      <c r="AR33" s="28"/>
      <c r="AV33" s="28" t="s">
        <v>13</v>
      </c>
      <c r="BA33" s="28"/>
      <c r="BF33" s="28" t="s">
        <v>13</v>
      </c>
      <c r="BG33" s="28" t="s">
        <v>14</v>
      </c>
      <c r="BI33" s="28" t="s">
        <v>14</v>
      </c>
      <c r="BJ33" s="28" t="s">
        <v>14</v>
      </c>
      <c r="BK33" s="28" t="s">
        <v>13</v>
      </c>
      <c r="BO33" s="28" t="s">
        <v>14</v>
      </c>
      <c r="BP33" s="28" t="s">
        <v>13</v>
      </c>
    </row>
    <row r="34" spans="14:68" x14ac:dyDescent="0.3">
      <c r="N34" s="5"/>
      <c r="X34" s="28" t="s">
        <v>14</v>
      </c>
      <c r="AA34" s="28" t="s">
        <v>13</v>
      </c>
      <c r="AB34" s="28" t="s">
        <v>14</v>
      </c>
      <c r="AC34" s="28" t="s">
        <v>13</v>
      </c>
      <c r="AG34" s="28" t="s">
        <v>14</v>
      </c>
      <c r="AH34" s="28" t="s">
        <v>13</v>
      </c>
      <c r="AJ34" s="28" t="s">
        <v>14</v>
      </c>
      <c r="AK34" s="28" t="s">
        <v>13</v>
      </c>
      <c r="AM34" s="28" t="s">
        <v>14</v>
      </c>
      <c r="AN34" s="28" t="s">
        <v>13</v>
      </c>
      <c r="AO34" s="28" t="s">
        <v>14</v>
      </c>
      <c r="AP34" s="28" t="s">
        <v>13</v>
      </c>
      <c r="AR34" s="28"/>
      <c r="AV34" s="28" t="s">
        <v>13</v>
      </c>
      <c r="BF34" s="28" t="s">
        <v>13</v>
      </c>
      <c r="BG34" s="28" t="s">
        <v>14</v>
      </c>
      <c r="BI34" s="28" t="s">
        <v>14</v>
      </c>
      <c r="BJ34" s="28" t="s">
        <v>14</v>
      </c>
      <c r="BK34" s="28" t="s">
        <v>13</v>
      </c>
      <c r="BO34" s="28" t="s">
        <v>14</v>
      </c>
      <c r="BP34" s="28" t="s">
        <v>13</v>
      </c>
    </row>
    <row r="35" spans="14:68" x14ac:dyDescent="0.3">
      <c r="N35" s="5"/>
      <c r="X35" s="28" t="s">
        <v>14</v>
      </c>
      <c r="AA35" s="28" t="s">
        <v>13</v>
      </c>
      <c r="AB35" s="28" t="s">
        <v>14</v>
      </c>
      <c r="AC35" s="28" t="s">
        <v>13</v>
      </c>
      <c r="AG35" s="28" t="s">
        <v>14</v>
      </c>
      <c r="AH35" s="28" t="s">
        <v>13</v>
      </c>
      <c r="AJ35" s="28" t="s">
        <v>14</v>
      </c>
      <c r="AK35" s="28" t="s">
        <v>13</v>
      </c>
      <c r="AM35" s="28" t="s">
        <v>14</v>
      </c>
      <c r="AN35" s="28" t="s">
        <v>13</v>
      </c>
      <c r="AO35" s="28" t="s">
        <v>14</v>
      </c>
      <c r="AP35" s="28" t="s">
        <v>13</v>
      </c>
      <c r="AR35" s="28"/>
      <c r="AV35" s="28" t="s">
        <v>13</v>
      </c>
      <c r="BF35" s="28" t="s">
        <v>13</v>
      </c>
      <c r="BG35" s="28" t="s">
        <v>14</v>
      </c>
      <c r="BI35" s="28" t="s">
        <v>14</v>
      </c>
      <c r="BJ35" s="28" t="s">
        <v>14</v>
      </c>
      <c r="BK35" s="28" t="s">
        <v>13</v>
      </c>
      <c r="BO35" s="28" t="s">
        <v>14</v>
      </c>
      <c r="BP35" s="28" t="s">
        <v>13</v>
      </c>
    </row>
    <row r="36" spans="14:68" x14ac:dyDescent="0.3">
      <c r="N36" s="5"/>
      <c r="X36" s="28" t="s">
        <v>14</v>
      </c>
      <c r="AA36" s="28" t="s">
        <v>13</v>
      </c>
      <c r="AB36" s="28" t="s">
        <v>14</v>
      </c>
      <c r="AC36" s="28" t="s">
        <v>13</v>
      </c>
      <c r="AG36" s="28" t="s">
        <v>14</v>
      </c>
      <c r="AH36" s="28" t="s">
        <v>13</v>
      </c>
      <c r="AJ36" s="28" t="s">
        <v>14</v>
      </c>
      <c r="AK36" s="28" t="s">
        <v>13</v>
      </c>
      <c r="AM36" s="28" t="s">
        <v>14</v>
      </c>
      <c r="AN36" s="28" t="s">
        <v>13</v>
      </c>
      <c r="AO36" s="28" t="s">
        <v>14</v>
      </c>
      <c r="AP36" s="28" t="s">
        <v>13</v>
      </c>
      <c r="AV36" s="28" t="s">
        <v>13</v>
      </c>
      <c r="BF36" s="28" t="s">
        <v>13</v>
      </c>
      <c r="BG36" s="28" t="s">
        <v>14</v>
      </c>
      <c r="BI36" s="28" t="s">
        <v>14</v>
      </c>
      <c r="BJ36" s="28" t="s">
        <v>14</v>
      </c>
      <c r="BK36" s="28" t="s">
        <v>13</v>
      </c>
      <c r="BO36" s="28" t="s">
        <v>14</v>
      </c>
      <c r="BP36" s="28" t="s">
        <v>13</v>
      </c>
    </row>
    <row r="37" spans="14:68" x14ac:dyDescent="0.3">
      <c r="N37" s="5"/>
      <c r="X37" s="28" t="s">
        <v>14</v>
      </c>
      <c r="AA37" s="28" t="s">
        <v>13</v>
      </c>
      <c r="AB37" s="28" t="s">
        <v>14</v>
      </c>
      <c r="AC37" s="28" t="s">
        <v>13</v>
      </c>
      <c r="AG37" s="28" t="s">
        <v>14</v>
      </c>
      <c r="AH37" s="28" t="s">
        <v>13</v>
      </c>
      <c r="AJ37" s="28" t="s">
        <v>14</v>
      </c>
      <c r="AK37" s="28" t="s">
        <v>13</v>
      </c>
      <c r="AM37" s="28" t="s">
        <v>14</v>
      </c>
      <c r="AN37" s="28" t="s">
        <v>13</v>
      </c>
      <c r="AO37" s="28" t="s">
        <v>14</v>
      </c>
      <c r="AP37" s="28" t="s">
        <v>13</v>
      </c>
      <c r="AV37" s="28" t="s">
        <v>13</v>
      </c>
      <c r="BF37" s="28" t="s">
        <v>13</v>
      </c>
      <c r="BG37" s="28" t="s">
        <v>14</v>
      </c>
      <c r="BI37" s="28" t="s">
        <v>14</v>
      </c>
      <c r="BJ37" s="28" t="s">
        <v>14</v>
      </c>
      <c r="BK37" s="28" t="s">
        <v>13</v>
      </c>
      <c r="BO37" s="28" t="s">
        <v>14</v>
      </c>
      <c r="BP37" s="28" t="s">
        <v>13</v>
      </c>
    </row>
    <row r="38" spans="14:68" x14ac:dyDescent="0.3">
      <c r="N38" s="5"/>
      <c r="X38" s="28" t="s">
        <v>14</v>
      </c>
      <c r="AA38" s="28" t="s">
        <v>13</v>
      </c>
      <c r="AB38" s="28" t="s">
        <v>14</v>
      </c>
      <c r="AC38" s="28" t="s">
        <v>13</v>
      </c>
      <c r="AG38" s="28" t="s">
        <v>14</v>
      </c>
      <c r="AH38" s="28" t="s">
        <v>13</v>
      </c>
      <c r="AJ38" s="28" t="s">
        <v>14</v>
      </c>
      <c r="AK38" s="28" t="s">
        <v>13</v>
      </c>
      <c r="AM38" s="28" t="s">
        <v>14</v>
      </c>
      <c r="AN38" s="28" t="s">
        <v>13</v>
      </c>
      <c r="AO38" s="28" t="s">
        <v>14</v>
      </c>
      <c r="AP38" s="28" t="s">
        <v>13</v>
      </c>
      <c r="AV38" s="28" t="s">
        <v>13</v>
      </c>
      <c r="BF38" s="28" t="s">
        <v>13</v>
      </c>
      <c r="BG38" s="28" t="s">
        <v>14</v>
      </c>
      <c r="BI38" s="28" t="s">
        <v>14</v>
      </c>
      <c r="BJ38" s="28" t="s">
        <v>14</v>
      </c>
      <c r="BK38" s="28" t="s">
        <v>13</v>
      </c>
      <c r="BO38" s="28" t="s">
        <v>14</v>
      </c>
      <c r="BP38" s="28" t="s">
        <v>13</v>
      </c>
    </row>
    <row r="39" spans="14:68" x14ac:dyDescent="0.3">
      <c r="N39" s="5"/>
      <c r="X39" s="28" t="s">
        <v>14</v>
      </c>
      <c r="AA39" s="28" t="s">
        <v>13</v>
      </c>
      <c r="AB39" s="28" t="s">
        <v>14</v>
      </c>
      <c r="AC39" s="28" t="s">
        <v>13</v>
      </c>
      <c r="AG39" s="28" t="s">
        <v>14</v>
      </c>
      <c r="AH39" s="28" t="s">
        <v>13</v>
      </c>
      <c r="AJ39" s="28" t="s">
        <v>14</v>
      </c>
      <c r="AK39" s="28" t="s">
        <v>13</v>
      </c>
      <c r="AM39" s="28" t="s">
        <v>14</v>
      </c>
      <c r="AN39" s="28" t="s">
        <v>13</v>
      </c>
      <c r="AO39" s="28" t="s">
        <v>14</v>
      </c>
      <c r="AP39" s="28" t="s">
        <v>13</v>
      </c>
      <c r="AV39" s="28" t="s">
        <v>13</v>
      </c>
      <c r="BF39" s="28" t="s">
        <v>13</v>
      </c>
      <c r="BG39" s="28" t="s">
        <v>14</v>
      </c>
      <c r="BI39" s="28" t="s">
        <v>14</v>
      </c>
      <c r="BJ39" s="28" t="s">
        <v>14</v>
      </c>
      <c r="BK39" s="28" t="s">
        <v>13</v>
      </c>
      <c r="BO39" s="28" t="s">
        <v>14</v>
      </c>
      <c r="BP39" s="28" t="s">
        <v>13</v>
      </c>
    </row>
    <row r="40" spans="14:68" x14ac:dyDescent="0.3">
      <c r="N40" s="5"/>
      <c r="X40" s="28" t="s">
        <v>14</v>
      </c>
      <c r="AA40" s="28" t="s">
        <v>13</v>
      </c>
      <c r="AB40" s="28" t="s">
        <v>14</v>
      </c>
      <c r="AC40" s="28" t="s">
        <v>13</v>
      </c>
      <c r="AG40" s="28" t="s">
        <v>14</v>
      </c>
      <c r="AH40" s="28" t="s">
        <v>13</v>
      </c>
      <c r="AJ40" s="28" t="s">
        <v>14</v>
      </c>
      <c r="AK40" s="28" t="s">
        <v>13</v>
      </c>
      <c r="AM40" s="28" t="s">
        <v>14</v>
      </c>
      <c r="AN40" s="28" t="s">
        <v>13</v>
      </c>
      <c r="AO40" s="28" t="s">
        <v>14</v>
      </c>
      <c r="AP40" s="28" t="s">
        <v>13</v>
      </c>
      <c r="AV40" s="28" t="s">
        <v>13</v>
      </c>
      <c r="BF40" s="28" t="s">
        <v>13</v>
      </c>
      <c r="BG40" s="28" t="s">
        <v>14</v>
      </c>
      <c r="BI40" s="28" t="s">
        <v>14</v>
      </c>
      <c r="BJ40" s="28" t="s">
        <v>14</v>
      </c>
      <c r="BK40" s="28" t="s">
        <v>13</v>
      </c>
      <c r="BO40" s="28" t="s">
        <v>14</v>
      </c>
      <c r="BP40" s="28" t="s">
        <v>13</v>
      </c>
    </row>
    <row r="41" spans="14:68" x14ac:dyDescent="0.3">
      <c r="N41" s="5"/>
      <c r="X41" s="28" t="s">
        <v>14</v>
      </c>
      <c r="AA41" s="28" t="s">
        <v>13</v>
      </c>
      <c r="AB41" s="28" t="s">
        <v>14</v>
      </c>
      <c r="AC41" s="28" t="s">
        <v>13</v>
      </c>
      <c r="AG41" s="28" t="s">
        <v>14</v>
      </c>
      <c r="AH41" s="28" t="s">
        <v>13</v>
      </c>
      <c r="AJ41" s="28" t="s">
        <v>14</v>
      </c>
      <c r="AK41" s="28" t="s">
        <v>13</v>
      </c>
      <c r="AM41" s="28" t="s">
        <v>14</v>
      </c>
      <c r="AN41" s="28" t="s">
        <v>13</v>
      </c>
      <c r="AO41" s="28" t="s">
        <v>14</v>
      </c>
      <c r="AP41" s="28" t="s">
        <v>13</v>
      </c>
      <c r="AV41" s="28" t="s">
        <v>13</v>
      </c>
      <c r="BF41" s="28" t="s">
        <v>13</v>
      </c>
      <c r="BG41" s="28" t="s">
        <v>14</v>
      </c>
      <c r="BI41" s="28" t="s">
        <v>14</v>
      </c>
      <c r="BJ41" s="28" t="s">
        <v>14</v>
      </c>
      <c r="BK41" s="28" t="s">
        <v>13</v>
      </c>
      <c r="BO41" s="28" t="s">
        <v>14</v>
      </c>
      <c r="BP41" s="28" t="s">
        <v>13</v>
      </c>
    </row>
    <row r="42" spans="14:68" x14ac:dyDescent="0.3">
      <c r="N42" s="5"/>
      <c r="X42" s="28" t="s">
        <v>14</v>
      </c>
      <c r="AA42" s="28" t="s">
        <v>13</v>
      </c>
      <c r="AB42" s="28" t="s">
        <v>14</v>
      </c>
      <c r="AC42" s="28" t="s">
        <v>13</v>
      </c>
      <c r="AG42" s="28" t="s">
        <v>14</v>
      </c>
      <c r="AH42" s="28" t="s">
        <v>13</v>
      </c>
      <c r="AJ42" s="28" t="s">
        <v>14</v>
      </c>
      <c r="AK42" s="28" t="s">
        <v>13</v>
      </c>
      <c r="AM42" s="28" t="s">
        <v>14</v>
      </c>
      <c r="AN42" s="28" t="s">
        <v>13</v>
      </c>
      <c r="AO42" s="28" t="s">
        <v>14</v>
      </c>
      <c r="AP42" s="28" t="s">
        <v>13</v>
      </c>
      <c r="AV42" s="28" t="s">
        <v>13</v>
      </c>
      <c r="BF42" s="28" t="s">
        <v>13</v>
      </c>
      <c r="BG42" s="28" t="s">
        <v>14</v>
      </c>
      <c r="BI42" s="28" t="s">
        <v>14</v>
      </c>
      <c r="BJ42" s="28" t="s">
        <v>14</v>
      </c>
      <c r="BK42" s="28" t="s">
        <v>13</v>
      </c>
      <c r="BO42" s="28" t="s">
        <v>14</v>
      </c>
      <c r="BP42" s="28" t="s">
        <v>13</v>
      </c>
    </row>
    <row r="43" spans="14:68" x14ac:dyDescent="0.3">
      <c r="N43" s="5"/>
      <c r="X43" s="28" t="s">
        <v>14</v>
      </c>
      <c r="AA43" s="28" t="s">
        <v>13</v>
      </c>
      <c r="AB43" s="28" t="s">
        <v>14</v>
      </c>
      <c r="AC43" s="28" t="s">
        <v>13</v>
      </c>
      <c r="AG43" s="28" t="s">
        <v>14</v>
      </c>
      <c r="AH43" s="28" t="s">
        <v>13</v>
      </c>
      <c r="AJ43" s="28" t="s">
        <v>14</v>
      </c>
      <c r="AK43" s="28" t="s">
        <v>13</v>
      </c>
      <c r="AM43" s="28" t="s">
        <v>14</v>
      </c>
      <c r="AN43" s="28" t="s">
        <v>13</v>
      </c>
      <c r="AO43" s="28" t="s">
        <v>14</v>
      </c>
      <c r="AP43" s="28" t="s">
        <v>13</v>
      </c>
      <c r="AV43" s="28" t="s">
        <v>13</v>
      </c>
      <c r="BF43" s="28" t="s">
        <v>13</v>
      </c>
      <c r="BG43" s="28" t="s">
        <v>14</v>
      </c>
      <c r="BI43" s="28" t="s">
        <v>14</v>
      </c>
      <c r="BJ43" s="28" t="s">
        <v>14</v>
      </c>
      <c r="BK43" s="28" t="s">
        <v>13</v>
      </c>
      <c r="BO43" s="28" t="s">
        <v>14</v>
      </c>
      <c r="BP43" s="28" t="s">
        <v>13</v>
      </c>
    </row>
    <row r="44" spans="14:68" x14ac:dyDescent="0.3">
      <c r="N44" s="5"/>
      <c r="X44" s="28" t="s">
        <v>14</v>
      </c>
      <c r="AA44" s="28" t="s">
        <v>13</v>
      </c>
      <c r="AB44" s="28" t="s">
        <v>14</v>
      </c>
      <c r="AC44" s="28" t="s">
        <v>13</v>
      </c>
      <c r="AG44" s="28" t="s">
        <v>14</v>
      </c>
      <c r="AH44" s="28" t="s">
        <v>13</v>
      </c>
      <c r="AJ44" s="28" t="s">
        <v>14</v>
      </c>
      <c r="AK44" s="28" t="s">
        <v>13</v>
      </c>
      <c r="AM44" s="28" t="s">
        <v>14</v>
      </c>
      <c r="AN44" s="28" t="s">
        <v>13</v>
      </c>
      <c r="AO44" s="28" t="s">
        <v>14</v>
      </c>
      <c r="AP44" s="28" t="s">
        <v>13</v>
      </c>
      <c r="AV44" s="28" t="s">
        <v>13</v>
      </c>
      <c r="BF44" s="28" t="s">
        <v>13</v>
      </c>
      <c r="BG44" s="28" t="s">
        <v>14</v>
      </c>
      <c r="BI44" s="28" t="s">
        <v>14</v>
      </c>
      <c r="BJ44" s="28" t="s">
        <v>14</v>
      </c>
      <c r="BK44" s="28" t="s">
        <v>13</v>
      </c>
      <c r="BO44" s="28" t="s">
        <v>14</v>
      </c>
      <c r="BP44" s="28" t="s">
        <v>13</v>
      </c>
    </row>
    <row r="45" spans="14:68" x14ac:dyDescent="0.3">
      <c r="N45" s="5"/>
      <c r="X45" s="28" t="s">
        <v>14</v>
      </c>
      <c r="AA45" s="28" t="s">
        <v>82</v>
      </c>
      <c r="AB45" s="28" t="s">
        <v>14</v>
      </c>
      <c r="AC45" s="28" t="s">
        <v>13</v>
      </c>
      <c r="AG45" s="28" t="s">
        <v>14</v>
      </c>
      <c r="AH45" s="28" t="s">
        <v>13</v>
      </c>
      <c r="AJ45" s="28" t="s">
        <v>14</v>
      </c>
      <c r="AK45" s="28" t="s">
        <v>13</v>
      </c>
      <c r="AM45" s="28" t="s">
        <v>14</v>
      </c>
      <c r="AN45" s="28" t="s">
        <v>13</v>
      </c>
      <c r="AO45" s="28" t="s">
        <v>14</v>
      </c>
      <c r="AP45" s="28" t="s">
        <v>13</v>
      </c>
      <c r="AV45" s="28" t="s">
        <v>13</v>
      </c>
      <c r="BF45" s="28" t="s">
        <v>13</v>
      </c>
      <c r="BG45" s="28" t="s">
        <v>14</v>
      </c>
      <c r="BI45" s="28" t="s">
        <v>14</v>
      </c>
      <c r="BJ45" s="28" t="s">
        <v>14</v>
      </c>
      <c r="BK45" s="28" t="s">
        <v>13</v>
      </c>
      <c r="BO45" s="28" t="s">
        <v>14</v>
      </c>
      <c r="BP45" s="28" t="s">
        <v>13</v>
      </c>
    </row>
    <row r="46" spans="14:68" x14ac:dyDescent="0.3">
      <c r="N46" s="5"/>
      <c r="X46" s="28" t="s">
        <v>14</v>
      </c>
      <c r="AA46" s="28" t="s">
        <v>13</v>
      </c>
      <c r="AB46" s="28" t="s">
        <v>14</v>
      </c>
      <c r="AC46" s="28" t="s">
        <v>13</v>
      </c>
      <c r="AG46" s="28" t="s">
        <v>14</v>
      </c>
      <c r="AH46" s="28" t="s">
        <v>13</v>
      </c>
      <c r="AJ46" s="28" t="s">
        <v>14</v>
      </c>
      <c r="AK46" s="28" t="s">
        <v>13</v>
      </c>
      <c r="AM46" s="28" t="s">
        <v>14</v>
      </c>
      <c r="AN46" s="28" t="s">
        <v>13</v>
      </c>
      <c r="AO46" s="28" t="s">
        <v>14</v>
      </c>
      <c r="AP46" s="28" t="s">
        <v>13</v>
      </c>
      <c r="AV46" s="28" t="s">
        <v>13</v>
      </c>
      <c r="BF46" s="28" t="s">
        <v>13</v>
      </c>
      <c r="BG46" s="28" t="s">
        <v>14</v>
      </c>
      <c r="BI46" s="28" t="s">
        <v>14</v>
      </c>
      <c r="BJ46" s="28" t="s">
        <v>14</v>
      </c>
      <c r="BK46" s="28" t="s">
        <v>13</v>
      </c>
      <c r="BO46" s="28" t="s">
        <v>14</v>
      </c>
      <c r="BP46" s="28" t="s">
        <v>13</v>
      </c>
    </row>
    <row r="47" spans="14:68" x14ac:dyDescent="0.3">
      <c r="N47" s="5"/>
      <c r="X47" s="28" t="s">
        <v>14</v>
      </c>
      <c r="AA47" s="28" t="s">
        <v>13</v>
      </c>
      <c r="AB47" s="28" t="s">
        <v>14</v>
      </c>
      <c r="AC47" s="28" t="s">
        <v>13</v>
      </c>
      <c r="AG47" s="28" t="s">
        <v>14</v>
      </c>
      <c r="AH47" s="28" t="s">
        <v>13</v>
      </c>
      <c r="AJ47" s="28" t="s">
        <v>14</v>
      </c>
      <c r="AK47" s="28" t="s">
        <v>13</v>
      </c>
      <c r="AM47" s="28" t="s">
        <v>14</v>
      </c>
      <c r="AN47" s="28" t="s">
        <v>13</v>
      </c>
      <c r="AO47" s="28" t="s">
        <v>14</v>
      </c>
      <c r="AP47" s="28" t="s">
        <v>13</v>
      </c>
      <c r="AV47" s="28" t="s">
        <v>13</v>
      </c>
      <c r="BF47" s="28" t="s">
        <v>13</v>
      </c>
      <c r="BG47" s="28" t="s">
        <v>14</v>
      </c>
      <c r="BI47" s="28" t="s">
        <v>14</v>
      </c>
      <c r="BJ47" s="28" t="s">
        <v>14</v>
      </c>
      <c r="BK47" s="28" t="s">
        <v>13</v>
      </c>
      <c r="BO47" s="28" t="s">
        <v>14</v>
      </c>
      <c r="BP47" s="28" t="s">
        <v>13</v>
      </c>
    </row>
    <row r="48" spans="14:68" x14ac:dyDescent="0.3">
      <c r="N48" s="5"/>
      <c r="X48" s="28" t="s">
        <v>14</v>
      </c>
      <c r="AA48" s="28" t="s">
        <v>13</v>
      </c>
      <c r="AB48" s="28" t="s">
        <v>14</v>
      </c>
      <c r="AC48" s="28" t="s">
        <v>13</v>
      </c>
      <c r="AG48" s="28" t="s">
        <v>14</v>
      </c>
      <c r="AH48" s="28" t="s">
        <v>13</v>
      </c>
      <c r="AJ48" s="28" t="s">
        <v>14</v>
      </c>
      <c r="AK48" s="28" t="s">
        <v>13</v>
      </c>
      <c r="AM48" s="28" t="s">
        <v>14</v>
      </c>
      <c r="AN48" s="28" t="s">
        <v>13</v>
      </c>
      <c r="AO48" s="28" t="s">
        <v>14</v>
      </c>
      <c r="AP48" s="28" t="s">
        <v>13</v>
      </c>
      <c r="AV48" s="28" t="s">
        <v>13</v>
      </c>
      <c r="BF48" s="28" t="s">
        <v>13</v>
      </c>
      <c r="BG48" s="28" t="s">
        <v>14</v>
      </c>
      <c r="BI48" s="28" t="s">
        <v>14</v>
      </c>
      <c r="BJ48" s="28" t="s">
        <v>14</v>
      </c>
      <c r="BK48" s="28" t="s">
        <v>13</v>
      </c>
      <c r="BO48" s="28" t="s">
        <v>14</v>
      </c>
      <c r="BP48" s="28" t="s">
        <v>13</v>
      </c>
    </row>
    <row r="49" spans="14:68" x14ac:dyDescent="0.3">
      <c r="N49" s="5"/>
      <c r="X49" s="28" t="s">
        <v>14</v>
      </c>
      <c r="AA49" s="28" t="s">
        <v>13</v>
      </c>
      <c r="AB49" s="28" t="s">
        <v>14</v>
      </c>
      <c r="AC49" s="28" t="s">
        <v>13</v>
      </c>
      <c r="AG49" s="28" t="s">
        <v>14</v>
      </c>
      <c r="AH49" s="28" t="s">
        <v>13</v>
      </c>
      <c r="AJ49" s="28" t="s">
        <v>14</v>
      </c>
      <c r="AK49" s="28" t="s">
        <v>13</v>
      </c>
      <c r="AM49" s="28" t="s">
        <v>14</v>
      </c>
      <c r="AN49" s="28" t="s">
        <v>13</v>
      </c>
      <c r="AO49" s="28" t="s">
        <v>14</v>
      </c>
      <c r="AP49" s="28" t="s">
        <v>13</v>
      </c>
      <c r="AV49" s="28" t="s">
        <v>13</v>
      </c>
      <c r="BF49" s="28" t="s">
        <v>13</v>
      </c>
      <c r="BG49" s="28" t="s">
        <v>14</v>
      </c>
      <c r="BI49" s="28" t="s">
        <v>14</v>
      </c>
      <c r="BJ49" s="28" t="s">
        <v>14</v>
      </c>
      <c r="BK49" s="28" t="s">
        <v>13</v>
      </c>
      <c r="BO49" s="28" t="s">
        <v>14</v>
      </c>
      <c r="BP49" s="28" t="s">
        <v>13</v>
      </c>
    </row>
    <row r="50" spans="14:68" x14ac:dyDescent="0.3">
      <c r="N50" s="5"/>
      <c r="X50" s="28" t="s">
        <v>14</v>
      </c>
      <c r="AA50" s="28" t="s">
        <v>13</v>
      </c>
      <c r="AB50" s="28" t="s">
        <v>14</v>
      </c>
      <c r="AC50" s="28" t="s">
        <v>13</v>
      </c>
      <c r="AG50" s="28" t="s">
        <v>14</v>
      </c>
      <c r="AH50" s="28" t="s">
        <v>13</v>
      </c>
      <c r="AJ50" s="28" t="s">
        <v>14</v>
      </c>
      <c r="AK50" s="28" t="s">
        <v>13</v>
      </c>
      <c r="AM50" s="28" t="s">
        <v>14</v>
      </c>
      <c r="AN50" s="28" t="s">
        <v>13</v>
      </c>
      <c r="AO50" s="28" t="s">
        <v>14</v>
      </c>
      <c r="AP50" s="28" t="s">
        <v>13</v>
      </c>
      <c r="AV50" s="28" t="s">
        <v>13</v>
      </c>
      <c r="BF50" s="28" t="s">
        <v>13</v>
      </c>
      <c r="BG50" s="28" t="s">
        <v>14</v>
      </c>
      <c r="BI50" s="28" t="s">
        <v>14</v>
      </c>
      <c r="BJ50" s="28" t="s">
        <v>14</v>
      </c>
      <c r="BK50" s="28" t="s">
        <v>13</v>
      </c>
      <c r="BO50" s="28" t="s">
        <v>14</v>
      </c>
      <c r="BP50" s="28" t="s">
        <v>13</v>
      </c>
    </row>
    <row r="51" spans="14:68" x14ac:dyDescent="0.3">
      <c r="N51" s="5"/>
      <c r="X51" s="28" t="s">
        <v>14</v>
      </c>
      <c r="AA51" s="28" t="s">
        <v>13</v>
      </c>
      <c r="AB51" s="28" t="s">
        <v>14</v>
      </c>
      <c r="AC51" s="28" t="s">
        <v>13</v>
      </c>
      <c r="AG51" s="28" t="s">
        <v>14</v>
      </c>
      <c r="AH51" s="28" t="s">
        <v>13</v>
      </c>
      <c r="AJ51" s="28" t="s">
        <v>14</v>
      </c>
      <c r="AK51" s="28" t="s">
        <v>13</v>
      </c>
      <c r="AM51" s="28" t="s">
        <v>14</v>
      </c>
      <c r="AN51" s="28" t="s">
        <v>82</v>
      </c>
      <c r="AO51" s="28" t="s">
        <v>14</v>
      </c>
      <c r="AP51" s="28" t="s">
        <v>13</v>
      </c>
      <c r="AV51" s="28" t="s">
        <v>13</v>
      </c>
      <c r="BF51" s="28" t="s">
        <v>13</v>
      </c>
      <c r="BG51" s="28" t="s">
        <v>14</v>
      </c>
      <c r="BI51" s="28" t="s">
        <v>14</v>
      </c>
      <c r="BJ51" s="28" t="s">
        <v>14</v>
      </c>
      <c r="BK51" s="28" t="s">
        <v>13</v>
      </c>
      <c r="BO51" s="28" t="s">
        <v>14</v>
      </c>
      <c r="BP51" s="28" t="s">
        <v>13</v>
      </c>
    </row>
    <row r="52" spans="14:68" x14ac:dyDescent="0.3">
      <c r="N52" s="5"/>
      <c r="X52" s="28" t="s">
        <v>14</v>
      </c>
      <c r="AA52" s="28" t="s">
        <v>13</v>
      </c>
      <c r="AB52" s="28" t="s">
        <v>14</v>
      </c>
      <c r="AC52" s="28" t="s">
        <v>13</v>
      </c>
      <c r="AG52" s="28" t="s">
        <v>14</v>
      </c>
      <c r="AH52" s="28" t="s">
        <v>13</v>
      </c>
      <c r="AJ52" s="28" t="s">
        <v>14</v>
      </c>
      <c r="AK52" s="28" t="s">
        <v>13</v>
      </c>
      <c r="AM52" s="28" t="s">
        <v>14</v>
      </c>
      <c r="AN52" s="74" t="s">
        <v>13</v>
      </c>
      <c r="AO52" s="28" t="s">
        <v>14</v>
      </c>
      <c r="AP52" s="28" t="s">
        <v>13</v>
      </c>
      <c r="AV52" s="28" t="s">
        <v>13</v>
      </c>
      <c r="BF52" s="28" t="s">
        <v>13</v>
      </c>
      <c r="BG52" s="28" t="s">
        <v>14</v>
      </c>
      <c r="BI52" s="28" t="s">
        <v>14</v>
      </c>
      <c r="BJ52" s="28" t="s">
        <v>14</v>
      </c>
      <c r="BK52" s="28" t="s">
        <v>13</v>
      </c>
      <c r="BO52" s="28" t="s">
        <v>14</v>
      </c>
      <c r="BP52" s="28" t="s">
        <v>13</v>
      </c>
    </row>
    <row r="53" spans="14:68" x14ac:dyDescent="0.3">
      <c r="N53" s="5"/>
      <c r="X53" s="28" t="s">
        <v>14</v>
      </c>
      <c r="AA53" s="28" t="s">
        <v>13</v>
      </c>
      <c r="AB53" s="28" t="s">
        <v>14</v>
      </c>
      <c r="AC53" s="28" t="s">
        <v>13</v>
      </c>
      <c r="AG53" s="28" t="s">
        <v>14</v>
      </c>
      <c r="AH53" s="28" t="s">
        <v>13</v>
      </c>
      <c r="AJ53" s="28" t="s">
        <v>14</v>
      </c>
      <c r="AK53" s="28" t="s">
        <v>13</v>
      </c>
      <c r="AM53" s="28" t="s">
        <v>14</v>
      </c>
      <c r="AN53" s="74" t="s">
        <v>13</v>
      </c>
      <c r="AO53" s="12" t="s">
        <v>83</v>
      </c>
      <c r="AP53" s="28" t="s">
        <v>13</v>
      </c>
      <c r="AV53" s="28" t="s">
        <v>13</v>
      </c>
      <c r="BF53" s="28" t="s">
        <v>13</v>
      </c>
      <c r="BG53" s="28" t="s">
        <v>14</v>
      </c>
      <c r="BI53" s="28" t="s">
        <v>14</v>
      </c>
      <c r="BJ53" s="28" t="s">
        <v>14</v>
      </c>
      <c r="BK53" s="28" t="s">
        <v>13</v>
      </c>
      <c r="BO53" s="28" t="s">
        <v>14</v>
      </c>
      <c r="BP53" s="28" t="s">
        <v>13</v>
      </c>
    </row>
    <row r="54" spans="14:68" x14ac:dyDescent="0.3">
      <c r="N54" s="5"/>
      <c r="X54" s="28" t="s">
        <v>14</v>
      </c>
      <c r="AA54" s="28" t="s">
        <v>13</v>
      </c>
      <c r="AB54" s="28" t="s">
        <v>14</v>
      </c>
      <c r="AC54" s="28" t="s">
        <v>13</v>
      </c>
      <c r="AG54" s="28" t="s">
        <v>14</v>
      </c>
      <c r="AH54" s="28" t="s">
        <v>13</v>
      </c>
      <c r="AJ54" s="28" t="s">
        <v>14</v>
      </c>
      <c r="AK54" s="28" t="s">
        <v>13</v>
      </c>
      <c r="AM54" s="28" t="s">
        <v>14</v>
      </c>
      <c r="AN54" s="74" t="s">
        <v>13</v>
      </c>
      <c r="AP54" s="28" t="s">
        <v>13</v>
      </c>
      <c r="AV54" s="28" t="s">
        <v>13</v>
      </c>
      <c r="BF54" s="28" t="s">
        <v>13</v>
      </c>
      <c r="BG54" s="28" t="s">
        <v>14</v>
      </c>
      <c r="BI54" s="28" t="s">
        <v>14</v>
      </c>
      <c r="BJ54" s="28" t="s">
        <v>14</v>
      </c>
      <c r="BK54" s="28" t="s">
        <v>13</v>
      </c>
      <c r="BO54" s="28" t="s">
        <v>14</v>
      </c>
      <c r="BP54" s="28" t="s">
        <v>13</v>
      </c>
    </row>
    <row r="55" spans="14:68" x14ac:dyDescent="0.3">
      <c r="N55" s="5"/>
      <c r="X55" s="28" t="s">
        <v>14</v>
      </c>
      <c r="AA55" s="28" t="s">
        <v>13</v>
      </c>
      <c r="AB55" s="28" t="s">
        <v>14</v>
      </c>
      <c r="AC55" s="28" t="s">
        <v>13</v>
      </c>
      <c r="AG55" s="28" t="s">
        <v>14</v>
      </c>
      <c r="AH55" s="28" t="s">
        <v>13</v>
      </c>
      <c r="AJ55" s="28" t="s">
        <v>14</v>
      </c>
      <c r="AK55" s="28" t="s">
        <v>13</v>
      </c>
      <c r="AM55" s="28" t="s">
        <v>14</v>
      </c>
      <c r="AN55" s="74" t="s">
        <v>13</v>
      </c>
      <c r="AP55" s="28" t="s">
        <v>13</v>
      </c>
      <c r="AV55" s="28" t="s">
        <v>13</v>
      </c>
      <c r="BF55" s="28" t="s">
        <v>13</v>
      </c>
      <c r="BG55" s="28" t="s">
        <v>14</v>
      </c>
      <c r="BI55" s="28" t="s">
        <v>14</v>
      </c>
      <c r="BJ55" s="28" t="s">
        <v>14</v>
      </c>
      <c r="BK55" s="28" t="s">
        <v>13</v>
      </c>
      <c r="BO55" s="28" t="s">
        <v>14</v>
      </c>
      <c r="BP55" s="28" t="s">
        <v>13</v>
      </c>
    </row>
    <row r="56" spans="14:68" x14ac:dyDescent="0.3">
      <c r="N56" s="5"/>
      <c r="X56" s="28" t="s">
        <v>14</v>
      </c>
      <c r="AA56" s="28" t="s">
        <v>13</v>
      </c>
      <c r="AB56" s="28" t="s">
        <v>14</v>
      </c>
      <c r="AC56" s="28" t="s">
        <v>13</v>
      </c>
      <c r="AG56" s="28" t="s">
        <v>14</v>
      </c>
      <c r="AH56" s="28" t="s">
        <v>13</v>
      </c>
      <c r="AJ56" s="28" t="s">
        <v>14</v>
      </c>
      <c r="AK56" s="28" t="s">
        <v>13</v>
      </c>
      <c r="AM56" s="28" t="s">
        <v>14</v>
      </c>
      <c r="AN56" s="74" t="s">
        <v>13</v>
      </c>
      <c r="AP56" s="28" t="s">
        <v>13</v>
      </c>
      <c r="AV56" s="28" t="s">
        <v>13</v>
      </c>
      <c r="BF56" s="28" t="s">
        <v>13</v>
      </c>
      <c r="BG56" s="28" t="s">
        <v>14</v>
      </c>
      <c r="BI56" s="28" t="s">
        <v>14</v>
      </c>
      <c r="BJ56" s="28" t="s">
        <v>14</v>
      </c>
      <c r="BK56" s="28" t="s">
        <v>13</v>
      </c>
      <c r="BO56" s="28" t="s">
        <v>14</v>
      </c>
      <c r="BP56" s="28" t="s">
        <v>13</v>
      </c>
    </row>
    <row r="57" spans="14:68" x14ac:dyDescent="0.3">
      <c r="N57" s="5"/>
      <c r="X57" s="28" t="s">
        <v>14</v>
      </c>
      <c r="AA57" s="28" t="s">
        <v>13</v>
      </c>
      <c r="AB57" s="28" t="s">
        <v>14</v>
      </c>
      <c r="AC57" s="28" t="s">
        <v>13</v>
      </c>
      <c r="AG57" s="28" t="s">
        <v>14</v>
      </c>
      <c r="AH57" s="28" t="s">
        <v>13</v>
      </c>
      <c r="AJ57" s="28" t="s">
        <v>14</v>
      </c>
      <c r="AK57" s="28" t="s">
        <v>13</v>
      </c>
      <c r="AM57" s="28" t="s">
        <v>14</v>
      </c>
      <c r="AN57" s="74" t="s">
        <v>13</v>
      </c>
      <c r="AP57" s="28" t="s">
        <v>13</v>
      </c>
      <c r="AV57" s="28" t="s">
        <v>13</v>
      </c>
      <c r="BF57" s="28" t="s">
        <v>13</v>
      </c>
      <c r="BG57" s="28" t="s">
        <v>14</v>
      </c>
      <c r="BI57" s="28" t="s">
        <v>14</v>
      </c>
      <c r="BJ57" s="28" t="s">
        <v>14</v>
      </c>
      <c r="BK57" s="28" t="s">
        <v>13</v>
      </c>
      <c r="BO57" s="28" t="s">
        <v>14</v>
      </c>
      <c r="BP57" s="28" t="s">
        <v>13</v>
      </c>
    </row>
    <row r="58" spans="14:68" x14ac:dyDescent="0.3">
      <c r="N58" s="5"/>
      <c r="X58" s="28" t="s">
        <v>14</v>
      </c>
      <c r="AA58" s="28" t="s">
        <v>13</v>
      </c>
      <c r="AB58" s="28" t="s">
        <v>14</v>
      </c>
      <c r="AC58" s="28" t="s">
        <v>13</v>
      </c>
      <c r="AG58" s="28" t="s">
        <v>14</v>
      </c>
      <c r="AH58" s="28" t="s">
        <v>82</v>
      </c>
      <c r="AJ58" s="28" t="s">
        <v>14</v>
      </c>
      <c r="AK58" s="28" t="s">
        <v>13</v>
      </c>
      <c r="AM58" s="28" t="s">
        <v>14</v>
      </c>
      <c r="AN58" s="74" t="s">
        <v>13</v>
      </c>
      <c r="AP58" s="28" t="s">
        <v>82</v>
      </c>
      <c r="AV58" s="28" t="s">
        <v>13</v>
      </c>
      <c r="BF58" s="28" t="s">
        <v>13</v>
      </c>
      <c r="BG58" s="28" t="s">
        <v>14</v>
      </c>
      <c r="BI58" s="28" t="s">
        <v>14</v>
      </c>
      <c r="BJ58" s="28" t="s">
        <v>14</v>
      </c>
      <c r="BK58" s="28" t="s">
        <v>13</v>
      </c>
      <c r="BO58" s="28" t="s">
        <v>14</v>
      </c>
      <c r="BP58" s="28" t="s">
        <v>13</v>
      </c>
    </row>
    <row r="59" spans="14:68" x14ac:dyDescent="0.3">
      <c r="N59" s="5"/>
      <c r="X59" s="28" t="s">
        <v>14</v>
      </c>
      <c r="AA59" s="28" t="s">
        <v>82</v>
      </c>
      <c r="AB59" s="28" t="s">
        <v>14</v>
      </c>
      <c r="AC59" s="28" t="s">
        <v>13</v>
      </c>
      <c r="AG59" s="28" t="s">
        <v>14</v>
      </c>
      <c r="AH59" s="74" t="s">
        <v>13</v>
      </c>
      <c r="AJ59" s="28" t="s">
        <v>14</v>
      </c>
      <c r="AK59" s="28" t="s">
        <v>13</v>
      </c>
      <c r="AM59" s="28" t="s">
        <v>14</v>
      </c>
      <c r="AN59" s="74" t="s">
        <v>13</v>
      </c>
      <c r="AV59" s="28" t="s">
        <v>13</v>
      </c>
      <c r="BF59" s="28" t="s">
        <v>13</v>
      </c>
      <c r="BG59" s="28" t="s">
        <v>14</v>
      </c>
      <c r="BI59" s="28" t="s">
        <v>14</v>
      </c>
      <c r="BJ59" s="28" t="s">
        <v>14</v>
      </c>
      <c r="BK59" s="28" t="s">
        <v>13</v>
      </c>
      <c r="BO59" s="28" t="s">
        <v>14</v>
      </c>
      <c r="BP59" s="28" t="s">
        <v>13</v>
      </c>
    </row>
    <row r="60" spans="14:68" x14ac:dyDescent="0.3">
      <c r="N60" s="5"/>
      <c r="X60" s="28" t="s">
        <v>14</v>
      </c>
      <c r="AB60" s="28" t="s">
        <v>14</v>
      </c>
      <c r="AC60" s="28" t="s">
        <v>13</v>
      </c>
      <c r="AG60" s="28" t="s">
        <v>14</v>
      </c>
      <c r="AH60" s="74" t="s">
        <v>13</v>
      </c>
      <c r="AJ60" s="28" t="s">
        <v>14</v>
      </c>
      <c r="AK60" s="28" t="s">
        <v>13</v>
      </c>
      <c r="AM60" s="28" t="s">
        <v>14</v>
      </c>
      <c r="AN60" s="28" t="s">
        <v>82</v>
      </c>
      <c r="AV60" s="28" t="s">
        <v>13</v>
      </c>
      <c r="BF60" s="28" t="s">
        <v>13</v>
      </c>
      <c r="BG60" s="28" t="s">
        <v>14</v>
      </c>
      <c r="BI60" s="28" t="s">
        <v>14</v>
      </c>
      <c r="BJ60" s="28" t="s">
        <v>14</v>
      </c>
      <c r="BK60" s="28" t="s">
        <v>13</v>
      </c>
      <c r="BO60" s="28" t="s">
        <v>14</v>
      </c>
      <c r="BP60" s="28" t="s">
        <v>13</v>
      </c>
    </row>
    <row r="61" spans="14:68" x14ac:dyDescent="0.3">
      <c r="N61" s="5"/>
      <c r="X61" s="28" t="s">
        <v>14</v>
      </c>
      <c r="AB61" s="28" t="s">
        <v>14</v>
      </c>
      <c r="AC61" s="28" t="s">
        <v>13</v>
      </c>
      <c r="AG61" s="28" t="s">
        <v>14</v>
      </c>
      <c r="AH61" s="74" t="s">
        <v>13</v>
      </c>
      <c r="AJ61" s="28" t="s">
        <v>14</v>
      </c>
      <c r="AK61" s="28" t="s">
        <v>13</v>
      </c>
      <c r="AM61" s="28" t="s">
        <v>14</v>
      </c>
      <c r="AV61" s="28" t="s">
        <v>13</v>
      </c>
      <c r="BF61" s="28" t="s">
        <v>13</v>
      </c>
      <c r="BG61" s="28" t="s">
        <v>14</v>
      </c>
      <c r="BI61" s="28" t="s">
        <v>14</v>
      </c>
      <c r="BJ61" s="28" t="s">
        <v>14</v>
      </c>
      <c r="BK61" s="28" t="s">
        <v>13</v>
      </c>
      <c r="BO61" s="28" t="s">
        <v>14</v>
      </c>
      <c r="BP61" s="28" t="s">
        <v>13</v>
      </c>
    </row>
    <row r="62" spans="14:68" x14ac:dyDescent="0.3">
      <c r="N62" s="5"/>
      <c r="X62" s="28" t="s">
        <v>14</v>
      </c>
      <c r="AB62" s="28" t="s">
        <v>14</v>
      </c>
      <c r="AC62" s="28" t="s">
        <v>13</v>
      </c>
      <c r="AG62" s="28" t="s">
        <v>14</v>
      </c>
      <c r="AH62" s="74" t="s">
        <v>13</v>
      </c>
      <c r="AJ62" s="28" t="s">
        <v>14</v>
      </c>
      <c r="AK62" s="28" t="s">
        <v>13</v>
      </c>
      <c r="AM62" s="12" t="s">
        <v>83</v>
      </c>
      <c r="AV62" s="28" t="s">
        <v>13</v>
      </c>
      <c r="BF62" s="28" t="s">
        <v>13</v>
      </c>
      <c r="BG62" s="28" t="s">
        <v>14</v>
      </c>
      <c r="BI62" s="28" t="s">
        <v>14</v>
      </c>
      <c r="BJ62" s="28" t="s">
        <v>14</v>
      </c>
      <c r="BK62" s="28" t="s">
        <v>13</v>
      </c>
      <c r="BO62" s="28" t="s">
        <v>14</v>
      </c>
      <c r="BP62" s="28" t="s">
        <v>13</v>
      </c>
    </row>
    <row r="63" spans="14:68" x14ac:dyDescent="0.3">
      <c r="N63" s="5"/>
      <c r="X63" s="28" t="s">
        <v>14</v>
      </c>
      <c r="AB63" s="28" t="s">
        <v>14</v>
      </c>
      <c r="AC63" s="28" t="s">
        <v>13</v>
      </c>
      <c r="AG63" s="28" t="s">
        <v>14</v>
      </c>
      <c r="AH63" s="74" t="s">
        <v>13</v>
      </c>
      <c r="AJ63" s="28" t="s">
        <v>14</v>
      </c>
      <c r="AK63" s="28" t="s">
        <v>13</v>
      </c>
      <c r="AV63" s="28" t="s">
        <v>13</v>
      </c>
      <c r="BF63" s="28" t="s">
        <v>13</v>
      </c>
      <c r="BG63" s="28" t="s">
        <v>14</v>
      </c>
      <c r="BI63" s="28" t="s">
        <v>14</v>
      </c>
      <c r="BJ63" s="28" t="s">
        <v>14</v>
      </c>
      <c r="BK63" s="28" t="s">
        <v>13</v>
      </c>
      <c r="BO63" s="28" t="s">
        <v>14</v>
      </c>
      <c r="BP63" s="28" t="s">
        <v>13</v>
      </c>
    </row>
    <row r="64" spans="14:68" x14ac:dyDescent="0.3">
      <c r="X64" s="28" t="s">
        <v>14</v>
      </c>
      <c r="AB64" s="28" t="s">
        <v>14</v>
      </c>
      <c r="AC64" s="28" t="s">
        <v>13</v>
      </c>
      <c r="AG64" s="28" t="s">
        <v>14</v>
      </c>
      <c r="AH64" s="28" t="s">
        <v>82</v>
      </c>
      <c r="AJ64" s="28" t="s">
        <v>14</v>
      </c>
      <c r="AK64" s="28" t="s">
        <v>82</v>
      </c>
      <c r="AV64" s="28" t="s">
        <v>13</v>
      </c>
      <c r="BF64" s="28" t="s">
        <v>13</v>
      </c>
      <c r="BG64" s="28" t="s">
        <v>14</v>
      </c>
      <c r="BI64" s="12" t="s">
        <v>83</v>
      </c>
      <c r="BJ64" s="28" t="s">
        <v>14</v>
      </c>
      <c r="BK64" s="28" t="s">
        <v>13</v>
      </c>
      <c r="BO64" s="28" t="s">
        <v>14</v>
      </c>
      <c r="BP64" s="28" t="s">
        <v>13</v>
      </c>
    </row>
    <row r="65" spans="14:68" x14ac:dyDescent="0.3">
      <c r="X65" s="28" t="s">
        <v>14</v>
      </c>
      <c r="AB65" s="28" t="s">
        <v>14</v>
      </c>
      <c r="AC65" s="28" t="s">
        <v>13</v>
      </c>
      <c r="AG65" s="28" t="s">
        <v>14</v>
      </c>
      <c r="AH65" s="74" t="s">
        <v>13</v>
      </c>
      <c r="AJ65" s="28" t="s">
        <v>14</v>
      </c>
      <c r="AV65" s="28" t="s">
        <v>13</v>
      </c>
      <c r="BF65" s="28" t="s">
        <v>13</v>
      </c>
      <c r="BG65" s="28" t="s">
        <v>14</v>
      </c>
      <c r="BJ65" s="28" t="s">
        <v>14</v>
      </c>
      <c r="BK65" s="28" t="s">
        <v>13</v>
      </c>
      <c r="BO65" s="28" t="s">
        <v>14</v>
      </c>
      <c r="BP65" s="28" t="s">
        <v>13</v>
      </c>
    </row>
    <row r="66" spans="14:68" x14ac:dyDescent="0.3">
      <c r="N66" s="5"/>
      <c r="X66" s="28" t="s">
        <v>14</v>
      </c>
      <c r="AB66" s="28" t="s">
        <v>14</v>
      </c>
      <c r="AC66" s="28" t="s">
        <v>13</v>
      </c>
      <c r="AG66" s="28" t="s">
        <v>14</v>
      </c>
      <c r="AH66" s="74" t="s">
        <v>13</v>
      </c>
      <c r="AJ66" s="28" t="s">
        <v>14</v>
      </c>
      <c r="AV66" s="28" t="s">
        <v>13</v>
      </c>
      <c r="BF66" s="28" t="s">
        <v>13</v>
      </c>
      <c r="BG66" s="28" t="s">
        <v>14</v>
      </c>
      <c r="BJ66" s="28" t="s">
        <v>14</v>
      </c>
      <c r="BK66" s="28" t="s">
        <v>13</v>
      </c>
      <c r="BO66" s="28" t="s">
        <v>14</v>
      </c>
      <c r="BP66" s="28" t="s">
        <v>13</v>
      </c>
    </row>
    <row r="67" spans="14:68" x14ac:dyDescent="0.3">
      <c r="N67" s="5"/>
      <c r="X67" s="28" t="s">
        <v>14</v>
      </c>
      <c r="AB67" s="28" t="s">
        <v>14</v>
      </c>
      <c r="AC67" s="28" t="s">
        <v>13</v>
      </c>
      <c r="AG67" s="28" t="s">
        <v>14</v>
      </c>
      <c r="AH67" s="74" t="s">
        <v>13</v>
      </c>
      <c r="AJ67" s="28" t="s">
        <v>14</v>
      </c>
      <c r="AV67" s="28" t="s">
        <v>13</v>
      </c>
      <c r="BF67" s="28" t="s">
        <v>82</v>
      </c>
      <c r="BG67" s="28" t="s">
        <v>14</v>
      </c>
      <c r="BJ67" s="28" t="s">
        <v>14</v>
      </c>
      <c r="BK67" s="28" t="s">
        <v>13</v>
      </c>
      <c r="BO67" s="28" t="s">
        <v>14</v>
      </c>
      <c r="BP67" s="28" t="s">
        <v>13</v>
      </c>
    </row>
    <row r="68" spans="14:68" x14ac:dyDescent="0.3">
      <c r="N68" s="5"/>
      <c r="X68" s="28" t="s">
        <v>14</v>
      </c>
      <c r="AB68" s="28" t="s">
        <v>14</v>
      </c>
      <c r="AC68" s="28" t="s">
        <v>13</v>
      </c>
      <c r="AG68" s="28" t="s">
        <v>14</v>
      </c>
      <c r="AH68" s="74" t="s">
        <v>13</v>
      </c>
      <c r="AJ68" s="28" t="s">
        <v>14</v>
      </c>
      <c r="AV68" s="28" t="s">
        <v>13</v>
      </c>
      <c r="BF68" s="73" t="s">
        <v>13</v>
      </c>
      <c r="BG68" s="28" t="s">
        <v>14</v>
      </c>
      <c r="BJ68" s="28" t="s">
        <v>14</v>
      </c>
      <c r="BK68" s="28" t="s">
        <v>13</v>
      </c>
      <c r="BO68" s="28" t="s">
        <v>14</v>
      </c>
      <c r="BP68" s="28" t="s">
        <v>13</v>
      </c>
    </row>
    <row r="69" spans="14:68" x14ac:dyDescent="0.3">
      <c r="N69" s="5"/>
      <c r="X69" s="28" t="s">
        <v>14</v>
      </c>
      <c r="AB69" s="28" t="s">
        <v>14</v>
      </c>
      <c r="AC69" s="28" t="s">
        <v>13</v>
      </c>
      <c r="AG69" s="28" t="s">
        <v>14</v>
      </c>
      <c r="AH69" s="74" t="s">
        <v>13</v>
      </c>
      <c r="AJ69" s="28" t="s">
        <v>14</v>
      </c>
      <c r="AV69" s="28" t="s">
        <v>13</v>
      </c>
      <c r="BF69" s="73" t="s">
        <v>13</v>
      </c>
      <c r="BG69" s="28" t="s">
        <v>14</v>
      </c>
      <c r="BJ69" s="28" t="s">
        <v>14</v>
      </c>
      <c r="BK69" s="28" t="s">
        <v>13</v>
      </c>
      <c r="BO69" s="28" t="s">
        <v>14</v>
      </c>
      <c r="BP69" s="28" t="s">
        <v>13</v>
      </c>
    </row>
    <row r="70" spans="14:68" x14ac:dyDescent="0.3">
      <c r="N70" s="5"/>
      <c r="X70" s="28" t="s">
        <v>14</v>
      </c>
      <c r="AB70" s="28" t="s">
        <v>14</v>
      </c>
      <c r="AC70" s="28" t="s">
        <v>13</v>
      </c>
      <c r="AG70" s="28" t="s">
        <v>14</v>
      </c>
      <c r="AH70" s="74" t="s">
        <v>13</v>
      </c>
      <c r="AJ70" s="28" t="s">
        <v>14</v>
      </c>
      <c r="AV70" s="28" t="s">
        <v>13</v>
      </c>
      <c r="BF70" s="73" t="s">
        <v>13</v>
      </c>
      <c r="BG70" s="28" t="s">
        <v>14</v>
      </c>
      <c r="BJ70" s="28" t="s">
        <v>14</v>
      </c>
      <c r="BK70" s="28" t="s">
        <v>13</v>
      </c>
      <c r="BO70" s="28" t="s">
        <v>14</v>
      </c>
      <c r="BP70" s="28" t="s">
        <v>13</v>
      </c>
    </row>
    <row r="71" spans="14:68" x14ac:dyDescent="0.3">
      <c r="N71" s="5"/>
      <c r="X71" s="28" t="s">
        <v>14</v>
      </c>
      <c r="AB71" s="28" t="s">
        <v>14</v>
      </c>
      <c r="AC71" s="28" t="s">
        <v>13</v>
      </c>
      <c r="AG71" s="28" t="s">
        <v>14</v>
      </c>
      <c r="AH71" s="74" t="s">
        <v>13</v>
      </c>
      <c r="AJ71" s="28" t="s">
        <v>14</v>
      </c>
      <c r="AV71" s="28" t="s">
        <v>13</v>
      </c>
      <c r="BF71" s="73" t="s">
        <v>13</v>
      </c>
      <c r="BG71" s="28" t="s">
        <v>14</v>
      </c>
      <c r="BJ71" s="28" t="s">
        <v>14</v>
      </c>
      <c r="BK71" s="28" t="s">
        <v>13</v>
      </c>
      <c r="BO71" s="28" t="s">
        <v>14</v>
      </c>
      <c r="BP71" s="28" t="s">
        <v>13</v>
      </c>
    </row>
    <row r="72" spans="14:68" x14ac:dyDescent="0.3">
      <c r="N72" s="5"/>
      <c r="X72" s="28" t="s">
        <v>14</v>
      </c>
      <c r="AB72" s="12" t="s">
        <v>83</v>
      </c>
      <c r="AC72" s="28" t="s">
        <v>13</v>
      </c>
      <c r="AG72" s="28" t="s">
        <v>14</v>
      </c>
      <c r="AH72" s="74" t="s">
        <v>13</v>
      </c>
      <c r="AJ72" s="28" t="s">
        <v>14</v>
      </c>
      <c r="AV72" s="28" t="s">
        <v>13</v>
      </c>
      <c r="BF72" s="73" t="s">
        <v>13</v>
      </c>
      <c r="BG72" s="28" t="s">
        <v>14</v>
      </c>
      <c r="BJ72" s="28" t="s">
        <v>14</v>
      </c>
      <c r="BK72" s="28" t="s">
        <v>13</v>
      </c>
      <c r="BO72" s="28" t="s">
        <v>14</v>
      </c>
      <c r="BP72" s="28" t="s">
        <v>13</v>
      </c>
    </row>
    <row r="73" spans="14:68" x14ac:dyDescent="0.3">
      <c r="N73" s="5"/>
      <c r="X73" s="28" t="s">
        <v>14</v>
      </c>
      <c r="AC73" s="28" t="s">
        <v>13</v>
      </c>
      <c r="AG73" s="28" t="s">
        <v>14</v>
      </c>
      <c r="AH73" s="74" t="s">
        <v>13</v>
      </c>
      <c r="AJ73" s="28" t="s">
        <v>14</v>
      </c>
      <c r="AV73" s="28" t="s">
        <v>13</v>
      </c>
      <c r="BF73" s="73" t="s">
        <v>13</v>
      </c>
      <c r="BG73" s="28" t="s">
        <v>14</v>
      </c>
      <c r="BJ73" s="28" t="s">
        <v>14</v>
      </c>
      <c r="BK73" s="28" t="s">
        <v>13</v>
      </c>
      <c r="BO73" s="28" t="s">
        <v>14</v>
      </c>
      <c r="BP73" s="28" t="s">
        <v>13</v>
      </c>
    </row>
    <row r="74" spans="14:68" x14ac:dyDescent="0.3">
      <c r="N74" s="5"/>
      <c r="X74" s="28" t="s">
        <v>14</v>
      </c>
      <c r="AC74" s="28" t="s">
        <v>13</v>
      </c>
      <c r="AG74" s="28" t="s">
        <v>14</v>
      </c>
      <c r="AH74" s="74" t="s">
        <v>13</v>
      </c>
      <c r="AJ74" s="28" t="s">
        <v>14</v>
      </c>
      <c r="AV74" s="28" t="s">
        <v>13</v>
      </c>
      <c r="BF74" s="73" t="s">
        <v>13</v>
      </c>
      <c r="BG74" s="28" t="s">
        <v>14</v>
      </c>
      <c r="BJ74" s="28" t="s">
        <v>14</v>
      </c>
      <c r="BK74" s="28" t="s">
        <v>13</v>
      </c>
      <c r="BO74" s="28" t="s">
        <v>14</v>
      </c>
      <c r="BP74" s="28" t="s">
        <v>13</v>
      </c>
    </row>
    <row r="75" spans="14:68" x14ac:dyDescent="0.3">
      <c r="N75" s="5"/>
      <c r="X75" s="28" t="s">
        <v>14</v>
      </c>
      <c r="AC75" s="28" t="s">
        <v>13</v>
      </c>
      <c r="AG75" s="28" t="s">
        <v>14</v>
      </c>
      <c r="AH75" s="74" t="s">
        <v>13</v>
      </c>
      <c r="AJ75" s="28" t="s">
        <v>14</v>
      </c>
      <c r="AV75" s="28" t="s">
        <v>13</v>
      </c>
      <c r="BF75" s="73" t="s">
        <v>13</v>
      </c>
      <c r="BG75" s="28" t="s">
        <v>14</v>
      </c>
      <c r="BJ75" s="28" t="s">
        <v>14</v>
      </c>
      <c r="BK75" s="28" t="s">
        <v>13</v>
      </c>
      <c r="BO75" s="28" t="s">
        <v>14</v>
      </c>
      <c r="BP75" s="28" t="s">
        <v>13</v>
      </c>
    </row>
    <row r="76" spans="14:68" x14ac:dyDescent="0.3">
      <c r="N76" s="5"/>
      <c r="X76" s="28" t="s">
        <v>14</v>
      </c>
      <c r="AC76" s="28" t="s">
        <v>13</v>
      </c>
      <c r="AG76" s="28" t="s">
        <v>14</v>
      </c>
      <c r="AH76" s="74" t="s">
        <v>13</v>
      </c>
      <c r="AJ76" s="28" t="s">
        <v>14</v>
      </c>
      <c r="AV76" s="28" t="s">
        <v>13</v>
      </c>
      <c r="BF76" s="73" t="s">
        <v>13</v>
      </c>
      <c r="BG76" s="28" t="s">
        <v>14</v>
      </c>
      <c r="BJ76" s="28" t="s">
        <v>14</v>
      </c>
      <c r="BK76" s="28" t="s">
        <v>13</v>
      </c>
      <c r="BO76" s="28" t="s">
        <v>14</v>
      </c>
      <c r="BP76" s="28" t="s">
        <v>13</v>
      </c>
    </row>
    <row r="77" spans="14:68" x14ac:dyDescent="0.3">
      <c r="N77" s="5"/>
      <c r="X77" s="28" t="s">
        <v>14</v>
      </c>
      <c r="AC77" s="28" t="s">
        <v>13</v>
      </c>
      <c r="AG77" s="28" t="s">
        <v>14</v>
      </c>
      <c r="AH77" s="74" t="s">
        <v>13</v>
      </c>
      <c r="AJ77" s="28" t="s">
        <v>14</v>
      </c>
      <c r="AV77" s="28" t="s">
        <v>13</v>
      </c>
      <c r="BF77" s="73" t="s">
        <v>13</v>
      </c>
      <c r="BG77" s="28" t="s">
        <v>14</v>
      </c>
      <c r="BJ77" s="28" t="s">
        <v>14</v>
      </c>
      <c r="BK77" s="28" t="s">
        <v>13</v>
      </c>
      <c r="BO77" s="28" t="s">
        <v>14</v>
      </c>
      <c r="BP77" s="28" t="s">
        <v>13</v>
      </c>
    </row>
    <row r="78" spans="14:68" x14ac:dyDescent="0.3">
      <c r="N78" s="5"/>
      <c r="X78" s="28" t="s">
        <v>14</v>
      </c>
      <c r="AC78" s="28" t="s">
        <v>13</v>
      </c>
      <c r="AG78" s="28" t="s">
        <v>14</v>
      </c>
      <c r="AH78" s="74" t="s">
        <v>13</v>
      </c>
      <c r="AJ78" s="28" t="s">
        <v>14</v>
      </c>
      <c r="AV78" s="28" t="s">
        <v>13</v>
      </c>
      <c r="BF78" s="73" t="s">
        <v>13</v>
      </c>
      <c r="BG78" s="28" t="s">
        <v>14</v>
      </c>
      <c r="BJ78" s="28" t="s">
        <v>14</v>
      </c>
      <c r="BK78" s="28" t="s">
        <v>13</v>
      </c>
      <c r="BO78" s="28" t="s">
        <v>14</v>
      </c>
      <c r="BP78" s="28" t="s">
        <v>13</v>
      </c>
    </row>
    <row r="79" spans="14:68" x14ac:dyDescent="0.3">
      <c r="N79" s="5"/>
      <c r="X79" s="28" t="s">
        <v>14</v>
      </c>
      <c r="AC79" s="28" t="s">
        <v>13</v>
      </c>
      <c r="AG79" s="28" t="s">
        <v>14</v>
      </c>
      <c r="AH79" s="74" t="s">
        <v>13</v>
      </c>
      <c r="AJ79" s="28" t="s">
        <v>14</v>
      </c>
      <c r="AV79" s="28" t="s">
        <v>13</v>
      </c>
      <c r="BF79" s="73" t="s">
        <v>13</v>
      </c>
      <c r="BG79" s="28" t="s">
        <v>14</v>
      </c>
      <c r="BJ79" s="28" t="s">
        <v>14</v>
      </c>
      <c r="BK79" s="28" t="s">
        <v>13</v>
      </c>
      <c r="BO79" s="28" t="s">
        <v>14</v>
      </c>
      <c r="BP79" s="28" t="s">
        <v>13</v>
      </c>
    </row>
    <row r="80" spans="14:68" x14ac:dyDescent="0.3">
      <c r="N80" s="5"/>
      <c r="X80" s="28" t="s">
        <v>14</v>
      </c>
      <c r="AC80" s="28" t="s">
        <v>13</v>
      </c>
      <c r="AG80" s="28" t="s">
        <v>14</v>
      </c>
      <c r="AH80" s="74" t="s">
        <v>13</v>
      </c>
      <c r="AJ80" s="28" t="s">
        <v>14</v>
      </c>
      <c r="AV80" s="28" t="s">
        <v>13</v>
      </c>
      <c r="BF80" s="73" t="s">
        <v>13</v>
      </c>
      <c r="BG80" s="28" t="s">
        <v>14</v>
      </c>
      <c r="BJ80" s="28" t="s">
        <v>14</v>
      </c>
      <c r="BK80" s="28" t="s">
        <v>13</v>
      </c>
      <c r="BO80" s="28" t="s">
        <v>14</v>
      </c>
      <c r="BP80" s="28" t="s">
        <v>13</v>
      </c>
    </row>
    <row r="81" spans="14:68" x14ac:dyDescent="0.3">
      <c r="N81" s="5"/>
      <c r="X81" s="28" t="s">
        <v>14</v>
      </c>
      <c r="AC81" s="28" t="s">
        <v>13</v>
      </c>
      <c r="AG81" s="28" t="s">
        <v>14</v>
      </c>
      <c r="AH81" s="74" t="s">
        <v>13</v>
      </c>
      <c r="AJ81" s="28" t="s">
        <v>14</v>
      </c>
      <c r="AV81" s="28" t="s">
        <v>13</v>
      </c>
      <c r="BF81" s="73" t="s">
        <v>13</v>
      </c>
      <c r="BG81" s="28" t="s">
        <v>14</v>
      </c>
      <c r="BJ81" s="28" t="s">
        <v>14</v>
      </c>
      <c r="BK81" s="28" t="s">
        <v>13</v>
      </c>
      <c r="BO81" s="28" t="s">
        <v>14</v>
      </c>
      <c r="BP81" s="28" t="s">
        <v>13</v>
      </c>
    </row>
    <row r="82" spans="14:68" x14ac:dyDescent="0.3">
      <c r="N82" s="5"/>
      <c r="X82" s="28" t="s">
        <v>14</v>
      </c>
      <c r="AC82" s="28" t="s">
        <v>13</v>
      </c>
      <c r="AG82" s="28" t="s">
        <v>14</v>
      </c>
      <c r="AH82" s="74" t="s">
        <v>13</v>
      </c>
      <c r="AJ82" s="28" t="s">
        <v>14</v>
      </c>
      <c r="AV82" s="28" t="s">
        <v>13</v>
      </c>
      <c r="BF82" s="73" t="s">
        <v>13</v>
      </c>
      <c r="BG82" s="28" t="s">
        <v>14</v>
      </c>
      <c r="BJ82" s="28" t="s">
        <v>14</v>
      </c>
      <c r="BK82" s="28" t="s">
        <v>13</v>
      </c>
      <c r="BO82" s="28" t="s">
        <v>14</v>
      </c>
      <c r="BP82" s="28" t="s">
        <v>13</v>
      </c>
    </row>
    <row r="83" spans="14:68" x14ac:dyDescent="0.3">
      <c r="N83" s="5"/>
      <c r="X83" s="28" t="s">
        <v>14</v>
      </c>
      <c r="AC83" s="28" t="s">
        <v>13</v>
      </c>
      <c r="AG83" s="28" t="s">
        <v>14</v>
      </c>
      <c r="AH83" s="74" t="s">
        <v>13</v>
      </c>
      <c r="AJ83" s="28" t="s">
        <v>14</v>
      </c>
      <c r="AV83" s="28" t="s">
        <v>13</v>
      </c>
      <c r="BF83" s="73" t="s">
        <v>13</v>
      </c>
      <c r="BG83" s="28" t="s">
        <v>14</v>
      </c>
      <c r="BJ83" s="28" t="s">
        <v>14</v>
      </c>
      <c r="BK83" s="28" t="s">
        <v>13</v>
      </c>
      <c r="BO83" s="28" t="s">
        <v>14</v>
      </c>
      <c r="BP83" s="28" t="s">
        <v>13</v>
      </c>
    </row>
    <row r="84" spans="14:68" x14ac:dyDescent="0.3">
      <c r="N84" s="5"/>
      <c r="X84" s="28" t="s">
        <v>14</v>
      </c>
      <c r="AC84" s="28" t="s">
        <v>13</v>
      </c>
      <c r="AG84" s="28" t="s">
        <v>14</v>
      </c>
      <c r="AH84" s="74" t="s">
        <v>13</v>
      </c>
      <c r="AJ84" s="12" t="s">
        <v>83</v>
      </c>
      <c r="AV84" s="28" t="s">
        <v>13</v>
      </c>
      <c r="BF84" s="73" t="s">
        <v>13</v>
      </c>
      <c r="BG84" s="28" t="s">
        <v>14</v>
      </c>
      <c r="BJ84" s="28" t="s">
        <v>14</v>
      </c>
      <c r="BK84" s="28" t="s">
        <v>13</v>
      </c>
      <c r="BO84" s="28" t="s">
        <v>14</v>
      </c>
      <c r="BP84" s="28" t="s">
        <v>79</v>
      </c>
    </row>
    <row r="85" spans="14:68" x14ac:dyDescent="0.3">
      <c r="N85" s="5"/>
      <c r="X85" s="28" t="s">
        <v>14</v>
      </c>
      <c r="AC85" s="28" t="s">
        <v>13</v>
      </c>
      <c r="AG85" s="28" t="s">
        <v>14</v>
      </c>
      <c r="AH85" s="74" t="s">
        <v>13</v>
      </c>
      <c r="AV85" s="28" t="s">
        <v>13</v>
      </c>
      <c r="BF85" s="28" t="s">
        <v>82</v>
      </c>
      <c r="BG85" s="12" t="s">
        <v>83</v>
      </c>
      <c r="BJ85" s="28" t="s">
        <v>14</v>
      </c>
      <c r="BK85" s="28" t="s">
        <v>82</v>
      </c>
      <c r="BO85" s="28" t="s">
        <v>14</v>
      </c>
    </row>
    <row r="86" spans="14:68" x14ac:dyDescent="0.3">
      <c r="N86" s="5"/>
      <c r="X86" s="28" t="s">
        <v>14</v>
      </c>
      <c r="AC86" s="28" t="s">
        <v>13</v>
      </c>
      <c r="AG86" s="28" t="s">
        <v>14</v>
      </c>
      <c r="AH86" s="74" t="s">
        <v>13</v>
      </c>
      <c r="AV86" s="28" t="s">
        <v>13</v>
      </c>
      <c r="BJ86" s="28" t="s">
        <v>14</v>
      </c>
      <c r="BK86" s="28"/>
      <c r="BO86" s="28" t="s">
        <v>14</v>
      </c>
    </row>
    <row r="87" spans="14:68" x14ac:dyDescent="0.3">
      <c r="N87" s="5"/>
      <c r="X87" s="28" t="s">
        <v>14</v>
      </c>
      <c r="AC87" s="28" t="s">
        <v>13</v>
      </c>
      <c r="AG87" s="28" t="s">
        <v>14</v>
      </c>
      <c r="AH87" s="74" t="s">
        <v>13</v>
      </c>
      <c r="AV87" s="28" t="s">
        <v>82</v>
      </c>
      <c r="BJ87" s="12" t="s">
        <v>83</v>
      </c>
      <c r="BK87" s="28"/>
      <c r="BO87" s="28" t="s">
        <v>14</v>
      </c>
    </row>
    <row r="88" spans="14:68" x14ac:dyDescent="0.3">
      <c r="N88" s="5"/>
      <c r="X88" s="28" t="s">
        <v>14</v>
      </c>
      <c r="AC88" s="28" t="s">
        <v>13</v>
      </c>
      <c r="AG88" s="28" t="s">
        <v>14</v>
      </c>
      <c r="AH88" s="28" t="s">
        <v>82</v>
      </c>
      <c r="BK88" s="28"/>
      <c r="BO88" s="28" t="s">
        <v>14</v>
      </c>
    </row>
    <row r="89" spans="14:68" x14ac:dyDescent="0.3">
      <c r="N89" s="5"/>
      <c r="X89" s="28" t="s">
        <v>14</v>
      </c>
      <c r="AC89" s="28" t="s">
        <v>13</v>
      </c>
      <c r="AG89" s="12" t="s">
        <v>83</v>
      </c>
      <c r="BO89" s="28" t="s">
        <v>79</v>
      </c>
    </row>
    <row r="90" spans="14:68" x14ac:dyDescent="0.3">
      <c r="N90" s="5"/>
      <c r="X90" s="28" t="s">
        <v>14</v>
      </c>
      <c r="AC90" s="28" t="s">
        <v>13</v>
      </c>
    </row>
    <row r="91" spans="14:68" x14ac:dyDescent="0.3">
      <c r="N91" s="5"/>
      <c r="X91" s="28" t="s">
        <v>14</v>
      </c>
      <c r="AC91" s="28" t="s">
        <v>82</v>
      </c>
    </row>
    <row r="92" spans="14:68" x14ac:dyDescent="0.3">
      <c r="N92" s="5"/>
      <c r="X92" s="28" t="s">
        <v>14</v>
      </c>
    </row>
    <row r="93" spans="14:68" x14ac:dyDescent="0.3">
      <c r="N93" s="5"/>
      <c r="X93" s="28" t="s">
        <v>14</v>
      </c>
    </row>
    <row r="94" spans="14:68" x14ac:dyDescent="0.3">
      <c r="N94" s="5"/>
      <c r="X94" s="28" t="s">
        <v>14</v>
      </c>
    </row>
    <row r="95" spans="14:68" x14ac:dyDescent="0.3">
      <c r="N95" s="5"/>
      <c r="X95" s="28" t="s">
        <v>14</v>
      </c>
    </row>
    <row r="96" spans="14:68" x14ac:dyDescent="0.3">
      <c r="X96" s="28" t="s">
        <v>14</v>
      </c>
    </row>
    <row r="97" spans="24:24" x14ac:dyDescent="0.3">
      <c r="X97" s="12" t="s">
        <v>83</v>
      </c>
    </row>
  </sheetData>
  <mergeCells count="2">
    <mergeCell ref="O1:S1"/>
    <mergeCell ref="T1:BQ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6EF7-6B3F-4964-A331-BCE1EA75B753}">
  <dimension ref="A1:BR108"/>
  <sheetViews>
    <sheetView zoomScale="70" zoomScaleNormal="70" workbookViewId="0">
      <selection activeCell="J14" sqref="J14"/>
    </sheetView>
  </sheetViews>
  <sheetFormatPr defaultRowHeight="14.4" x14ac:dyDescent="0.3"/>
  <cols>
    <col min="1" max="2" width="8.88671875" style="1"/>
    <col min="3" max="3" width="12.88671875" style="1" bestFit="1" customWidth="1"/>
    <col min="4" max="4" width="13.33203125" style="1" bestFit="1" customWidth="1"/>
    <col min="5" max="5" width="20.5546875" style="1" bestFit="1" customWidth="1"/>
    <col min="6" max="14" width="8.88671875" style="1"/>
    <col min="15" max="15" width="5.5546875" style="1" bestFit="1" customWidth="1"/>
    <col min="16" max="16384" width="8.88671875" style="1"/>
  </cols>
  <sheetData>
    <row r="1" spans="1:70" x14ac:dyDescent="0.3">
      <c r="A1" s="93" t="s">
        <v>28</v>
      </c>
      <c r="B1" s="94" t="s">
        <v>33</v>
      </c>
      <c r="C1" s="93" t="s">
        <v>1</v>
      </c>
      <c r="D1" s="93" t="s">
        <v>23</v>
      </c>
      <c r="E1" s="93" t="s">
        <v>24</v>
      </c>
      <c r="F1" s="57" t="s">
        <v>25</v>
      </c>
      <c r="G1" s="57"/>
      <c r="H1" s="56" t="s">
        <v>15</v>
      </c>
      <c r="I1" s="29"/>
      <c r="J1" s="29"/>
      <c r="K1" s="29"/>
      <c r="L1" s="29"/>
      <c r="M1" s="29"/>
      <c r="N1" s="29"/>
      <c r="O1" s="36"/>
      <c r="P1" s="89" t="s">
        <v>16</v>
      </c>
      <c r="Q1" s="89"/>
      <c r="R1" s="89"/>
      <c r="S1" s="89"/>
      <c r="T1" s="89"/>
      <c r="U1" s="92" t="s">
        <v>12</v>
      </c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</row>
    <row r="2" spans="1:70" x14ac:dyDescent="0.3">
      <c r="A2" s="93"/>
      <c r="B2" s="94"/>
      <c r="C2" s="93"/>
      <c r="D2" s="93"/>
      <c r="E2" s="93"/>
      <c r="F2" s="57"/>
      <c r="G2" s="57"/>
      <c r="H2" s="24" t="s">
        <v>9</v>
      </c>
      <c r="I2" s="25" t="s">
        <v>5</v>
      </c>
      <c r="J2" s="16" t="s">
        <v>8</v>
      </c>
      <c r="K2" s="17" t="s">
        <v>10</v>
      </c>
      <c r="L2" s="18" t="s">
        <v>11</v>
      </c>
      <c r="M2" s="82" t="s">
        <v>13</v>
      </c>
      <c r="N2" s="83" t="s">
        <v>14</v>
      </c>
      <c r="O2" s="36"/>
      <c r="P2" s="24" t="s">
        <v>9</v>
      </c>
      <c r="Q2" s="25" t="s">
        <v>5</v>
      </c>
      <c r="R2" s="16" t="s">
        <v>8</v>
      </c>
      <c r="S2" s="17" t="s">
        <v>10</v>
      </c>
      <c r="T2" s="18" t="s">
        <v>11</v>
      </c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</row>
    <row r="3" spans="1:70" x14ac:dyDescent="0.3">
      <c r="A3" s="93">
        <v>162</v>
      </c>
      <c r="B3" s="93">
        <v>1</v>
      </c>
      <c r="C3" s="26">
        <v>44723.4375</v>
      </c>
      <c r="D3" s="37">
        <v>0</v>
      </c>
      <c r="E3" s="38">
        <v>0</v>
      </c>
      <c r="F3" s="5">
        <v>0</v>
      </c>
      <c r="G3" s="5">
        <f>$F3/25</f>
        <v>0</v>
      </c>
      <c r="H3" s="1">
        <f>COUNTIF($U3:$BR3, "E")</f>
        <v>50</v>
      </c>
      <c r="I3" s="1">
        <f>COUNTIF($U3:$BR3, "L1")</f>
        <v>0</v>
      </c>
      <c r="J3" s="1">
        <f>COUNTIF($U3:$BR3, "L2")</f>
        <v>0</v>
      </c>
      <c r="K3" s="1">
        <f>COUNTIF($U3:$BR3, "L3")</f>
        <v>0</v>
      </c>
      <c r="L3" s="1">
        <f>COUNTIF($U3:$BR3, "P")</f>
        <v>0</v>
      </c>
      <c r="M3" s="1">
        <f t="shared" ref="M3:M36" si="0">COUNTIF($U3:$BR3, "AM")</f>
        <v>0</v>
      </c>
      <c r="N3" s="1">
        <f t="shared" ref="N3:N36" si="1">COUNTIF($U3:$BR3, "AF")</f>
        <v>0</v>
      </c>
      <c r="P3" s="1">
        <f>COUNTIF($U3:$BR3, "E_D")</f>
        <v>0</v>
      </c>
      <c r="Q3" s="1">
        <f>COUNTIF($U3:$BR3, "L1_D")</f>
        <v>0</v>
      </c>
      <c r="R3" s="1">
        <f>COUNTIF($U3:$BR3, "L2_D")</f>
        <v>0</v>
      </c>
      <c r="S3" s="1">
        <f>COUNTIF($U3:$BR3, "L3_D")</f>
        <v>0</v>
      </c>
      <c r="T3" s="1">
        <f>COUNTIF($U3:$BR3, "P_D")</f>
        <v>0</v>
      </c>
      <c r="U3" s="28" t="s">
        <v>4</v>
      </c>
      <c r="V3" s="28" t="s">
        <v>4</v>
      </c>
      <c r="W3" s="28" t="s">
        <v>4</v>
      </c>
      <c r="X3" s="28" t="s">
        <v>4</v>
      </c>
      <c r="Y3" s="28" t="s">
        <v>4</v>
      </c>
      <c r="Z3" s="28" t="s">
        <v>4</v>
      </c>
      <c r="AA3" s="28" t="s">
        <v>4</v>
      </c>
      <c r="AB3" s="28" t="s">
        <v>4</v>
      </c>
      <c r="AC3" s="28" t="s">
        <v>4</v>
      </c>
      <c r="AD3" s="28" t="s">
        <v>4</v>
      </c>
      <c r="AE3" s="28" t="s">
        <v>4</v>
      </c>
      <c r="AF3" s="28" t="s">
        <v>4</v>
      </c>
      <c r="AG3" s="28" t="s">
        <v>4</v>
      </c>
      <c r="AH3" s="28" t="s">
        <v>4</v>
      </c>
      <c r="AI3" s="28" t="s">
        <v>4</v>
      </c>
      <c r="AJ3" s="28" t="s">
        <v>4</v>
      </c>
      <c r="AK3" s="28" t="s">
        <v>4</v>
      </c>
      <c r="AL3" s="28" t="s">
        <v>4</v>
      </c>
      <c r="AM3" s="28" t="s">
        <v>4</v>
      </c>
      <c r="AN3" s="28" t="s">
        <v>4</v>
      </c>
      <c r="AO3" s="28" t="s">
        <v>4</v>
      </c>
      <c r="AP3" s="28" t="s">
        <v>4</v>
      </c>
      <c r="AQ3" s="28" t="s">
        <v>4</v>
      </c>
      <c r="AR3" s="28" t="s">
        <v>4</v>
      </c>
      <c r="AS3" s="28" t="s">
        <v>4</v>
      </c>
      <c r="AT3" s="28" t="s">
        <v>4</v>
      </c>
      <c r="AU3" s="28" t="s">
        <v>4</v>
      </c>
      <c r="AV3" s="28" t="s">
        <v>4</v>
      </c>
      <c r="AW3" s="28" t="s">
        <v>4</v>
      </c>
      <c r="AX3" s="28" t="s">
        <v>4</v>
      </c>
      <c r="AY3" s="28" t="s">
        <v>4</v>
      </c>
      <c r="AZ3" s="28" t="s">
        <v>4</v>
      </c>
      <c r="BA3" s="28" t="s">
        <v>4</v>
      </c>
      <c r="BB3" s="28" t="s">
        <v>4</v>
      </c>
      <c r="BC3" s="28" t="s">
        <v>4</v>
      </c>
      <c r="BD3" s="28" t="s">
        <v>4</v>
      </c>
      <c r="BE3" s="28" t="s">
        <v>4</v>
      </c>
      <c r="BF3" s="28" t="s">
        <v>4</v>
      </c>
      <c r="BG3" s="28" t="s">
        <v>4</v>
      </c>
      <c r="BH3" s="28" t="s">
        <v>4</v>
      </c>
      <c r="BI3" s="28" t="s">
        <v>4</v>
      </c>
      <c r="BJ3" s="28" t="s">
        <v>4</v>
      </c>
      <c r="BK3" s="28" t="s">
        <v>4</v>
      </c>
      <c r="BL3" s="28" t="s">
        <v>4</v>
      </c>
      <c r="BM3" s="28" t="s">
        <v>4</v>
      </c>
      <c r="BN3" s="28" t="s">
        <v>4</v>
      </c>
      <c r="BO3" s="28" t="s">
        <v>4</v>
      </c>
      <c r="BP3" s="28" t="s">
        <v>4</v>
      </c>
      <c r="BQ3" s="28" t="s">
        <v>4</v>
      </c>
      <c r="BR3" s="28" t="s">
        <v>4</v>
      </c>
    </row>
    <row r="4" spans="1:70" x14ac:dyDescent="0.3">
      <c r="A4" s="93"/>
      <c r="B4" s="93"/>
      <c r="C4" s="26">
        <v>44723.6875</v>
      </c>
      <c r="D4" s="37">
        <f>(C4-C3)</f>
        <v>0.25</v>
      </c>
      <c r="E4" s="38">
        <f>E3+D4</f>
        <v>0.25</v>
      </c>
      <c r="F4" s="5">
        <f>F3+D4</f>
        <v>0.25</v>
      </c>
      <c r="G4" s="5">
        <v>0.33333333333333331</v>
      </c>
      <c r="H4" s="1">
        <f t="shared" ref="H4:H36" si="2">COUNTIF($U4:$BR4, "E")</f>
        <v>40</v>
      </c>
      <c r="I4" s="1">
        <f t="shared" ref="I4:I36" si="3">COUNTIF($U4:$BR4, "L1")</f>
        <v>10</v>
      </c>
      <c r="J4" s="1">
        <f t="shared" ref="J4:J36" si="4">COUNTIF($U4:$BR4, "L2")</f>
        <v>0</v>
      </c>
      <c r="K4" s="1">
        <f t="shared" ref="K4:K36" si="5">COUNTIF($U4:$BR4, "L3")</f>
        <v>0</v>
      </c>
      <c r="L4" s="1">
        <f t="shared" ref="L4:L36" si="6">COUNTIF($U4:$BR4, "P")</f>
        <v>0</v>
      </c>
      <c r="M4" s="1">
        <f t="shared" si="0"/>
        <v>0</v>
      </c>
      <c r="N4" s="1">
        <f t="shared" si="1"/>
        <v>0</v>
      </c>
      <c r="P4" s="1">
        <f t="shared" ref="P4:P36" si="7">COUNTIF($U4:$BR4, "E_D")</f>
        <v>0</v>
      </c>
      <c r="Q4" s="1">
        <f t="shared" ref="Q4:Q36" si="8">COUNTIF($U4:$BR4, "L1_D")</f>
        <v>0</v>
      </c>
      <c r="R4" s="1">
        <f t="shared" ref="R4:R36" si="9">COUNTIF($U4:$BR4, "L2_D")</f>
        <v>0</v>
      </c>
      <c r="S4" s="1">
        <f t="shared" ref="S4:S36" si="10">COUNTIF($U4:$BR4, "L3_D")</f>
        <v>0</v>
      </c>
      <c r="T4" s="1">
        <f t="shared" ref="T4:T36" si="11">COUNTIF($U4:$BR4, "P_D")</f>
        <v>0</v>
      </c>
      <c r="U4" s="28" t="s">
        <v>4</v>
      </c>
      <c r="V4" s="28" t="s">
        <v>4</v>
      </c>
      <c r="W4" s="28" t="s">
        <v>4</v>
      </c>
      <c r="X4" s="28" t="s">
        <v>4</v>
      </c>
      <c r="Y4" s="28" t="s">
        <v>5</v>
      </c>
      <c r="Z4" s="28" t="s">
        <v>4</v>
      </c>
      <c r="AA4" s="28" t="s">
        <v>4</v>
      </c>
      <c r="AB4" s="28" t="s">
        <v>4</v>
      </c>
      <c r="AC4" s="28" t="s">
        <v>5</v>
      </c>
      <c r="AD4" s="28" t="s">
        <v>5</v>
      </c>
      <c r="AE4" s="28" t="s">
        <v>4</v>
      </c>
      <c r="AF4" s="28" t="s">
        <v>4</v>
      </c>
      <c r="AG4" s="28" t="s">
        <v>4</v>
      </c>
      <c r="AH4" s="28" t="s">
        <v>4</v>
      </c>
      <c r="AI4" s="28" t="s">
        <v>4</v>
      </c>
      <c r="AJ4" s="28" t="s">
        <v>4</v>
      </c>
      <c r="AK4" s="28" t="s">
        <v>4</v>
      </c>
      <c r="AL4" s="28" t="s">
        <v>4</v>
      </c>
      <c r="AM4" s="28" t="s">
        <v>4</v>
      </c>
      <c r="AN4" s="28" t="s">
        <v>5</v>
      </c>
      <c r="AO4" s="28" t="s">
        <v>4</v>
      </c>
      <c r="AP4" s="28" t="s">
        <v>4</v>
      </c>
      <c r="AQ4" s="28" t="s">
        <v>4</v>
      </c>
      <c r="AR4" s="28" t="s">
        <v>5</v>
      </c>
      <c r="AS4" s="28" t="s">
        <v>5</v>
      </c>
      <c r="AT4" s="28" t="s">
        <v>4</v>
      </c>
      <c r="AU4" s="28" t="s">
        <v>4</v>
      </c>
      <c r="AV4" s="28" t="s">
        <v>4</v>
      </c>
      <c r="AW4" s="28" t="s">
        <v>5</v>
      </c>
      <c r="AX4" s="28" t="s">
        <v>5</v>
      </c>
      <c r="AY4" s="28" t="s">
        <v>4</v>
      </c>
      <c r="AZ4" s="28" t="s">
        <v>4</v>
      </c>
      <c r="BA4" s="28" t="s">
        <v>4</v>
      </c>
      <c r="BB4" s="28" t="s">
        <v>5</v>
      </c>
      <c r="BC4" s="28" t="s">
        <v>5</v>
      </c>
      <c r="BD4" s="28" t="s">
        <v>4</v>
      </c>
      <c r="BE4" s="28" t="s">
        <v>4</v>
      </c>
      <c r="BF4" s="28" t="s">
        <v>4</v>
      </c>
      <c r="BG4" s="28" t="s">
        <v>4</v>
      </c>
      <c r="BH4" s="28" t="s">
        <v>4</v>
      </c>
      <c r="BI4" s="28" t="s">
        <v>4</v>
      </c>
      <c r="BJ4" s="28" t="s">
        <v>4</v>
      </c>
      <c r="BK4" s="28" t="s">
        <v>4</v>
      </c>
      <c r="BL4" s="28" t="s">
        <v>4</v>
      </c>
      <c r="BM4" s="28" t="s">
        <v>4</v>
      </c>
      <c r="BN4" s="28" t="s">
        <v>4</v>
      </c>
      <c r="BO4" s="28" t="s">
        <v>4</v>
      </c>
      <c r="BP4" s="28" t="s">
        <v>4</v>
      </c>
      <c r="BQ4" s="28" t="s">
        <v>4</v>
      </c>
      <c r="BR4" s="28" t="s">
        <v>4</v>
      </c>
    </row>
    <row r="5" spans="1:70" x14ac:dyDescent="0.3">
      <c r="A5" s="93"/>
      <c r="B5" s="93"/>
      <c r="C5" s="26">
        <v>44723.9375</v>
      </c>
      <c r="D5" s="37">
        <f t="shared" ref="D5:D36" si="12">(C5-C4)</f>
        <v>0.25</v>
      </c>
      <c r="E5" s="38">
        <f t="shared" ref="E5:E36" si="13">E4+D5</f>
        <v>0.5</v>
      </c>
      <c r="F5" s="5">
        <f t="shared" ref="F5:F36" si="14">F4+D5</f>
        <v>0.5</v>
      </c>
      <c r="G5" s="5">
        <f t="shared" ref="G5:G36" si="15">$F5/25</f>
        <v>0.02</v>
      </c>
      <c r="H5" s="1">
        <f t="shared" si="2"/>
        <v>34</v>
      </c>
      <c r="I5" s="1">
        <f t="shared" si="3"/>
        <v>16</v>
      </c>
      <c r="J5" s="1">
        <f t="shared" si="4"/>
        <v>0</v>
      </c>
      <c r="K5" s="1">
        <f t="shared" si="5"/>
        <v>0</v>
      </c>
      <c r="L5" s="1">
        <f t="shared" si="6"/>
        <v>0</v>
      </c>
      <c r="M5" s="1">
        <f t="shared" si="0"/>
        <v>0</v>
      </c>
      <c r="N5" s="1">
        <f t="shared" si="1"/>
        <v>0</v>
      </c>
      <c r="P5" s="1">
        <f t="shared" si="7"/>
        <v>0</v>
      </c>
      <c r="Q5" s="1">
        <f t="shared" si="8"/>
        <v>0</v>
      </c>
      <c r="R5" s="1">
        <f t="shared" si="9"/>
        <v>0</v>
      </c>
      <c r="S5" s="1">
        <f t="shared" si="10"/>
        <v>0</v>
      </c>
      <c r="T5" s="1">
        <f t="shared" si="11"/>
        <v>0</v>
      </c>
      <c r="U5" s="28" t="s">
        <v>4</v>
      </c>
      <c r="V5" s="28" t="s">
        <v>4</v>
      </c>
      <c r="W5" s="28" t="s">
        <v>4</v>
      </c>
      <c r="X5" s="28" t="s">
        <v>4</v>
      </c>
      <c r="Y5" s="28" t="s">
        <v>5</v>
      </c>
      <c r="Z5" s="28" t="s">
        <v>4</v>
      </c>
      <c r="AA5" s="28" t="s">
        <v>4</v>
      </c>
      <c r="AB5" s="28" t="s">
        <v>4</v>
      </c>
      <c r="AC5" s="28" t="s">
        <v>5</v>
      </c>
      <c r="AD5" s="28" t="s">
        <v>5</v>
      </c>
      <c r="AE5" s="28" t="s">
        <v>4</v>
      </c>
      <c r="AF5" s="28" t="s">
        <v>4</v>
      </c>
      <c r="AG5" s="28" t="s">
        <v>4</v>
      </c>
      <c r="AH5" s="28" t="s">
        <v>5</v>
      </c>
      <c r="AI5" s="28" t="s">
        <v>5</v>
      </c>
      <c r="AJ5" s="28" t="s">
        <v>4</v>
      </c>
      <c r="AK5" s="28" t="s">
        <v>4</v>
      </c>
      <c r="AL5" s="28" t="s">
        <v>4</v>
      </c>
      <c r="AM5" s="28" t="s">
        <v>4</v>
      </c>
      <c r="AN5" s="28" t="s">
        <v>5</v>
      </c>
      <c r="AO5" s="28" t="s">
        <v>4</v>
      </c>
      <c r="AP5" s="28" t="s">
        <v>4</v>
      </c>
      <c r="AQ5" s="28" t="s">
        <v>5</v>
      </c>
      <c r="AR5" s="28" t="s">
        <v>5</v>
      </c>
      <c r="AS5" s="28" t="s">
        <v>5</v>
      </c>
      <c r="AT5" s="28" t="s">
        <v>4</v>
      </c>
      <c r="AU5" s="28" t="s">
        <v>4</v>
      </c>
      <c r="AV5" s="28" t="s">
        <v>4</v>
      </c>
      <c r="AW5" s="28" t="s">
        <v>5</v>
      </c>
      <c r="AX5" s="28" t="s">
        <v>5</v>
      </c>
      <c r="AY5" s="28" t="s">
        <v>4</v>
      </c>
      <c r="AZ5" s="28" t="s">
        <v>4</v>
      </c>
      <c r="BA5" s="28" t="s">
        <v>5</v>
      </c>
      <c r="BB5" s="28" t="s">
        <v>5</v>
      </c>
      <c r="BC5" s="28" t="s">
        <v>5</v>
      </c>
      <c r="BD5" s="28" t="s">
        <v>4</v>
      </c>
      <c r="BE5" s="28" t="s">
        <v>4</v>
      </c>
      <c r="BF5" s="28" t="s">
        <v>4</v>
      </c>
      <c r="BG5" s="28" t="s">
        <v>4</v>
      </c>
      <c r="BH5" s="28" t="s">
        <v>5</v>
      </c>
      <c r="BI5" s="28" t="s">
        <v>4</v>
      </c>
      <c r="BJ5" s="28" t="s">
        <v>4</v>
      </c>
      <c r="BK5" s="28" t="s">
        <v>4</v>
      </c>
      <c r="BL5" s="28" t="s">
        <v>4</v>
      </c>
      <c r="BM5" s="28" t="s">
        <v>5</v>
      </c>
      <c r="BN5" s="28" t="s">
        <v>4</v>
      </c>
      <c r="BO5" s="28" t="s">
        <v>4</v>
      </c>
      <c r="BP5" s="28" t="s">
        <v>4</v>
      </c>
      <c r="BQ5" s="28" t="s">
        <v>4</v>
      </c>
      <c r="BR5" s="28" t="s">
        <v>4</v>
      </c>
    </row>
    <row r="6" spans="1:70" x14ac:dyDescent="0.3">
      <c r="A6" s="93">
        <f>A3+1</f>
        <v>163</v>
      </c>
      <c r="B6" s="93">
        <f>B3+1</f>
        <v>2</v>
      </c>
      <c r="C6" s="26">
        <v>44724.4375</v>
      </c>
      <c r="D6" s="37">
        <f t="shared" si="12"/>
        <v>0.5</v>
      </c>
      <c r="E6" s="38">
        <f t="shared" si="13"/>
        <v>1</v>
      </c>
      <c r="F6" s="5">
        <f t="shared" si="14"/>
        <v>1</v>
      </c>
      <c r="G6" s="5">
        <f t="shared" si="15"/>
        <v>0.04</v>
      </c>
      <c r="H6" s="1">
        <f t="shared" si="2"/>
        <v>28</v>
      </c>
      <c r="I6" s="1">
        <f t="shared" si="3"/>
        <v>22</v>
      </c>
      <c r="J6" s="1">
        <f t="shared" si="4"/>
        <v>0</v>
      </c>
      <c r="K6" s="1">
        <f t="shared" si="5"/>
        <v>0</v>
      </c>
      <c r="L6" s="1">
        <f t="shared" si="6"/>
        <v>0</v>
      </c>
      <c r="M6" s="1">
        <f t="shared" si="0"/>
        <v>0</v>
      </c>
      <c r="N6" s="1">
        <f t="shared" si="1"/>
        <v>0</v>
      </c>
      <c r="P6" s="1">
        <f t="shared" si="7"/>
        <v>0</v>
      </c>
      <c r="Q6" s="1">
        <f t="shared" si="8"/>
        <v>0</v>
      </c>
      <c r="R6" s="1">
        <f t="shared" si="9"/>
        <v>0</v>
      </c>
      <c r="S6" s="1">
        <f t="shared" si="10"/>
        <v>0</v>
      </c>
      <c r="T6" s="1">
        <f t="shared" si="11"/>
        <v>0</v>
      </c>
      <c r="U6" s="28" t="s">
        <v>4</v>
      </c>
      <c r="V6" s="28" t="s">
        <v>4</v>
      </c>
      <c r="W6" s="28" t="s">
        <v>4</v>
      </c>
      <c r="X6" s="28" t="s">
        <v>5</v>
      </c>
      <c r="Y6" s="28" t="s">
        <v>5</v>
      </c>
      <c r="Z6" s="28" t="s">
        <v>4</v>
      </c>
      <c r="AA6" s="28" t="s">
        <v>4</v>
      </c>
      <c r="AB6" s="28" t="s">
        <v>4</v>
      </c>
      <c r="AC6" s="28" t="s">
        <v>5</v>
      </c>
      <c r="AD6" s="28" t="s">
        <v>5</v>
      </c>
      <c r="AE6" s="28" t="s">
        <v>4</v>
      </c>
      <c r="AF6" s="28" t="s">
        <v>4</v>
      </c>
      <c r="AG6" s="28" t="s">
        <v>4</v>
      </c>
      <c r="AH6" s="28" t="s">
        <v>5</v>
      </c>
      <c r="AI6" s="28" t="s">
        <v>5</v>
      </c>
      <c r="AJ6" s="28" t="s">
        <v>4</v>
      </c>
      <c r="AK6" s="28" t="s">
        <v>4</v>
      </c>
      <c r="AL6" s="28" t="s">
        <v>4</v>
      </c>
      <c r="AM6" s="28" t="s">
        <v>4</v>
      </c>
      <c r="AN6" s="28" t="s">
        <v>5</v>
      </c>
      <c r="AO6" s="28" t="s">
        <v>4</v>
      </c>
      <c r="AP6" s="28" t="s">
        <v>4</v>
      </c>
      <c r="AQ6" s="28" t="s">
        <v>5</v>
      </c>
      <c r="AR6" s="28" t="s">
        <v>5</v>
      </c>
      <c r="AS6" s="28" t="s">
        <v>5</v>
      </c>
      <c r="AT6" s="28" t="s">
        <v>4</v>
      </c>
      <c r="AU6" s="28" t="s">
        <v>4</v>
      </c>
      <c r="AV6" s="28" t="s">
        <v>4</v>
      </c>
      <c r="AW6" s="28" t="s">
        <v>5</v>
      </c>
      <c r="AX6" s="28" t="s">
        <v>5</v>
      </c>
      <c r="AY6" s="28" t="s">
        <v>4</v>
      </c>
      <c r="AZ6" s="28" t="s">
        <v>4</v>
      </c>
      <c r="BA6" s="28" t="s">
        <v>5</v>
      </c>
      <c r="BB6" s="28" t="s">
        <v>5</v>
      </c>
      <c r="BC6" s="28" t="s">
        <v>5</v>
      </c>
      <c r="BD6" s="28" t="s">
        <v>4</v>
      </c>
      <c r="BE6" s="28" t="s">
        <v>4</v>
      </c>
      <c r="BF6" s="28" t="s">
        <v>4</v>
      </c>
      <c r="BG6" s="28" t="s">
        <v>5</v>
      </c>
      <c r="BH6" s="28" t="s">
        <v>5</v>
      </c>
      <c r="BI6" s="28" t="s">
        <v>4</v>
      </c>
      <c r="BJ6" s="28" t="s">
        <v>4</v>
      </c>
      <c r="BK6" s="28" t="s">
        <v>5</v>
      </c>
      <c r="BL6" s="28" t="s">
        <v>5</v>
      </c>
      <c r="BM6" s="28" t="s">
        <v>5</v>
      </c>
      <c r="BN6" s="28" t="s">
        <v>4</v>
      </c>
      <c r="BO6" s="28" t="s">
        <v>4</v>
      </c>
      <c r="BP6" s="28" t="s">
        <v>4</v>
      </c>
      <c r="BQ6" s="28" t="s">
        <v>5</v>
      </c>
      <c r="BR6" s="28" t="s">
        <v>5</v>
      </c>
    </row>
    <row r="7" spans="1:70" x14ac:dyDescent="0.3">
      <c r="A7" s="93"/>
      <c r="B7" s="93"/>
      <c r="C7" s="26">
        <v>44724.729166666664</v>
      </c>
      <c r="D7" s="37">
        <f>(C7-C6)</f>
        <v>0.29166666666424135</v>
      </c>
      <c r="E7" s="38">
        <f t="shared" si="13"/>
        <v>1.2916666666642413</v>
      </c>
      <c r="F7" s="5">
        <f t="shared" si="14"/>
        <v>1.2916666666642413</v>
      </c>
      <c r="G7" s="5">
        <f t="shared" si="15"/>
        <v>5.1666666666569654E-2</v>
      </c>
      <c r="H7" s="1">
        <f t="shared" si="2"/>
        <v>28</v>
      </c>
      <c r="I7" s="1">
        <f t="shared" si="3"/>
        <v>19</v>
      </c>
      <c r="J7" s="1">
        <f t="shared" si="4"/>
        <v>3</v>
      </c>
      <c r="K7" s="1">
        <f t="shared" si="5"/>
        <v>0</v>
      </c>
      <c r="L7" s="1">
        <f t="shared" si="6"/>
        <v>0</v>
      </c>
      <c r="M7" s="1">
        <f t="shared" si="0"/>
        <v>0</v>
      </c>
      <c r="N7" s="1">
        <f t="shared" si="1"/>
        <v>0</v>
      </c>
      <c r="P7" s="1">
        <f t="shared" si="7"/>
        <v>0</v>
      </c>
      <c r="Q7" s="1">
        <f t="shared" si="8"/>
        <v>0</v>
      </c>
      <c r="R7" s="1">
        <f t="shared" si="9"/>
        <v>0</v>
      </c>
      <c r="S7" s="1">
        <f t="shared" si="10"/>
        <v>0</v>
      </c>
      <c r="T7" s="1">
        <f t="shared" si="11"/>
        <v>0</v>
      </c>
      <c r="U7" s="28" t="s">
        <v>4</v>
      </c>
      <c r="V7" s="28" t="s">
        <v>4</v>
      </c>
      <c r="W7" s="28" t="s">
        <v>4</v>
      </c>
      <c r="X7" s="28" t="s">
        <v>5</v>
      </c>
      <c r="Y7" s="28" t="s">
        <v>8</v>
      </c>
      <c r="Z7" s="28" t="s">
        <v>4</v>
      </c>
      <c r="AA7" s="28" t="s">
        <v>4</v>
      </c>
      <c r="AB7" s="28" t="s">
        <v>4</v>
      </c>
      <c r="AC7" s="28" t="s">
        <v>8</v>
      </c>
      <c r="AD7" s="28" t="s">
        <v>8</v>
      </c>
      <c r="AE7" s="28" t="s">
        <v>4</v>
      </c>
      <c r="AF7" s="28" t="s">
        <v>4</v>
      </c>
      <c r="AG7" s="28" t="s">
        <v>4</v>
      </c>
      <c r="AH7" s="28" t="s">
        <v>5</v>
      </c>
      <c r="AI7" s="28" t="s">
        <v>5</v>
      </c>
      <c r="AJ7" s="28" t="s">
        <v>4</v>
      </c>
      <c r="AK7" s="28" t="s">
        <v>4</v>
      </c>
      <c r="AL7" s="28" t="s">
        <v>4</v>
      </c>
      <c r="AM7" s="28" t="s">
        <v>4</v>
      </c>
      <c r="AN7" s="28" t="s">
        <v>5</v>
      </c>
      <c r="AO7" s="28" t="s">
        <v>4</v>
      </c>
      <c r="AP7" s="28" t="s">
        <v>4</v>
      </c>
      <c r="AQ7" s="28" t="s">
        <v>5</v>
      </c>
      <c r="AR7" s="28" t="s">
        <v>5</v>
      </c>
      <c r="AS7" s="28" t="s">
        <v>5</v>
      </c>
      <c r="AT7" s="28" t="s">
        <v>4</v>
      </c>
      <c r="AU7" s="28" t="s">
        <v>4</v>
      </c>
      <c r="AV7" s="28" t="s">
        <v>4</v>
      </c>
      <c r="AW7" s="28" t="s">
        <v>5</v>
      </c>
      <c r="AX7" s="28" t="s">
        <v>5</v>
      </c>
      <c r="AY7" s="28" t="s">
        <v>4</v>
      </c>
      <c r="AZ7" s="28" t="s">
        <v>4</v>
      </c>
      <c r="BA7" s="28" t="s">
        <v>5</v>
      </c>
      <c r="BB7" s="28" t="s">
        <v>5</v>
      </c>
      <c r="BC7" s="28" t="s">
        <v>5</v>
      </c>
      <c r="BD7" s="28" t="s">
        <v>4</v>
      </c>
      <c r="BE7" s="28" t="s">
        <v>4</v>
      </c>
      <c r="BF7" s="28" t="s">
        <v>4</v>
      </c>
      <c r="BG7" s="28" t="s">
        <v>5</v>
      </c>
      <c r="BH7" s="28" t="s">
        <v>5</v>
      </c>
      <c r="BI7" s="28" t="s">
        <v>4</v>
      </c>
      <c r="BJ7" s="28" t="s">
        <v>4</v>
      </c>
      <c r="BK7" s="28" t="s">
        <v>5</v>
      </c>
      <c r="BL7" s="28" t="s">
        <v>5</v>
      </c>
      <c r="BM7" s="28" t="s">
        <v>5</v>
      </c>
      <c r="BN7" s="28" t="s">
        <v>4</v>
      </c>
      <c r="BO7" s="28" t="s">
        <v>4</v>
      </c>
      <c r="BP7" s="28" t="s">
        <v>4</v>
      </c>
      <c r="BQ7" s="28" t="s">
        <v>5</v>
      </c>
      <c r="BR7" s="28" t="s">
        <v>5</v>
      </c>
    </row>
    <row r="8" spans="1:70" x14ac:dyDescent="0.3">
      <c r="A8" s="93"/>
      <c r="B8" s="93"/>
      <c r="C8" s="26">
        <v>44724.958333333336</v>
      </c>
      <c r="D8" s="37">
        <f>(C8-C7)</f>
        <v>0.22916666667151731</v>
      </c>
      <c r="E8" s="38">
        <f>E7+D8</f>
        <v>1.5208333333357587</v>
      </c>
      <c r="F8" s="5">
        <f t="shared" si="14"/>
        <v>1.5208333333357587</v>
      </c>
      <c r="G8" s="5">
        <f t="shared" si="15"/>
        <v>6.0833333333430349E-2</v>
      </c>
      <c r="H8" s="1">
        <f t="shared" si="2"/>
        <v>28</v>
      </c>
      <c r="I8" s="1">
        <f t="shared" si="3"/>
        <v>13</v>
      </c>
      <c r="J8" s="1">
        <f t="shared" si="4"/>
        <v>7</v>
      </c>
      <c r="K8" s="1">
        <f t="shared" si="5"/>
        <v>0</v>
      </c>
      <c r="L8" s="1">
        <f t="shared" si="6"/>
        <v>0</v>
      </c>
      <c r="M8" s="1">
        <f t="shared" si="0"/>
        <v>0</v>
      </c>
      <c r="N8" s="1">
        <f t="shared" si="1"/>
        <v>0</v>
      </c>
      <c r="P8" s="1">
        <f t="shared" si="7"/>
        <v>0</v>
      </c>
      <c r="Q8" s="1">
        <f>COUNTIF($U8:$BR8, "L1_D")</f>
        <v>2</v>
      </c>
      <c r="R8" s="1">
        <f t="shared" si="9"/>
        <v>0</v>
      </c>
      <c r="S8" s="1">
        <f t="shared" si="10"/>
        <v>0</v>
      </c>
      <c r="T8" s="1">
        <f t="shared" si="11"/>
        <v>0</v>
      </c>
      <c r="U8" s="28" t="s">
        <v>4</v>
      </c>
      <c r="V8" s="28" t="s">
        <v>4</v>
      </c>
      <c r="W8" s="28" t="s">
        <v>4</v>
      </c>
      <c r="X8" s="28" t="s">
        <v>5</v>
      </c>
      <c r="Y8" s="28" t="s">
        <v>8</v>
      </c>
      <c r="Z8" s="28" t="s">
        <v>4</v>
      </c>
      <c r="AA8" s="28" t="s">
        <v>4</v>
      </c>
      <c r="AB8" s="28" t="s">
        <v>4</v>
      </c>
      <c r="AC8" s="28" t="s">
        <v>8</v>
      </c>
      <c r="AD8" s="28" t="s">
        <v>8</v>
      </c>
      <c r="AE8" s="28" t="s">
        <v>4</v>
      </c>
      <c r="AF8" s="28" t="s">
        <v>4</v>
      </c>
      <c r="AG8" s="28" t="s">
        <v>4</v>
      </c>
      <c r="AH8" s="28" t="s">
        <v>5</v>
      </c>
      <c r="AI8" s="28" t="s">
        <v>5</v>
      </c>
      <c r="AJ8" s="28" t="s">
        <v>4</v>
      </c>
      <c r="AK8" s="28" t="s">
        <v>4</v>
      </c>
      <c r="AL8" s="28" t="s">
        <v>4</v>
      </c>
      <c r="AM8" s="28" t="s">
        <v>4</v>
      </c>
      <c r="AN8" s="28" t="s">
        <v>5</v>
      </c>
      <c r="AO8" s="28" t="s">
        <v>4</v>
      </c>
      <c r="AP8" s="28" t="s">
        <v>4</v>
      </c>
      <c r="AQ8" s="28" t="s">
        <v>5</v>
      </c>
      <c r="AR8" s="28" t="s">
        <v>8</v>
      </c>
      <c r="AS8" s="28" t="s">
        <v>8</v>
      </c>
      <c r="AT8" s="28" t="s">
        <v>4</v>
      </c>
      <c r="AU8" s="28" t="s">
        <v>4</v>
      </c>
      <c r="AV8" s="28" t="s">
        <v>4</v>
      </c>
      <c r="AW8" s="28" t="s">
        <v>18</v>
      </c>
      <c r="AX8" s="28" t="s">
        <v>5</v>
      </c>
      <c r="AY8" s="28" t="s">
        <v>4</v>
      </c>
      <c r="AZ8" s="28" t="s">
        <v>4</v>
      </c>
      <c r="BA8" s="28" t="s">
        <v>18</v>
      </c>
      <c r="BB8" s="28" t="s">
        <v>8</v>
      </c>
      <c r="BC8" s="28" t="s">
        <v>8</v>
      </c>
      <c r="BD8" s="28" t="s">
        <v>4</v>
      </c>
      <c r="BE8" s="28" t="s">
        <v>4</v>
      </c>
      <c r="BF8" s="28" t="s">
        <v>4</v>
      </c>
      <c r="BG8" s="28" t="s">
        <v>5</v>
      </c>
      <c r="BH8" s="28" t="s">
        <v>5</v>
      </c>
      <c r="BI8" s="28" t="s">
        <v>4</v>
      </c>
      <c r="BJ8" s="28" t="s">
        <v>4</v>
      </c>
      <c r="BK8" s="28" t="s">
        <v>5</v>
      </c>
      <c r="BL8" s="28" t="s">
        <v>5</v>
      </c>
      <c r="BM8" s="28" t="s">
        <v>5</v>
      </c>
      <c r="BN8" s="28" t="s">
        <v>4</v>
      </c>
      <c r="BO8" s="28" t="s">
        <v>4</v>
      </c>
      <c r="BP8" s="28" t="s">
        <v>4</v>
      </c>
      <c r="BQ8" s="28" t="s">
        <v>5</v>
      </c>
      <c r="BR8" s="28" t="s">
        <v>5</v>
      </c>
    </row>
    <row r="9" spans="1:70" x14ac:dyDescent="0.3">
      <c r="A9" s="93">
        <f t="shared" ref="A9:B9" si="16">A6+1</f>
        <v>164</v>
      </c>
      <c r="B9" s="93">
        <f t="shared" si="16"/>
        <v>3</v>
      </c>
      <c r="C9" s="81">
        <v>44725.375</v>
      </c>
      <c r="D9" s="37">
        <f>(C9-C8)</f>
        <v>0.41666666666424135</v>
      </c>
      <c r="E9" s="38">
        <f t="shared" si="13"/>
        <v>1.9375</v>
      </c>
      <c r="F9" s="5">
        <f t="shared" si="14"/>
        <v>1.9375</v>
      </c>
      <c r="G9" s="5">
        <f t="shared" si="15"/>
        <v>7.7499999999999999E-2</v>
      </c>
      <c r="H9" s="1">
        <f t="shared" si="2"/>
        <v>28</v>
      </c>
      <c r="I9" s="1">
        <f t="shared" si="3"/>
        <v>4</v>
      </c>
      <c r="J9" s="1">
        <f t="shared" si="4"/>
        <v>14</v>
      </c>
      <c r="K9" s="1">
        <f t="shared" si="5"/>
        <v>0</v>
      </c>
      <c r="L9" s="1">
        <f t="shared" si="6"/>
        <v>0</v>
      </c>
      <c r="M9" s="1">
        <f t="shared" si="0"/>
        <v>0</v>
      </c>
      <c r="N9" s="1">
        <f t="shared" si="1"/>
        <v>0</v>
      </c>
      <c r="P9" s="1">
        <f t="shared" si="7"/>
        <v>0</v>
      </c>
      <c r="Q9" s="1">
        <f t="shared" si="8"/>
        <v>4</v>
      </c>
      <c r="R9" s="1">
        <f t="shared" si="9"/>
        <v>0</v>
      </c>
      <c r="S9" s="1">
        <f t="shared" si="10"/>
        <v>0</v>
      </c>
      <c r="T9" s="1">
        <f t="shared" si="11"/>
        <v>0</v>
      </c>
      <c r="U9" s="28" t="s">
        <v>4</v>
      </c>
      <c r="V9" s="28" t="s">
        <v>4</v>
      </c>
      <c r="W9" s="28" t="s">
        <v>4</v>
      </c>
      <c r="X9" s="28" t="s">
        <v>5</v>
      </c>
      <c r="Y9" s="28" t="s">
        <v>8</v>
      </c>
      <c r="Z9" s="28" t="s">
        <v>4</v>
      </c>
      <c r="AA9" s="28" t="s">
        <v>4</v>
      </c>
      <c r="AB9" s="28" t="s">
        <v>4</v>
      </c>
      <c r="AC9" s="28" t="s">
        <v>8</v>
      </c>
      <c r="AD9" s="28" t="s">
        <v>8</v>
      </c>
      <c r="AE9" s="28" t="s">
        <v>4</v>
      </c>
      <c r="AF9" s="28" t="s">
        <v>4</v>
      </c>
      <c r="AG9" s="28" t="s">
        <v>4</v>
      </c>
      <c r="AH9" s="28" t="s">
        <v>18</v>
      </c>
      <c r="AI9" s="28" t="s">
        <v>8</v>
      </c>
      <c r="AJ9" s="28" t="s">
        <v>4</v>
      </c>
      <c r="AK9" s="28" t="s">
        <v>4</v>
      </c>
      <c r="AL9" s="28" t="s">
        <v>4</v>
      </c>
      <c r="AM9" s="28" t="s">
        <v>4</v>
      </c>
      <c r="AN9" s="28" t="s">
        <v>8</v>
      </c>
      <c r="AO9" s="28" t="s">
        <v>4</v>
      </c>
      <c r="AP9" s="28" t="s">
        <v>4</v>
      </c>
      <c r="AQ9" s="28" t="s">
        <v>8</v>
      </c>
      <c r="AR9" s="28" t="s">
        <v>8</v>
      </c>
      <c r="AS9" s="28" t="s">
        <v>8</v>
      </c>
      <c r="AT9" s="28" t="s">
        <v>4</v>
      </c>
      <c r="AU9" s="28" t="s">
        <v>4</v>
      </c>
      <c r="AV9" s="28" t="s">
        <v>4</v>
      </c>
      <c r="AW9" s="28" t="s">
        <v>18</v>
      </c>
      <c r="AX9" s="28" t="s">
        <v>8</v>
      </c>
      <c r="AY9" s="28" t="s">
        <v>4</v>
      </c>
      <c r="AZ9" s="28" t="s">
        <v>4</v>
      </c>
      <c r="BA9" s="28" t="s">
        <v>18</v>
      </c>
      <c r="BB9" s="28" t="s">
        <v>8</v>
      </c>
      <c r="BC9" s="28" t="s">
        <v>8</v>
      </c>
      <c r="BD9" s="28" t="s">
        <v>4</v>
      </c>
      <c r="BE9" s="28" t="s">
        <v>4</v>
      </c>
      <c r="BF9" s="28" t="s">
        <v>4</v>
      </c>
      <c r="BG9" s="28" t="s">
        <v>5</v>
      </c>
      <c r="BH9" s="28" t="s">
        <v>8</v>
      </c>
      <c r="BI9" s="28" t="s">
        <v>4</v>
      </c>
      <c r="BJ9" s="28" t="s">
        <v>4</v>
      </c>
      <c r="BK9" s="28" t="s">
        <v>18</v>
      </c>
      <c r="BL9" s="28" t="s">
        <v>5</v>
      </c>
      <c r="BM9" s="28" t="s">
        <v>8</v>
      </c>
      <c r="BN9" s="28" t="s">
        <v>4</v>
      </c>
      <c r="BO9" s="28" t="s">
        <v>4</v>
      </c>
      <c r="BP9" s="28" t="s">
        <v>4</v>
      </c>
      <c r="BQ9" s="28" t="s">
        <v>5</v>
      </c>
      <c r="BR9" s="28" t="s">
        <v>8</v>
      </c>
    </row>
    <row r="10" spans="1:70" x14ac:dyDescent="0.3">
      <c r="A10" s="93"/>
      <c r="B10" s="93"/>
      <c r="C10" s="81">
        <v>44725.729166666664</v>
      </c>
      <c r="D10" s="37">
        <f>(C10-C9)</f>
        <v>0.35416666666424135</v>
      </c>
      <c r="E10" s="38">
        <f t="shared" si="13"/>
        <v>2.2916666666642413</v>
      </c>
      <c r="F10" s="5">
        <f t="shared" si="14"/>
        <v>2.2916666666642413</v>
      </c>
      <c r="G10" s="5">
        <f t="shared" si="15"/>
        <v>9.1666666666569654E-2</v>
      </c>
      <c r="H10" s="1">
        <f t="shared" si="2"/>
        <v>28</v>
      </c>
      <c r="I10" s="1">
        <f t="shared" si="3"/>
        <v>0</v>
      </c>
      <c r="J10" s="1">
        <f t="shared" si="4"/>
        <v>16</v>
      </c>
      <c r="K10" s="1">
        <f t="shared" si="5"/>
        <v>0</v>
      </c>
      <c r="L10" s="1">
        <f t="shared" si="6"/>
        <v>0</v>
      </c>
      <c r="M10" s="1">
        <f t="shared" si="0"/>
        <v>0</v>
      </c>
      <c r="N10" s="1">
        <f t="shared" si="1"/>
        <v>0</v>
      </c>
      <c r="P10" s="1">
        <f t="shared" si="7"/>
        <v>0</v>
      </c>
      <c r="Q10" s="1">
        <f t="shared" si="8"/>
        <v>6</v>
      </c>
      <c r="R10" s="1">
        <f t="shared" si="9"/>
        <v>0</v>
      </c>
      <c r="S10" s="1">
        <f t="shared" si="10"/>
        <v>0</v>
      </c>
      <c r="T10" s="1">
        <f t="shared" si="11"/>
        <v>0</v>
      </c>
      <c r="U10" s="28" t="s">
        <v>4</v>
      </c>
      <c r="V10" s="28" t="s">
        <v>4</v>
      </c>
      <c r="W10" s="28" t="s">
        <v>4</v>
      </c>
      <c r="X10" s="28" t="s">
        <v>18</v>
      </c>
      <c r="Y10" s="28" t="s">
        <v>8</v>
      </c>
      <c r="Z10" s="28" t="s">
        <v>4</v>
      </c>
      <c r="AA10" s="28" t="s">
        <v>4</v>
      </c>
      <c r="AB10" s="28" t="s">
        <v>4</v>
      </c>
      <c r="AC10" s="28" t="s">
        <v>8</v>
      </c>
      <c r="AD10" s="28" t="s">
        <v>8</v>
      </c>
      <c r="AE10" s="28" t="s">
        <v>4</v>
      </c>
      <c r="AF10" s="28" t="s">
        <v>4</v>
      </c>
      <c r="AG10" s="28" t="s">
        <v>4</v>
      </c>
      <c r="AH10" s="28" t="s">
        <v>18</v>
      </c>
      <c r="AI10" s="28" t="s">
        <v>8</v>
      </c>
      <c r="AJ10" s="28" t="s">
        <v>4</v>
      </c>
      <c r="AK10" s="28" t="s">
        <v>4</v>
      </c>
      <c r="AL10" s="28" t="s">
        <v>4</v>
      </c>
      <c r="AM10" s="28" t="s">
        <v>4</v>
      </c>
      <c r="AN10" s="28" t="s">
        <v>8</v>
      </c>
      <c r="AO10" s="28" t="s">
        <v>4</v>
      </c>
      <c r="AP10" s="28" t="s">
        <v>4</v>
      </c>
      <c r="AQ10" s="28" t="s">
        <v>8</v>
      </c>
      <c r="AR10" s="28" t="s">
        <v>8</v>
      </c>
      <c r="AS10" s="28" t="s">
        <v>8</v>
      </c>
      <c r="AT10" s="28" t="s">
        <v>4</v>
      </c>
      <c r="AU10" s="28" t="s">
        <v>4</v>
      </c>
      <c r="AV10" s="28" t="s">
        <v>4</v>
      </c>
      <c r="AW10" s="28" t="s">
        <v>18</v>
      </c>
      <c r="AX10" s="28" t="s">
        <v>8</v>
      </c>
      <c r="AY10" s="28" t="s">
        <v>4</v>
      </c>
      <c r="AZ10" s="28" t="s">
        <v>4</v>
      </c>
      <c r="BA10" s="28" t="s">
        <v>18</v>
      </c>
      <c r="BB10" s="28" t="s">
        <v>8</v>
      </c>
      <c r="BC10" s="28" t="s">
        <v>8</v>
      </c>
      <c r="BD10" s="28" t="s">
        <v>4</v>
      </c>
      <c r="BE10" s="28" t="s">
        <v>4</v>
      </c>
      <c r="BF10" s="28" t="s">
        <v>4</v>
      </c>
      <c r="BG10" s="28" t="s">
        <v>8</v>
      </c>
      <c r="BH10" s="28" t="s">
        <v>8</v>
      </c>
      <c r="BI10" s="28" t="s">
        <v>4</v>
      </c>
      <c r="BJ10" s="28" t="s">
        <v>4</v>
      </c>
      <c r="BK10" s="28" t="s">
        <v>18</v>
      </c>
      <c r="BL10" s="28" t="s">
        <v>8</v>
      </c>
      <c r="BM10" s="28" t="s">
        <v>8</v>
      </c>
      <c r="BN10" s="28" t="s">
        <v>4</v>
      </c>
      <c r="BO10" s="28" t="s">
        <v>4</v>
      </c>
      <c r="BP10" s="28" t="s">
        <v>4</v>
      </c>
      <c r="BQ10" s="28" t="s">
        <v>18</v>
      </c>
      <c r="BR10" s="28" t="s">
        <v>8</v>
      </c>
    </row>
    <row r="11" spans="1:70" x14ac:dyDescent="0.3">
      <c r="A11" s="93"/>
      <c r="B11" s="93"/>
      <c r="C11" s="81">
        <v>44725.9375</v>
      </c>
      <c r="D11" s="37">
        <f t="shared" si="12"/>
        <v>0.20833333333575865</v>
      </c>
      <c r="E11" s="38">
        <f t="shared" si="13"/>
        <v>2.5</v>
      </c>
      <c r="F11" s="5">
        <f t="shared" si="14"/>
        <v>2.5</v>
      </c>
      <c r="G11" s="5">
        <f t="shared" si="15"/>
        <v>0.1</v>
      </c>
      <c r="H11" s="1">
        <f t="shared" si="2"/>
        <v>28</v>
      </c>
      <c r="I11" s="1">
        <f t="shared" si="3"/>
        <v>0</v>
      </c>
      <c r="J11" s="1">
        <f t="shared" si="4"/>
        <v>14</v>
      </c>
      <c r="K11" s="1">
        <f t="shared" si="5"/>
        <v>2</v>
      </c>
      <c r="L11" s="1">
        <f t="shared" si="6"/>
        <v>0</v>
      </c>
      <c r="M11" s="1">
        <f t="shared" si="0"/>
        <v>0</v>
      </c>
      <c r="N11" s="1">
        <f t="shared" si="1"/>
        <v>0</v>
      </c>
      <c r="P11" s="1">
        <f t="shared" si="7"/>
        <v>0</v>
      </c>
      <c r="Q11" s="1">
        <f t="shared" si="8"/>
        <v>6</v>
      </c>
      <c r="R11" s="1">
        <f t="shared" si="9"/>
        <v>0</v>
      </c>
      <c r="S11" s="1">
        <f t="shared" si="10"/>
        <v>0</v>
      </c>
      <c r="T11" s="1">
        <f t="shared" si="11"/>
        <v>0</v>
      </c>
      <c r="U11" s="28" t="s">
        <v>4</v>
      </c>
      <c r="V11" s="28" t="s">
        <v>4</v>
      </c>
      <c r="W11" s="28" t="s">
        <v>4</v>
      </c>
      <c r="X11" s="28" t="s">
        <v>18</v>
      </c>
      <c r="Y11" s="28" t="s">
        <v>10</v>
      </c>
      <c r="Z11" s="28" t="s">
        <v>4</v>
      </c>
      <c r="AA11" s="28" t="s">
        <v>4</v>
      </c>
      <c r="AB11" s="28" t="s">
        <v>4</v>
      </c>
      <c r="AC11" s="28" t="s">
        <v>8</v>
      </c>
      <c r="AD11" s="28" t="s">
        <v>10</v>
      </c>
      <c r="AE11" s="28" t="s">
        <v>4</v>
      </c>
      <c r="AF11" s="28" t="s">
        <v>4</v>
      </c>
      <c r="AG11" s="28" t="s">
        <v>4</v>
      </c>
      <c r="AH11" s="28" t="s">
        <v>18</v>
      </c>
      <c r="AI11" s="28" t="s">
        <v>8</v>
      </c>
      <c r="AJ11" s="28" t="s">
        <v>4</v>
      </c>
      <c r="AK11" s="28" t="s">
        <v>4</v>
      </c>
      <c r="AL11" s="28" t="s">
        <v>4</v>
      </c>
      <c r="AM11" s="28" t="s">
        <v>4</v>
      </c>
      <c r="AN11" s="28" t="s">
        <v>8</v>
      </c>
      <c r="AO11" s="28" t="s">
        <v>4</v>
      </c>
      <c r="AP11" s="28" t="s">
        <v>4</v>
      </c>
      <c r="AQ11" s="28" t="s">
        <v>8</v>
      </c>
      <c r="AR11" s="28" t="s">
        <v>8</v>
      </c>
      <c r="AS11" s="28" t="s">
        <v>8</v>
      </c>
      <c r="AT11" s="28" t="s">
        <v>4</v>
      </c>
      <c r="AU11" s="28" t="s">
        <v>4</v>
      </c>
      <c r="AV11" s="28" t="s">
        <v>4</v>
      </c>
      <c r="AW11" s="28" t="s">
        <v>18</v>
      </c>
      <c r="AX11" s="28" t="s">
        <v>8</v>
      </c>
      <c r="AY11" s="28" t="s">
        <v>4</v>
      </c>
      <c r="AZ11" s="28" t="s">
        <v>4</v>
      </c>
      <c r="BA11" s="28" t="s">
        <v>18</v>
      </c>
      <c r="BB11" s="28" t="s">
        <v>8</v>
      </c>
      <c r="BC11" s="28" t="s">
        <v>8</v>
      </c>
      <c r="BD11" s="28" t="s">
        <v>4</v>
      </c>
      <c r="BE11" s="28" t="s">
        <v>4</v>
      </c>
      <c r="BF11" s="28" t="s">
        <v>4</v>
      </c>
      <c r="BG11" s="28" t="s">
        <v>8</v>
      </c>
      <c r="BH11" s="28" t="s">
        <v>8</v>
      </c>
      <c r="BI11" s="28" t="s">
        <v>4</v>
      </c>
      <c r="BJ11" s="28" t="s">
        <v>4</v>
      </c>
      <c r="BK11" s="28" t="s">
        <v>18</v>
      </c>
      <c r="BL11" s="28" t="s">
        <v>8</v>
      </c>
      <c r="BM11" s="28" t="s">
        <v>8</v>
      </c>
      <c r="BN11" s="28" t="s">
        <v>4</v>
      </c>
      <c r="BO11" s="28" t="s">
        <v>4</v>
      </c>
      <c r="BP11" s="28" t="s">
        <v>4</v>
      </c>
      <c r="BQ11" s="28" t="s">
        <v>18</v>
      </c>
      <c r="BR11" s="28" t="s">
        <v>8</v>
      </c>
    </row>
    <row r="12" spans="1:70" x14ac:dyDescent="0.3">
      <c r="A12" s="93">
        <f t="shared" ref="A12:B12" si="17">A9+1</f>
        <v>165</v>
      </c>
      <c r="B12" s="93">
        <f t="shared" si="17"/>
        <v>4</v>
      </c>
      <c r="C12" s="81">
        <v>44726.416666666664</v>
      </c>
      <c r="D12" s="37">
        <f t="shared" si="12"/>
        <v>0.47916666666424135</v>
      </c>
      <c r="E12" s="38">
        <f t="shared" si="13"/>
        <v>2.9791666666642413</v>
      </c>
      <c r="F12" s="5">
        <f t="shared" si="14"/>
        <v>2.9791666666642413</v>
      </c>
      <c r="G12" s="5">
        <f t="shared" si="15"/>
        <v>0.11916666666656965</v>
      </c>
      <c r="H12" s="1">
        <f t="shared" si="2"/>
        <v>28</v>
      </c>
      <c r="I12" s="1">
        <f t="shared" si="3"/>
        <v>0</v>
      </c>
      <c r="J12" s="1">
        <f t="shared" si="4"/>
        <v>9</v>
      </c>
      <c r="K12" s="1">
        <f t="shared" si="5"/>
        <v>7</v>
      </c>
      <c r="L12" s="1">
        <f t="shared" si="6"/>
        <v>0</v>
      </c>
      <c r="M12" s="1">
        <f t="shared" si="0"/>
        <v>0</v>
      </c>
      <c r="N12" s="1">
        <f t="shared" si="1"/>
        <v>0</v>
      </c>
      <c r="P12" s="1">
        <f t="shared" si="7"/>
        <v>0</v>
      </c>
      <c r="Q12" s="1">
        <f t="shared" si="8"/>
        <v>6</v>
      </c>
      <c r="R12" s="1">
        <f t="shared" si="9"/>
        <v>0</v>
      </c>
      <c r="S12" s="1">
        <f t="shared" si="10"/>
        <v>0</v>
      </c>
      <c r="T12" s="1">
        <f t="shared" si="11"/>
        <v>0</v>
      </c>
      <c r="U12" s="28" t="s">
        <v>4</v>
      </c>
      <c r="V12" s="28" t="s">
        <v>4</v>
      </c>
      <c r="W12" s="28" t="s">
        <v>4</v>
      </c>
      <c r="X12" s="28" t="s">
        <v>18</v>
      </c>
      <c r="Y12" s="28" t="s">
        <v>10</v>
      </c>
      <c r="Z12" s="28" t="s">
        <v>4</v>
      </c>
      <c r="AA12" s="28" t="s">
        <v>4</v>
      </c>
      <c r="AB12" s="28" t="s">
        <v>4</v>
      </c>
      <c r="AC12" s="28" t="s">
        <v>10</v>
      </c>
      <c r="AD12" s="28" t="s">
        <v>10</v>
      </c>
      <c r="AE12" s="28" t="s">
        <v>4</v>
      </c>
      <c r="AF12" s="28" t="s">
        <v>4</v>
      </c>
      <c r="AG12" s="28" t="s">
        <v>4</v>
      </c>
      <c r="AH12" s="28" t="s">
        <v>18</v>
      </c>
      <c r="AI12" s="28" t="s">
        <v>8</v>
      </c>
      <c r="AJ12" s="28" t="s">
        <v>4</v>
      </c>
      <c r="AK12" s="28" t="s">
        <v>4</v>
      </c>
      <c r="AL12" s="28" t="s">
        <v>4</v>
      </c>
      <c r="AM12" s="28" t="s">
        <v>4</v>
      </c>
      <c r="AN12" s="28" t="s">
        <v>10</v>
      </c>
      <c r="AO12" s="28" t="s">
        <v>4</v>
      </c>
      <c r="AP12" s="28" t="s">
        <v>4</v>
      </c>
      <c r="AQ12" s="28" t="s">
        <v>8</v>
      </c>
      <c r="AR12" s="28" t="s">
        <v>10</v>
      </c>
      <c r="AS12" s="28" t="s">
        <v>10</v>
      </c>
      <c r="AT12" s="28" t="s">
        <v>4</v>
      </c>
      <c r="AU12" s="28" t="s">
        <v>4</v>
      </c>
      <c r="AV12" s="28" t="s">
        <v>4</v>
      </c>
      <c r="AW12" s="28" t="s">
        <v>18</v>
      </c>
      <c r="AX12" s="28" t="s">
        <v>10</v>
      </c>
      <c r="AY12" s="28" t="s">
        <v>4</v>
      </c>
      <c r="AZ12" s="28" t="s">
        <v>4</v>
      </c>
      <c r="BA12" s="28" t="s">
        <v>18</v>
      </c>
      <c r="BB12" s="28" t="s">
        <v>8</v>
      </c>
      <c r="BC12" s="28" t="s">
        <v>8</v>
      </c>
      <c r="BD12" s="28" t="s">
        <v>4</v>
      </c>
      <c r="BE12" s="28" t="s">
        <v>4</v>
      </c>
      <c r="BF12" s="28" t="s">
        <v>4</v>
      </c>
      <c r="BG12" s="28" t="s">
        <v>8</v>
      </c>
      <c r="BH12" s="28" t="s">
        <v>8</v>
      </c>
      <c r="BI12" s="28" t="s">
        <v>4</v>
      </c>
      <c r="BJ12" s="28" t="s">
        <v>4</v>
      </c>
      <c r="BK12" s="28" t="s">
        <v>18</v>
      </c>
      <c r="BL12" s="28" t="s">
        <v>8</v>
      </c>
      <c r="BM12" s="28" t="s">
        <v>8</v>
      </c>
      <c r="BN12" s="28" t="s">
        <v>4</v>
      </c>
      <c r="BO12" s="28" t="s">
        <v>4</v>
      </c>
      <c r="BP12" s="28" t="s">
        <v>4</v>
      </c>
      <c r="BQ12" s="28" t="s">
        <v>18</v>
      </c>
      <c r="BR12" s="28" t="s">
        <v>8</v>
      </c>
    </row>
    <row r="13" spans="1:70" x14ac:dyDescent="0.3">
      <c r="A13" s="93"/>
      <c r="B13" s="93"/>
      <c r="C13" s="81">
        <v>44726.729166666664</v>
      </c>
      <c r="D13" s="37">
        <f t="shared" si="12"/>
        <v>0.3125</v>
      </c>
      <c r="E13" s="38">
        <f t="shared" si="13"/>
        <v>3.2916666666642413</v>
      </c>
      <c r="F13" s="5">
        <f t="shared" si="14"/>
        <v>3.2916666666642413</v>
      </c>
      <c r="G13" s="5">
        <f t="shared" si="15"/>
        <v>0.13166666666656965</v>
      </c>
      <c r="H13" s="1">
        <f t="shared" si="2"/>
        <v>28</v>
      </c>
      <c r="I13" s="1">
        <f t="shared" si="3"/>
        <v>0</v>
      </c>
      <c r="J13" s="1">
        <f t="shared" si="4"/>
        <v>1</v>
      </c>
      <c r="K13" s="1">
        <f t="shared" si="5"/>
        <v>15</v>
      </c>
      <c r="L13" s="1">
        <f t="shared" si="6"/>
        <v>0</v>
      </c>
      <c r="M13" s="1">
        <f t="shared" si="0"/>
        <v>0</v>
      </c>
      <c r="N13" s="1">
        <f t="shared" si="1"/>
        <v>0</v>
      </c>
      <c r="P13" s="1">
        <f t="shared" si="7"/>
        <v>0</v>
      </c>
      <c r="Q13" s="1">
        <f t="shared" si="8"/>
        <v>6</v>
      </c>
      <c r="R13" s="1">
        <f t="shared" si="9"/>
        <v>0</v>
      </c>
      <c r="S13" s="1">
        <f t="shared" si="10"/>
        <v>0</v>
      </c>
      <c r="T13" s="1">
        <f t="shared" si="11"/>
        <v>0</v>
      </c>
      <c r="U13" s="28" t="s">
        <v>4</v>
      </c>
      <c r="V13" s="28" t="s">
        <v>4</v>
      </c>
      <c r="W13" s="28" t="s">
        <v>4</v>
      </c>
      <c r="X13" s="28" t="s">
        <v>18</v>
      </c>
      <c r="Y13" s="28" t="s">
        <v>10</v>
      </c>
      <c r="Z13" s="28" t="s">
        <v>4</v>
      </c>
      <c r="AA13" s="28" t="s">
        <v>4</v>
      </c>
      <c r="AB13" s="28" t="s">
        <v>4</v>
      </c>
      <c r="AC13" s="28" t="s">
        <v>10</v>
      </c>
      <c r="AD13" s="28" t="s">
        <v>10</v>
      </c>
      <c r="AE13" s="28" t="s">
        <v>4</v>
      </c>
      <c r="AF13" s="28" t="s">
        <v>4</v>
      </c>
      <c r="AG13" s="28" t="s">
        <v>4</v>
      </c>
      <c r="AH13" s="28" t="s">
        <v>18</v>
      </c>
      <c r="AI13" s="28" t="s">
        <v>10</v>
      </c>
      <c r="AJ13" s="28" t="s">
        <v>4</v>
      </c>
      <c r="AK13" s="28" t="s">
        <v>4</v>
      </c>
      <c r="AL13" s="28" t="s">
        <v>4</v>
      </c>
      <c r="AM13" s="28" t="s">
        <v>4</v>
      </c>
      <c r="AN13" s="28" t="s">
        <v>10</v>
      </c>
      <c r="AO13" s="28" t="s">
        <v>4</v>
      </c>
      <c r="AP13" s="28" t="s">
        <v>4</v>
      </c>
      <c r="AQ13" s="28" t="s">
        <v>10</v>
      </c>
      <c r="AR13" s="28" t="s">
        <v>10</v>
      </c>
      <c r="AS13" s="28" t="s">
        <v>10</v>
      </c>
      <c r="AT13" s="28" t="s">
        <v>4</v>
      </c>
      <c r="AU13" s="28" t="s">
        <v>4</v>
      </c>
      <c r="AV13" s="28" t="s">
        <v>4</v>
      </c>
      <c r="AW13" s="28" t="s">
        <v>18</v>
      </c>
      <c r="AX13" s="28" t="s">
        <v>10</v>
      </c>
      <c r="AY13" s="28" t="s">
        <v>4</v>
      </c>
      <c r="AZ13" s="28" t="s">
        <v>4</v>
      </c>
      <c r="BA13" s="28" t="s">
        <v>18</v>
      </c>
      <c r="BB13" s="28" t="s">
        <v>10</v>
      </c>
      <c r="BC13" s="28" t="s">
        <v>10</v>
      </c>
      <c r="BD13" s="28" t="s">
        <v>4</v>
      </c>
      <c r="BE13" s="28" t="s">
        <v>4</v>
      </c>
      <c r="BF13" s="28" t="s">
        <v>4</v>
      </c>
      <c r="BG13" s="28" t="s">
        <v>10</v>
      </c>
      <c r="BH13" s="28" t="s">
        <v>10</v>
      </c>
      <c r="BI13" s="28" t="s">
        <v>4</v>
      </c>
      <c r="BJ13" s="28" t="s">
        <v>4</v>
      </c>
      <c r="BK13" s="28" t="s">
        <v>18</v>
      </c>
      <c r="BL13" s="28" t="s">
        <v>8</v>
      </c>
      <c r="BM13" s="28" t="s">
        <v>10</v>
      </c>
      <c r="BN13" s="28" t="s">
        <v>4</v>
      </c>
      <c r="BO13" s="28" t="s">
        <v>4</v>
      </c>
      <c r="BP13" s="28" t="s">
        <v>4</v>
      </c>
      <c r="BQ13" s="28" t="s">
        <v>18</v>
      </c>
      <c r="BR13" s="28" t="s">
        <v>10</v>
      </c>
    </row>
    <row r="14" spans="1:70" x14ac:dyDescent="0.3">
      <c r="A14" s="93"/>
      <c r="B14" s="93"/>
      <c r="C14" s="81">
        <v>44726.9375</v>
      </c>
      <c r="D14" s="37">
        <f t="shared" si="12"/>
        <v>0.20833333333575865</v>
      </c>
      <c r="E14" s="38">
        <f t="shared" si="13"/>
        <v>3.5</v>
      </c>
      <c r="F14" s="5">
        <f t="shared" si="14"/>
        <v>3.5</v>
      </c>
      <c r="G14" s="5">
        <f t="shared" si="15"/>
        <v>0.14000000000000001</v>
      </c>
      <c r="H14" s="1">
        <f t="shared" si="2"/>
        <v>28</v>
      </c>
      <c r="I14" s="1">
        <f t="shared" si="3"/>
        <v>0</v>
      </c>
      <c r="J14" s="1">
        <f t="shared" si="4"/>
        <v>0</v>
      </c>
      <c r="K14" s="1">
        <f t="shared" si="5"/>
        <v>16</v>
      </c>
      <c r="L14" s="1">
        <f t="shared" si="6"/>
        <v>0</v>
      </c>
      <c r="M14" s="1">
        <f t="shared" si="0"/>
        <v>0</v>
      </c>
      <c r="N14" s="1">
        <f t="shared" si="1"/>
        <v>0</v>
      </c>
      <c r="P14" s="1">
        <f t="shared" si="7"/>
        <v>0</v>
      </c>
      <c r="Q14" s="1">
        <f t="shared" si="8"/>
        <v>6</v>
      </c>
      <c r="R14" s="1">
        <f t="shared" si="9"/>
        <v>0</v>
      </c>
      <c r="S14" s="1">
        <f t="shared" si="10"/>
        <v>0</v>
      </c>
      <c r="T14" s="1">
        <f t="shared" si="11"/>
        <v>0</v>
      </c>
      <c r="U14" s="28" t="s">
        <v>4</v>
      </c>
      <c r="V14" s="28" t="s">
        <v>4</v>
      </c>
      <c r="W14" s="28" t="s">
        <v>4</v>
      </c>
      <c r="X14" s="28" t="s">
        <v>18</v>
      </c>
      <c r="Y14" s="28" t="s">
        <v>10</v>
      </c>
      <c r="Z14" s="28" t="s">
        <v>4</v>
      </c>
      <c r="AA14" s="28" t="s">
        <v>4</v>
      </c>
      <c r="AB14" s="28" t="s">
        <v>4</v>
      </c>
      <c r="AC14" s="28" t="s">
        <v>10</v>
      </c>
      <c r="AD14" s="28" t="s">
        <v>10</v>
      </c>
      <c r="AE14" s="28" t="s">
        <v>4</v>
      </c>
      <c r="AF14" s="28" t="s">
        <v>4</v>
      </c>
      <c r="AG14" s="28" t="s">
        <v>4</v>
      </c>
      <c r="AH14" s="28" t="s">
        <v>18</v>
      </c>
      <c r="AI14" s="28" t="s">
        <v>10</v>
      </c>
      <c r="AJ14" s="28" t="s">
        <v>4</v>
      </c>
      <c r="AK14" s="28" t="s">
        <v>4</v>
      </c>
      <c r="AL14" s="28" t="s">
        <v>4</v>
      </c>
      <c r="AM14" s="28" t="s">
        <v>4</v>
      </c>
      <c r="AN14" s="28" t="s">
        <v>10</v>
      </c>
      <c r="AO14" s="28" t="s">
        <v>4</v>
      </c>
      <c r="AP14" s="28" t="s">
        <v>4</v>
      </c>
      <c r="AQ14" s="28" t="s">
        <v>10</v>
      </c>
      <c r="AR14" s="28" t="s">
        <v>10</v>
      </c>
      <c r="AS14" s="28" t="s">
        <v>10</v>
      </c>
      <c r="AT14" s="28" t="s">
        <v>4</v>
      </c>
      <c r="AU14" s="28" t="s">
        <v>4</v>
      </c>
      <c r="AV14" s="28" t="s">
        <v>4</v>
      </c>
      <c r="AW14" s="28" t="s">
        <v>18</v>
      </c>
      <c r="AX14" s="28" t="s">
        <v>10</v>
      </c>
      <c r="AY14" s="28" t="s">
        <v>4</v>
      </c>
      <c r="AZ14" s="28" t="s">
        <v>4</v>
      </c>
      <c r="BA14" s="28" t="s">
        <v>18</v>
      </c>
      <c r="BB14" s="28" t="s">
        <v>10</v>
      </c>
      <c r="BC14" s="28" t="s">
        <v>10</v>
      </c>
      <c r="BD14" s="28" t="s">
        <v>4</v>
      </c>
      <c r="BE14" s="28" t="s">
        <v>4</v>
      </c>
      <c r="BF14" s="28" t="s">
        <v>4</v>
      </c>
      <c r="BG14" s="28" t="s">
        <v>10</v>
      </c>
      <c r="BH14" s="28" t="s">
        <v>10</v>
      </c>
      <c r="BI14" s="28" t="s">
        <v>4</v>
      </c>
      <c r="BJ14" s="28" t="s">
        <v>4</v>
      </c>
      <c r="BK14" s="28" t="s">
        <v>18</v>
      </c>
      <c r="BL14" s="28" t="s">
        <v>10</v>
      </c>
      <c r="BM14" s="28" t="s">
        <v>10</v>
      </c>
      <c r="BN14" s="28" t="s">
        <v>4</v>
      </c>
      <c r="BO14" s="28" t="s">
        <v>4</v>
      </c>
      <c r="BP14" s="28" t="s">
        <v>4</v>
      </c>
      <c r="BQ14" s="28" t="s">
        <v>18</v>
      </c>
      <c r="BR14" s="28" t="s">
        <v>10</v>
      </c>
    </row>
    <row r="15" spans="1:70" x14ac:dyDescent="0.3">
      <c r="A15" s="93">
        <f t="shared" ref="A15:B15" si="18">A12+1</f>
        <v>166</v>
      </c>
      <c r="B15" s="93">
        <f t="shared" si="18"/>
        <v>5</v>
      </c>
      <c r="C15" s="81">
        <v>44727.395833333336</v>
      </c>
      <c r="D15" s="37">
        <f t="shared" si="12"/>
        <v>0.45833333333575865</v>
      </c>
      <c r="E15" s="38">
        <f t="shared" si="13"/>
        <v>3.9583333333357587</v>
      </c>
      <c r="F15" s="5">
        <f t="shared" si="14"/>
        <v>3.9583333333357587</v>
      </c>
      <c r="G15" s="5">
        <f t="shared" si="15"/>
        <v>0.15833333333343036</v>
      </c>
      <c r="H15" s="1">
        <f t="shared" si="2"/>
        <v>28</v>
      </c>
      <c r="I15" s="1">
        <f t="shared" si="3"/>
        <v>0</v>
      </c>
      <c r="J15" s="1">
        <f t="shared" si="4"/>
        <v>0</v>
      </c>
      <c r="K15" s="1">
        <f t="shared" si="5"/>
        <v>14</v>
      </c>
      <c r="L15" s="1">
        <f t="shared" si="6"/>
        <v>2</v>
      </c>
      <c r="M15" s="1">
        <f t="shared" si="0"/>
        <v>0</v>
      </c>
      <c r="N15" s="1">
        <f t="shared" si="1"/>
        <v>0</v>
      </c>
      <c r="P15" s="1">
        <f t="shared" si="7"/>
        <v>0</v>
      </c>
      <c r="Q15" s="1">
        <f t="shared" si="8"/>
        <v>6</v>
      </c>
      <c r="R15" s="1">
        <f t="shared" si="9"/>
        <v>0</v>
      </c>
      <c r="S15" s="1">
        <f t="shared" si="10"/>
        <v>0</v>
      </c>
      <c r="T15" s="1">
        <f t="shared" si="11"/>
        <v>0</v>
      </c>
      <c r="U15" s="28" t="s">
        <v>4</v>
      </c>
      <c r="V15" s="28" t="s">
        <v>4</v>
      </c>
      <c r="W15" s="28" t="s">
        <v>4</v>
      </c>
      <c r="X15" s="28" t="s">
        <v>18</v>
      </c>
      <c r="Y15" s="28" t="s">
        <v>10</v>
      </c>
      <c r="Z15" s="28" t="s">
        <v>4</v>
      </c>
      <c r="AA15" s="28" t="s">
        <v>4</v>
      </c>
      <c r="AB15" s="28" t="s">
        <v>4</v>
      </c>
      <c r="AC15" s="28" t="s">
        <v>10</v>
      </c>
      <c r="AD15" s="28" t="s">
        <v>11</v>
      </c>
      <c r="AE15" s="28" t="s">
        <v>4</v>
      </c>
      <c r="AF15" s="28" t="s">
        <v>4</v>
      </c>
      <c r="AG15" s="28" t="s">
        <v>4</v>
      </c>
      <c r="AH15" s="28" t="s">
        <v>18</v>
      </c>
      <c r="AI15" s="28" t="s">
        <v>10</v>
      </c>
      <c r="AJ15" s="28" t="s">
        <v>4</v>
      </c>
      <c r="AK15" s="28" t="s">
        <v>4</v>
      </c>
      <c r="AL15" s="28" t="s">
        <v>4</v>
      </c>
      <c r="AM15" s="28" t="s">
        <v>4</v>
      </c>
      <c r="AN15" s="28" t="s">
        <v>10</v>
      </c>
      <c r="AO15" s="28" t="s">
        <v>4</v>
      </c>
      <c r="AP15" s="28" t="s">
        <v>4</v>
      </c>
      <c r="AQ15" s="28" t="s">
        <v>10</v>
      </c>
      <c r="AR15" s="28" t="s">
        <v>10</v>
      </c>
      <c r="AS15" s="28" t="s">
        <v>10</v>
      </c>
      <c r="AT15" s="28" t="s">
        <v>4</v>
      </c>
      <c r="AU15" s="28" t="s">
        <v>4</v>
      </c>
      <c r="AV15" s="28" t="s">
        <v>4</v>
      </c>
      <c r="AW15" s="28" t="s">
        <v>18</v>
      </c>
      <c r="AX15" s="28" t="s">
        <v>11</v>
      </c>
      <c r="AY15" s="28" t="s">
        <v>4</v>
      </c>
      <c r="AZ15" s="28" t="s">
        <v>4</v>
      </c>
      <c r="BA15" s="28" t="s">
        <v>18</v>
      </c>
      <c r="BB15" s="28" t="s">
        <v>10</v>
      </c>
      <c r="BC15" s="28" t="s">
        <v>10</v>
      </c>
      <c r="BD15" s="28" t="s">
        <v>4</v>
      </c>
      <c r="BE15" s="28" t="s">
        <v>4</v>
      </c>
      <c r="BF15" s="28" t="s">
        <v>4</v>
      </c>
      <c r="BG15" s="28" t="s">
        <v>10</v>
      </c>
      <c r="BH15" s="28" t="s">
        <v>10</v>
      </c>
      <c r="BI15" s="28" t="s">
        <v>4</v>
      </c>
      <c r="BJ15" s="28" t="s">
        <v>4</v>
      </c>
      <c r="BK15" s="28" t="s">
        <v>18</v>
      </c>
      <c r="BL15" s="28" t="s">
        <v>10</v>
      </c>
      <c r="BM15" s="28" t="s">
        <v>10</v>
      </c>
      <c r="BN15" s="28" t="s">
        <v>4</v>
      </c>
      <c r="BO15" s="28" t="s">
        <v>4</v>
      </c>
      <c r="BP15" s="28" t="s">
        <v>4</v>
      </c>
      <c r="BQ15" s="28" t="s">
        <v>18</v>
      </c>
      <c r="BR15" s="28" t="s">
        <v>10</v>
      </c>
    </row>
    <row r="16" spans="1:70" x14ac:dyDescent="0.3">
      <c r="A16" s="93"/>
      <c r="B16" s="93"/>
      <c r="C16" s="81">
        <v>44727.708333333336</v>
      </c>
      <c r="D16" s="37">
        <f t="shared" si="12"/>
        <v>0.3125</v>
      </c>
      <c r="E16" s="38">
        <f t="shared" si="13"/>
        <v>4.2708333333357587</v>
      </c>
      <c r="F16" s="5">
        <f t="shared" si="14"/>
        <v>4.2708333333357587</v>
      </c>
      <c r="G16" s="5">
        <f t="shared" si="15"/>
        <v>0.17083333333343034</v>
      </c>
      <c r="H16" s="1">
        <f t="shared" si="2"/>
        <v>28</v>
      </c>
      <c r="I16" s="1">
        <f t="shared" si="3"/>
        <v>0</v>
      </c>
      <c r="J16" s="1">
        <f t="shared" si="4"/>
        <v>0</v>
      </c>
      <c r="K16" s="1">
        <f t="shared" si="5"/>
        <v>12</v>
      </c>
      <c r="L16" s="1">
        <f t="shared" si="6"/>
        <v>4</v>
      </c>
      <c r="M16" s="1">
        <f t="shared" si="0"/>
        <v>0</v>
      </c>
      <c r="N16" s="1">
        <f t="shared" si="1"/>
        <v>0</v>
      </c>
      <c r="P16" s="1">
        <f t="shared" si="7"/>
        <v>0</v>
      </c>
      <c r="Q16" s="1">
        <f t="shared" si="8"/>
        <v>6</v>
      </c>
      <c r="R16" s="1">
        <f t="shared" si="9"/>
        <v>0</v>
      </c>
      <c r="S16" s="1">
        <f t="shared" si="10"/>
        <v>0</v>
      </c>
      <c r="T16" s="1">
        <f t="shared" si="11"/>
        <v>0</v>
      </c>
      <c r="U16" s="28" t="s">
        <v>4</v>
      </c>
      <c r="V16" s="28" t="s">
        <v>4</v>
      </c>
      <c r="W16" s="28" t="s">
        <v>4</v>
      </c>
      <c r="X16" s="28" t="s">
        <v>18</v>
      </c>
      <c r="Y16" s="28" t="s">
        <v>10</v>
      </c>
      <c r="Z16" s="28" t="s">
        <v>4</v>
      </c>
      <c r="AA16" s="28" t="s">
        <v>4</v>
      </c>
      <c r="AB16" s="28" t="s">
        <v>4</v>
      </c>
      <c r="AC16" s="28" t="s">
        <v>11</v>
      </c>
      <c r="AD16" s="28" t="s">
        <v>11</v>
      </c>
      <c r="AE16" s="28" t="s">
        <v>4</v>
      </c>
      <c r="AF16" s="28" t="s">
        <v>4</v>
      </c>
      <c r="AG16" s="28" t="s">
        <v>4</v>
      </c>
      <c r="AH16" s="28" t="s">
        <v>18</v>
      </c>
      <c r="AI16" s="28" t="s">
        <v>10</v>
      </c>
      <c r="AJ16" s="28" t="s">
        <v>4</v>
      </c>
      <c r="AK16" s="28" t="s">
        <v>4</v>
      </c>
      <c r="AL16" s="28" t="s">
        <v>4</v>
      </c>
      <c r="AM16" s="28" t="s">
        <v>4</v>
      </c>
      <c r="AN16" s="28" t="s">
        <v>11</v>
      </c>
      <c r="AO16" s="28" t="s">
        <v>4</v>
      </c>
      <c r="AP16" s="28" t="s">
        <v>4</v>
      </c>
      <c r="AQ16" s="28" t="s">
        <v>10</v>
      </c>
      <c r="AR16" s="28" t="s">
        <v>10</v>
      </c>
      <c r="AS16" s="28" t="s">
        <v>10</v>
      </c>
      <c r="AT16" s="28" t="s">
        <v>4</v>
      </c>
      <c r="AU16" s="28" t="s">
        <v>4</v>
      </c>
      <c r="AV16" s="28" t="s">
        <v>4</v>
      </c>
      <c r="AW16" s="28" t="s">
        <v>18</v>
      </c>
      <c r="AX16" s="28" t="s">
        <v>11</v>
      </c>
      <c r="AY16" s="28" t="s">
        <v>4</v>
      </c>
      <c r="AZ16" s="28" t="s">
        <v>4</v>
      </c>
      <c r="BA16" s="28" t="s">
        <v>18</v>
      </c>
      <c r="BB16" s="28" t="s">
        <v>10</v>
      </c>
      <c r="BC16" s="28" t="s">
        <v>10</v>
      </c>
      <c r="BD16" s="28" t="s">
        <v>4</v>
      </c>
      <c r="BE16" s="28" t="s">
        <v>4</v>
      </c>
      <c r="BF16" s="28" t="s">
        <v>4</v>
      </c>
      <c r="BG16" s="28" t="s">
        <v>10</v>
      </c>
      <c r="BH16" s="28" t="s">
        <v>10</v>
      </c>
      <c r="BI16" s="28" t="s">
        <v>4</v>
      </c>
      <c r="BJ16" s="28" t="s">
        <v>4</v>
      </c>
      <c r="BK16" s="28" t="s">
        <v>18</v>
      </c>
      <c r="BL16" s="28" t="s">
        <v>10</v>
      </c>
      <c r="BM16" s="28" t="s">
        <v>10</v>
      </c>
      <c r="BN16" s="28" t="s">
        <v>4</v>
      </c>
      <c r="BO16" s="28" t="s">
        <v>4</v>
      </c>
      <c r="BP16" s="28" t="s">
        <v>4</v>
      </c>
      <c r="BQ16" s="28" t="s">
        <v>18</v>
      </c>
      <c r="BR16" s="28" t="s">
        <v>10</v>
      </c>
    </row>
    <row r="17" spans="1:70" x14ac:dyDescent="0.3">
      <c r="A17" s="93"/>
      <c r="B17" s="93"/>
      <c r="C17" s="81">
        <v>44727.958333333336</v>
      </c>
      <c r="D17" s="37">
        <f t="shared" si="12"/>
        <v>0.25</v>
      </c>
      <c r="E17" s="38">
        <f t="shared" si="13"/>
        <v>4.5208333333357587</v>
      </c>
      <c r="F17" s="5">
        <f t="shared" si="14"/>
        <v>4.5208333333357587</v>
      </c>
      <c r="G17" s="5">
        <f t="shared" si="15"/>
        <v>0.18083333333343035</v>
      </c>
      <c r="H17" s="1">
        <f t="shared" si="2"/>
        <v>28</v>
      </c>
      <c r="I17" s="1">
        <f t="shared" si="3"/>
        <v>0</v>
      </c>
      <c r="J17" s="1">
        <f t="shared" si="4"/>
        <v>0</v>
      </c>
      <c r="K17" s="1">
        <f t="shared" si="5"/>
        <v>8</v>
      </c>
      <c r="L17" s="1">
        <f t="shared" si="6"/>
        <v>8</v>
      </c>
      <c r="M17" s="1">
        <f t="shared" si="0"/>
        <v>0</v>
      </c>
      <c r="N17" s="1">
        <f t="shared" si="1"/>
        <v>0</v>
      </c>
      <c r="P17" s="1">
        <f t="shared" si="7"/>
        <v>0</v>
      </c>
      <c r="Q17" s="1">
        <f t="shared" si="8"/>
        <v>6</v>
      </c>
      <c r="R17" s="1">
        <f t="shared" si="9"/>
        <v>0</v>
      </c>
      <c r="S17" s="1">
        <f t="shared" si="10"/>
        <v>0</v>
      </c>
      <c r="T17" s="1">
        <f t="shared" si="11"/>
        <v>0</v>
      </c>
      <c r="U17" s="28" t="s">
        <v>4</v>
      </c>
      <c r="V17" s="28" t="s">
        <v>4</v>
      </c>
      <c r="W17" s="28" t="s">
        <v>4</v>
      </c>
      <c r="X17" s="28" t="s">
        <v>18</v>
      </c>
      <c r="Y17" s="28" t="s">
        <v>10</v>
      </c>
      <c r="Z17" s="28" t="s">
        <v>4</v>
      </c>
      <c r="AA17" s="28" t="s">
        <v>4</v>
      </c>
      <c r="AB17" s="28" t="s">
        <v>4</v>
      </c>
      <c r="AC17" s="28" t="s">
        <v>11</v>
      </c>
      <c r="AD17" s="28" t="s">
        <v>11</v>
      </c>
      <c r="AE17" s="28" t="s">
        <v>4</v>
      </c>
      <c r="AF17" s="28" t="s">
        <v>4</v>
      </c>
      <c r="AG17" s="28" t="s">
        <v>4</v>
      </c>
      <c r="AH17" s="28" t="s">
        <v>18</v>
      </c>
      <c r="AI17" s="28" t="s">
        <v>11</v>
      </c>
      <c r="AJ17" s="28" t="s">
        <v>4</v>
      </c>
      <c r="AK17" s="28" t="s">
        <v>4</v>
      </c>
      <c r="AL17" s="28" t="s">
        <v>4</v>
      </c>
      <c r="AM17" s="28" t="s">
        <v>4</v>
      </c>
      <c r="AN17" s="28" t="s">
        <v>11</v>
      </c>
      <c r="AO17" s="28" t="s">
        <v>4</v>
      </c>
      <c r="AP17" s="28" t="s">
        <v>4</v>
      </c>
      <c r="AQ17" s="28" t="s">
        <v>10</v>
      </c>
      <c r="AR17" s="28" t="s">
        <v>10</v>
      </c>
      <c r="AS17" s="28" t="s">
        <v>11</v>
      </c>
      <c r="AT17" s="28" t="s">
        <v>4</v>
      </c>
      <c r="AU17" s="28" t="s">
        <v>4</v>
      </c>
      <c r="AV17" s="28" t="s">
        <v>4</v>
      </c>
      <c r="AW17" s="28" t="s">
        <v>18</v>
      </c>
      <c r="AX17" s="28" t="s">
        <v>11</v>
      </c>
      <c r="AY17" s="28" t="s">
        <v>4</v>
      </c>
      <c r="AZ17" s="28" t="s">
        <v>4</v>
      </c>
      <c r="BA17" s="28" t="s">
        <v>18</v>
      </c>
      <c r="BB17" s="28" t="s">
        <v>11</v>
      </c>
      <c r="BC17" s="28" t="s">
        <v>10</v>
      </c>
      <c r="BD17" s="28" t="s">
        <v>4</v>
      </c>
      <c r="BE17" s="28" t="s">
        <v>4</v>
      </c>
      <c r="BF17" s="28" t="s">
        <v>4</v>
      </c>
      <c r="BG17" s="28" t="s">
        <v>10</v>
      </c>
      <c r="BH17" s="28" t="s">
        <v>11</v>
      </c>
      <c r="BI17" s="28" t="s">
        <v>4</v>
      </c>
      <c r="BJ17" s="28" t="s">
        <v>4</v>
      </c>
      <c r="BK17" s="28" t="s">
        <v>18</v>
      </c>
      <c r="BL17" s="28" t="s">
        <v>10</v>
      </c>
      <c r="BM17" s="28" t="s">
        <v>10</v>
      </c>
      <c r="BN17" s="28" t="s">
        <v>4</v>
      </c>
      <c r="BO17" s="28" t="s">
        <v>4</v>
      </c>
      <c r="BP17" s="28" t="s">
        <v>4</v>
      </c>
      <c r="BQ17" s="28" t="s">
        <v>18</v>
      </c>
      <c r="BR17" s="28" t="s">
        <v>10</v>
      </c>
    </row>
    <row r="18" spans="1:70" x14ac:dyDescent="0.3">
      <c r="A18" s="93">
        <f t="shared" ref="A18:B18" si="19">A15+1</f>
        <v>167</v>
      </c>
      <c r="B18" s="93">
        <f t="shared" si="19"/>
        <v>6</v>
      </c>
      <c r="C18" s="81">
        <v>44728.395833333336</v>
      </c>
      <c r="D18" s="37">
        <f t="shared" si="12"/>
        <v>0.4375</v>
      </c>
      <c r="E18" s="38">
        <f t="shared" si="13"/>
        <v>4.9583333333357587</v>
      </c>
      <c r="F18" s="5">
        <f t="shared" si="14"/>
        <v>4.9583333333357587</v>
      </c>
      <c r="G18" s="5">
        <f t="shared" si="15"/>
        <v>0.19833333333343034</v>
      </c>
      <c r="H18" s="1">
        <f t="shared" si="2"/>
        <v>0</v>
      </c>
      <c r="I18" s="1">
        <f t="shared" si="3"/>
        <v>0</v>
      </c>
      <c r="J18" s="1">
        <f t="shared" si="4"/>
        <v>0</v>
      </c>
      <c r="K18" s="1">
        <f t="shared" si="5"/>
        <v>4</v>
      </c>
      <c r="L18" s="1">
        <f t="shared" si="6"/>
        <v>12</v>
      </c>
      <c r="M18" s="1">
        <f t="shared" si="0"/>
        <v>0</v>
      </c>
      <c r="N18" s="1">
        <f t="shared" si="1"/>
        <v>0</v>
      </c>
      <c r="P18" s="1">
        <f t="shared" si="7"/>
        <v>28</v>
      </c>
      <c r="Q18" s="1">
        <f t="shared" si="8"/>
        <v>6</v>
      </c>
      <c r="R18" s="1">
        <f t="shared" si="9"/>
        <v>0</v>
      </c>
      <c r="S18" s="1">
        <f t="shared" si="10"/>
        <v>0</v>
      </c>
      <c r="T18" s="1">
        <f t="shared" si="11"/>
        <v>0</v>
      </c>
      <c r="U18" s="28" t="s">
        <v>17</v>
      </c>
      <c r="V18" s="28" t="s">
        <v>17</v>
      </c>
      <c r="W18" s="28" t="s">
        <v>17</v>
      </c>
      <c r="X18" s="28" t="s">
        <v>18</v>
      </c>
      <c r="Y18" s="28" t="s">
        <v>11</v>
      </c>
      <c r="Z18" s="28" t="s">
        <v>17</v>
      </c>
      <c r="AA18" s="28" t="s">
        <v>17</v>
      </c>
      <c r="AB18" s="28" t="s">
        <v>17</v>
      </c>
      <c r="AC18" s="28" t="s">
        <v>11</v>
      </c>
      <c r="AD18" s="28" t="s">
        <v>11</v>
      </c>
      <c r="AE18" s="28" t="s">
        <v>17</v>
      </c>
      <c r="AF18" s="28" t="s">
        <v>17</v>
      </c>
      <c r="AG18" s="28" t="s">
        <v>17</v>
      </c>
      <c r="AH18" s="28" t="s">
        <v>18</v>
      </c>
      <c r="AI18" s="28" t="s">
        <v>11</v>
      </c>
      <c r="AJ18" s="28" t="s">
        <v>17</v>
      </c>
      <c r="AK18" s="28" t="s">
        <v>17</v>
      </c>
      <c r="AL18" s="28" t="s">
        <v>17</v>
      </c>
      <c r="AM18" s="28" t="s">
        <v>17</v>
      </c>
      <c r="AN18" s="28" t="s">
        <v>11</v>
      </c>
      <c r="AO18" s="28" t="s">
        <v>17</v>
      </c>
      <c r="AP18" s="28" t="s">
        <v>17</v>
      </c>
      <c r="AQ18" s="28" t="s">
        <v>10</v>
      </c>
      <c r="AR18" s="28" t="s">
        <v>11</v>
      </c>
      <c r="AS18" s="28" t="s">
        <v>11</v>
      </c>
      <c r="AT18" s="28" t="s">
        <v>17</v>
      </c>
      <c r="AU18" s="28" t="s">
        <v>17</v>
      </c>
      <c r="AV18" s="28" t="s">
        <v>17</v>
      </c>
      <c r="AW18" s="28" t="s">
        <v>18</v>
      </c>
      <c r="AX18" s="28" t="s">
        <v>11</v>
      </c>
      <c r="AY18" s="28" t="s">
        <v>17</v>
      </c>
      <c r="AZ18" s="28" t="s">
        <v>17</v>
      </c>
      <c r="BA18" s="28" t="s">
        <v>18</v>
      </c>
      <c r="BB18" s="28" t="s">
        <v>11</v>
      </c>
      <c r="BC18" s="28" t="s">
        <v>11</v>
      </c>
      <c r="BD18" s="28" t="s">
        <v>17</v>
      </c>
      <c r="BE18" s="28" t="s">
        <v>17</v>
      </c>
      <c r="BF18" s="28" t="s">
        <v>17</v>
      </c>
      <c r="BG18" s="28" t="s">
        <v>10</v>
      </c>
      <c r="BH18" s="28" t="s">
        <v>11</v>
      </c>
      <c r="BI18" s="28" t="s">
        <v>17</v>
      </c>
      <c r="BJ18" s="28" t="s">
        <v>17</v>
      </c>
      <c r="BK18" s="28" t="s">
        <v>18</v>
      </c>
      <c r="BL18" s="28" t="s">
        <v>10</v>
      </c>
      <c r="BM18" s="28" t="s">
        <v>10</v>
      </c>
      <c r="BN18" s="28" t="s">
        <v>17</v>
      </c>
      <c r="BO18" s="28" t="s">
        <v>17</v>
      </c>
      <c r="BP18" s="28" t="s">
        <v>17</v>
      </c>
      <c r="BQ18" s="28" t="s">
        <v>18</v>
      </c>
      <c r="BR18" s="28" t="s">
        <v>11</v>
      </c>
    </row>
    <row r="19" spans="1:70" x14ac:dyDescent="0.3">
      <c r="A19" s="93"/>
      <c r="B19" s="93"/>
      <c r="C19" s="81">
        <v>44728.729166666664</v>
      </c>
      <c r="D19" s="37">
        <f t="shared" si="12"/>
        <v>0.33333333332848269</v>
      </c>
      <c r="E19" s="38">
        <f t="shared" si="13"/>
        <v>5.2916666666642413</v>
      </c>
      <c r="F19" s="5">
        <f t="shared" si="14"/>
        <v>5.2916666666642413</v>
      </c>
      <c r="G19" s="5">
        <f t="shared" si="15"/>
        <v>0.21166666666656966</v>
      </c>
      <c r="H19" s="1">
        <f t="shared" si="2"/>
        <v>0</v>
      </c>
      <c r="I19" s="1">
        <f t="shared" si="3"/>
        <v>0</v>
      </c>
      <c r="J19" s="1">
        <f t="shared" si="4"/>
        <v>0</v>
      </c>
      <c r="K19" s="1">
        <f t="shared" si="5"/>
        <v>0</v>
      </c>
      <c r="L19" s="1">
        <f t="shared" si="6"/>
        <v>16</v>
      </c>
      <c r="M19" s="1">
        <f t="shared" si="0"/>
        <v>0</v>
      </c>
      <c r="N19" s="1">
        <f t="shared" si="1"/>
        <v>0</v>
      </c>
      <c r="P19" s="1">
        <f t="shared" si="7"/>
        <v>28</v>
      </c>
      <c r="Q19" s="1">
        <f t="shared" si="8"/>
        <v>6</v>
      </c>
      <c r="R19" s="1">
        <f t="shared" si="9"/>
        <v>0</v>
      </c>
      <c r="S19" s="1">
        <f t="shared" si="10"/>
        <v>0</v>
      </c>
      <c r="T19" s="1">
        <f t="shared" si="11"/>
        <v>0</v>
      </c>
      <c r="U19" s="28" t="s">
        <v>17</v>
      </c>
      <c r="V19" s="28" t="s">
        <v>17</v>
      </c>
      <c r="W19" s="28" t="s">
        <v>17</v>
      </c>
      <c r="X19" s="28" t="s">
        <v>18</v>
      </c>
      <c r="Y19" s="28" t="s">
        <v>11</v>
      </c>
      <c r="Z19" s="28" t="s">
        <v>17</v>
      </c>
      <c r="AA19" s="28" t="s">
        <v>17</v>
      </c>
      <c r="AB19" s="28" t="s">
        <v>17</v>
      </c>
      <c r="AC19" s="28" t="s">
        <v>11</v>
      </c>
      <c r="AD19" s="28" t="s">
        <v>11</v>
      </c>
      <c r="AE19" s="28" t="s">
        <v>17</v>
      </c>
      <c r="AF19" s="28" t="s">
        <v>17</v>
      </c>
      <c r="AG19" s="28" t="s">
        <v>17</v>
      </c>
      <c r="AH19" s="28" t="s">
        <v>18</v>
      </c>
      <c r="AI19" s="28" t="s">
        <v>11</v>
      </c>
      <c r="AJ19" s="28" t="s">
        <v>17</v>
      </c>
      <c r="AK19" s="28" t="s">
        <v>17</v>
      </c>
      <c r="AL19" s="28" t="s">
        <v>17</v>
      </c>
      <c r="AM19" s="28" t="s">
        <v>17</v>
      </c>
      <c r="AN19" s="28" t="s">
        <v>11</v>
      </c>
      <c r="AO19" s="28" t="s">
        <v>17</v>
      </c>
      <c r="AP19" s="28" t="s">
        <v>17</v>
      </c>
      <c r="AQ19" s="28" t="s">
        <v>11</v>
      </c>
      <c r="AR19" s="28" t="s">
        <v>11</v>
      </c>
      <c r="AS19" s="28" t="s">
        <v>11</v>
      </c>
      <c r="AT19" s="28" t="s">
        <v>17</v>
      </c>
      <c r="AU19" s="28" t="s">
        <v>17</v>
      </c>
      <c r="AV19" s="28" t="s">
        <v>17</v>
      </c>
      <c r="AW19" s="28" t="s">
        <v>18</v>
      </c>
      <c r="AX19" s="28" t="s">
        <v>11</v>
      </c>
      <c r="AY19" s="28" t="s">
        <v>17</v>
      </c>
      <c r="AZ19" s="28" t="s">
        <v>17</v>
      </c>
      <c r="BA19" s="28" t="s">
        <v>18</v>
      </c>
      <c r="BB19" s="28" t="s">
        <v>11</v>
      </c>
      <c r="BC19" s="28" t="s">
        <v>11</v>
      </c>
      <c r="BD19" s="28" t="s">
        <v>17</v>
      </c>
      <c r="BE19" s="28" t="s">
        <v>17</v>
      </c>
      <c r="BF19" s="28" t="s">
        <v>17</v>
      </c>
      <c r="BG19" s="28" t="s">
        <v>11</v>
      </c>
      <c r="BH19" s="28" t="s">
        <v>11</v>
      </c>
      <c r="BI19" s="28" t="s">
        <v>17</v>
      </c>
      <c r="BJ19" s="28" t="s">
        <v>17</v>
      </c>
      <c r="BK19" s="28" t="s">
        <v>18</v>
      </c>
      <c r="BL19" s="28" t="s">
        <v>11</v>
      </c>
      <c r="BM19" s="28" t="s">
        <v>11</v>
      </c>
      <c r="BN19" s="28" t="s">
        <v>17</v>
      </c>
      <c r="BO19" s="28" t="s">
        <v>17</v>
      </c>
      <c r="BP19" s="28" t="s">
        <v>17</v>
      </c>
      <c r="BQ19" s="28" t="s">
        <v>18</v>
      </c>
      <c r="BR19" s="28" t="s">
        <v>11</v>
      </c>
    </row>
    <row r="20" spans="1:70" x14ac:dyDescent="0.3">
      <c r="A20" s="93"/>
      <c r="B20" s="93"/>
      <c r="C20" s="81">
        <v>44728.958333333336</v>
      </c>
      <c r="D20" s="37">
        <f t="shared" si="12"/>
        <v>0.22916666667151731</v>
      </c>
      <c r="E20" s="38">
        <f t="shared" si="13"/>
        <v>5.5208333333357587</v>
      </c>
      <c r="F20" s="5">
        <f t="shared" si="14"/>
        <v>5.5208333333357587</v>
      </c>
      <c r="G20" s="5">
        <f t="shared" si="15"/>
        <v>0.22083333333343036</v>
      </c>
      <c r="H20" s="1">
        <f t="shared" si="2"/>
        <v>0</v>
      </c>
      <c r="I20" s="1">
        <f t="shared" si="3"/>
        <v>0</v>
      </c>
      <c r="J20" s="1">
        <f t="shared" si="4"/>
        <v>0</v>
      </c>
      <c r="K20" s="1">
        <f t="shared" si="5"/>
        <v>0</v>
      </c>
      <c r="L20" s="1">
        <f t="shared" si="6"/>
        <v>16</v>
      </c>
      <c r="M20" s="1">
        <f t="shared" si="0"/>
        <v>0</v>
      </c>
      <c r="N20" s="1">
        <f t="shared" si="1"/>
        <v>0</v>
      </c>
      <c r="P20" s="1">
        <f t="shared" si="7"/>
        <v>28</v>
      </c>
      <c r="Q20" s="1">
        <f t="shared" si="8"/>
        <v>6</v>
      </c>
      <c r="R20" s="1">
        <f t="shared" si="9"/>
        <v>0</v>
      </c>
      <c r="S20" s="1">
        <f t="shared" si="10"/>
        <v>0</v>
      </c>
      <c r="T20" s="1">
        <f t="shared" si="11"/>
        <v>0</v>
      </c>
      <c r="U20" s="28" t="s">
        <v>17</v>
      </c>
      <c r="V20" s="28" t="s">
        <v>17</v>
      </c>
      <c r="W20" s="28" t="s">
        <v>17</v>
      </c>
      <c r="X20" s="28" t="s">
        <v>18</v>
      </c>
      <c r="Y20" s="28" t="s">
        <v>11</v>
      </c>
      <c r="Z20" s="28" t="s">
        <v>17</v>
      </c>
      <c r="AA20" s="28" t="s">
        <v>17</v>
      </c>
      <c r="AB20" s="28" t="s">
        <v>17</v>
      </c>
      <c r="AC20" s="28" t="s">
        <v>11</v>
      </c>
      <c r="AD20" s="28" t="s">
        <v>11</v>
      </c>
      <c r="AE20" s="28" t="s">
        <v>17</v>
      </c>
      <c r="AF20" s="28" t="s">
        <v>17</v>
      </c>
      <c r="AG20" s="28" t="s">
        <v>17</v>
      </c>
      <c r="AH20" s="28" t="s">
        <v>18</v>
      </c>
      <c r="AI20" s="28" t="s">
        <v>11</v>
      </c>
      <c r="AJ20" s="28" t="s">
        <v>17</v>
      </c>
      <c r="AK20" s="28" t="s">
        <v>17</v>
      </c>
      <c r="AL20" s="28" t="s">
        <v>17</v>
      </c>
      <c r="AM20" s="28" t="s">
        <v>17</v>
      </c>
      <c r="AN20" s="28" t="s">
        <v>11</v>
      </c>
      <c r="AO20" s="28" t="s">
        <v>17</v>
      </c>
      <c r="AP20" s="28" t="s">
        <v>17</v>
      </c>
      <c r="AQ20" s="28" t="s">
        <v>11</v>
      </c>
      <c r="AR20" s="28" t="s">
        <v>11</v>
      </c>
      <c r="AS20" s="28" t="s">
        <v>11</v>
      </c>
      <c r="AT20" s="28" t="s">
        <v>17</v>
      </c>
      <c r="AU20" s="28" t="s">
        <v>17</v>
      </c>
      <c r="AV20" s="28" t="s">
        <v>17</v>
      </c>
      <c r="AW20" s="28" t="s">
        <v>18</v>
      </c>
      <c r="AX20" s="28" t="s">
        <v>11</v>
      </c>
      <c r="AY20" s="28" t="s">
        <v>17</v>
      </c>
      <c r="AZ20" s="28" t="s">
        <v>17</v>
      </c>
      <c r="BA20" s="28" t="s">
        <v>18</v>
      </c>
      <c r="BB20" s="28" t="s">
        <v>11</v>
      </c>
      <c r="BC20" s="28" t="s">
        <v>11</v>
      </c>
      <c r="BD20" s="28" t="s">
        <v>17</v>
      </c>
      <c r="BE20" s="28" t="s">
        <v>17</v>
      </c>
      <c r="BF20" s="28" t="s">
        <v>17</v>
      </c>
      <c r="BG20" s="28" t="s">
        <v>11</v>
      </c>
      <c r="BH20" s="28" t="s">
        <v>11</v>
      </c>
      <c r="BI20" s="28" t="s">
        <v>17</v>
      </c>
      <c r="BJ20" s="28" t="s">
        <v>17</v>
      </c>
      <c r="BK20" s="28" t="s">
        <v>18</v>
      </c>
      <c r="BL20" s="28" t="s">
        <v>11</v>
      </c>
      <c r="BM20" s="28" t="s">
        <v>11</v>
      </c>
      <c r="BN20" s="28" t="s">
        <v>17</v>
      </c>
      <c r="BO20" s="28" t="s">
        <v>17</v>
      </c>
      <c r="BP20" s="28" t="s">
        <v>17</v>
      </c>
      <c r="BQ20" s="28" t="s">
        <v>18</v>
      </c>
      <c r="BR20" s="28" t="s">
        <v>11</v>
      </c>
    </row>
    <row r="21" spans="1:70" x14ac:dyDescent="0.3">
      <c r="A21" s="93">
        <f t="shared" ref="A21:B21" si="20">A18+1</f>
        <v>168</v>
      </c>
      <c r="B21" s="93">
        <f t="shared" si="20"/>
        <v>7</v>
      </c>
      <c r="C21" s="81">
        <v>44729.395833333336</v>
      </c>
      <c r="D21" s="37">
        <f t="shared" si="12"/>
        <v>0.4375</v>
      </c>
      <c r="E21" s="38">
        <f t="shared" si="13"/>
        <v>5.9583333333357587</v>
      </c>
      <c r="F21" s="5">
        <f t="shared" si="14"/>
        <v>5.9583333333357587</v>
      </c>
      <c r="G21" s="5">
        <f t="shared" si="15"/>
        <v>0.23833333333343035</v>
      </c>
      <c r="H21" s="1">
        <f t="shared" si="2"/>
        <v>0</v>
      </c>
      <c r="I21" s="1">
        <f t="shared" si="3"/>
        <v>0</v>
      </c>
      <c r="J21" s="1">
        <f t="shared" si="4"/>
        <v>0</v>
      </c>
      <c r="K21" s="1">
        <f t="shared" si="5"/>
        <v>0</v>
      </c>
      <c r="L21" s="1">
        <f t="shared" si="6"/>
        <v>16</v>
      </c>
      <c r="M21" s="1">
        <f t="shared" si="0"/>
        <v>0</v>
      </c>
      <c r="N21" s="1">
        <f t="shared" si="1"/>
        <v>0</v>
      </c>
      <c r="P21" s="1">
        <f t="shared" si="7"/>
        <v>28</v>
      </c>
      <c r="Q21" s="1">
        <f t="shared" si="8"/>
        <v>6</v>
      </c>
      <c r="R21" s="1">
        <f t="shared" si="9"/>
        <v>0</v>
      </c>
      <c r="S21" s="1">
        <f t="shared" si="10"/>
        <v>0</v>
      </c>
      <c r="T21" s="1">
        <f t="shared" si="11"/>
        <v>0</v>
      </c>
      <c r="U21" s="28" t="s">
        <v>17</v>
      </c>
      <c r="V21" s="28" t="s">
        <v>17</v>
      </c>
      <c r="W21" s="28" t="s">
        <v>17</v>
      </c>
      <c r="X21" s="28" t="s">
        <v>18</v>
      </c>
      <c r="Y21" s="28" t="s">
        <v>11</v>
      </c>
      <c r="Z21" s="28" t="s">
        <v>17</v>
      </c>
      <c r="AA21" s="28" t="s">
        <v>17</v>
      </c>
      <c r="AB21" s="28" t="s">
        <v>17</v>
      </c>
      <c r="AC21" s="28" t="s">
        <v>11</v>
      </c>
      <c r="AD21" s="28" t="s">
        <v>11</v>
      </c>
      <c r="AE21" s="28" t="s">
        <v>17</v>
      </c>
      <c r="AF21" s="28" t="s">
        <v>17</v>
      </c>
      <c r="AG21" s="28" t="s">
        <v>17</v>
      </c>
      <c r="AH21" s="28" t="s">
        <v>18</v>
      </c>
      <c r="AI21" s="28" t="s">
        <v>11</v>
      </c>
      <c r="AJ21" s="28" t="s">
        <v>17</v>
      </c>
      <c r="AK21" s="28" t="s">
        <v>17</v>
      </c>
      <c r="AL21" s="28" t="s">
        <v>17</v>
      </c>
      <c r="AM21" s="28" t="s">
        <v>17</v>
      </c>
      <c r="AN21" s="28" t="s">
        <v>11</v>
      </c>
      <c r="AO21" s="28" t="s">
        <v>17</v>
      </c>
      <c r="AP21" s="28" t="s">
        <v>17</v>
      </c>
      <c r="AQ21" s="28" t="s">
        <v>11</v>
      </c>
      <c r="AR21" s="28" t="s">
        <v>11</v>
      </c>
      <c r="AS21" s="28" t="s">
        <v>11</v>
      </c>
      <c r="AT21" s="28" t="s">
        <v>17</v>
      </c>
      <c r="AU21" s="28" t="s">
        <v>17</v>
      </c>
      <c r="AV21" s="28" t="s">
        <v>17</v>
      </c>
      <c r="AW21" s="28" t="s">
        <v>18</v>
      </c>
      <c r="AX21" s="28" t="s">
        <v>11</v>
      </c>
      <c r="AY21" s="28" t="s">
        <v>17</v>
      </c>
      <c r="AZ21" s="28" t="s">
        <v>17</v>
      </c>
      <c r="BA21" s="28" t="s">
        <v>18</v>
      </c>
      <c r="BB21" s="28" t="s">
        <v>11</v>
      </c>
      <c r="BC21" s="28" t="s">
        <v>11</v>
      </c>
      <c r="BD21" s="28" t="s">
        <v>17</v>
      </c>
      <c r="BE21" s="28" t="s">
        <v>17</v>
      </c>
      <c r="BF21" s="28" t="s">
        <v>17</v>
      </c>
      <c r="BG21" s="28" t="s">
        <v>11</v>
      </c>
      <c r="BH21" s="28" t="s">
        <v>11</v>
      </c>
      <c r="BI21" s="28" t="s">
        <v>17</v>
      </c>
      <c r="BJ21" s="28" t="s">
        <v>17</v>
      </c>
      <c r="BK21" s="28" t="s">
        <v>18</v>
      </c>
      <c r="BL21" s="28" t="s">
        <v>11</v>
      </c>
      <c r="BM21" s="28" t="s">
        <v>11</v>
      </c>
      <c r="BN21" s="28" t="s">
        <v>17</v>
      </c>
      <c r="BO21" s="28" t="s">
        <v>17</v>
      </c>
      <c r="BP21" s="28" t="s">
        <v>17</v>
      </c>
      <c r="BQ21" s="28" t="s">
        <v>18</v>
      </c>
      <c r="BR21" s="28" t="s">
        <v>11</v>
      </c>
    </row>
    <row r="22" spans="1:70" x14ac:dyDescent="0.3">
      <c r="A22" s="93"/>
      <c r="B22" s="93"/>
      <c r="C22" s="81">
        <v>44729.708333333336</v>
      </c>
      <c r="D22" s="37">
        <f t="shared" si="12"/>
        <v>0.3125</v>
      </c>
      <c r="E22" s="38">
        <f t="shared" si="13"/>
        <v>6.2708333333357587</v>
      </c>
      <c r="F22" s="5">
        <f t="shared" si="14"/>
        <v>6.2708333333357587</v>
      </c>
      <c r="G22" s="5">
        <f t="shared" si="15"/>
        <v>0.25083333333343033</v>
      </c>
      <c r="H22" s="1">
        <f t="shared" si="2"/>
        <v>0</v>
      </c>
      <c r="I22" s="1">
        <f t="shared" si="3"/>
        <v>0</v>
      </c>
      <c r="J22" s="1">
        <f t="shared" si="4"/>
        <v>0</v>
      </c>
      <c r="K22" s="1">
        <f t="shared" si="5"/>
        <v>0</v>
      </c>
      <c r="L22" s="1">
        <f t="shared" si="6"/>
        <v>16</v>
      </c>
      <c r="M22" s="1">
        <f t="shared" si="0"/>
        <v>0</v>
      </c>
      <c r="N22" s="1">
        <f t="shared" si="1"/>
        <v>0</v>
      </c>
      <c r="P22" s="1">
        <f t="shared" si="7"/>
        <v>28</v>
      </c>
      <c r="Q22" s="1">
        <f t="shared" si="8"/>
        <v>6</v>
      </c>
      <c r="R22" s="1">
        <f t="shared" si="9"/>
        <v>0</v>
      </c>
      <c r="S22" s="1">
        <f t="shared" si="10"/>
        <v>0</v>
      </c>
      <c r="T22" s="1">
        <f t="shared" si="11"/>
        <v>0</v>
      </c>
      <c r="U22" s="28" t="s">
        <v>17</v>
      </c>
      <c r="V22" s="28" t="s">
        <v>17</v>
      </c>
      <c r="W22" s="28" t="s">
        <v>17</v>
      </c>
      <c r="X22" s="28" t="s">
        <v>18</v>
      </c>
      <c r="Y22" s="28" t="s">
        <v>11</v>
      </c>
      <c r="Z22" s="28" t="s">
        <v>17</v>
      </c>
      <c r="AA22" s="28" t="s">
        <v>17</v>
      </c>
      <c r="AB22" s="28" t="s">
        <v>17</v>
      </c>
      <c r="AC22" s="28" t="s">
        <v>11</v>
      </c>
      <c r="AD22" s="28" t="s">
        <v>11</v>
      </c>
      <c r="AE22" s="28" t="s">
        <v>17</v>
      </c>
      <c r="AF22" s="28" t="s">
        <v>17</v>
      </c>
      <c r="AG22" s="28" t="s">
        <v>17</v>
      </c>
      <c r="AH22" s="28" t="s">
        <v>18</v>
      </c>
      <c r="AI22" s="28" t="s">
        <v>11</v>
      </c>
      <c r="AJ22" s="28" t="s">
        <v>17</v>
      </c>
      <c r="AK22" s="28" t="s">
        <v>17</v>
      </c>
      <c r="AL22" s="28" t="s">
        <v>17</v>
      </c>
      <c r="AM22" s="28" t="s">
        <v>17</v>
      </c>
      <c r="AN22" s="28" t="s">
        <v>11</v>
      </c>
      <c r="AO22" s="28" t="s">
        <v>17</v>
      </c>
      <c r="AP22" s="28" t="s">
        <v>17</v>
      </c>
      <c r="AQ22" s="28" t="s">
        <v>11</v>
      </c>
      <c r="AR22" s="28" t="s">
        <v>11</v>
      </c>
      <c r="AS22" s="28" t="s">
        <v>11</v>
      </c>
      <c r="AT22" s="28" t="s">
        <v>17</v>
      </c>
      <c r="AU22" s="28" t="s">
        <v>17</v>
      </c>
      <c r="AV22" s="28" t="s">
        <v>17</v>
      </c>
      <c r="AW22" s="28" t="s">
        <v>18</v>
      </c>
      <c r="AX22" s="28" t="s">
        <v>11</v>
      </c>
      <c r="AY22" s="28" t="s">
        <v>17</v>
      </c>
      <c r="AZ22" s="28" t="s">
        <v>17</v>
      </c>
      <c r="BA22" s="28" t="s">
        <v>18</v>
      </c>
      <c r="BB22" s="28" t="s">
        <v>11</v>
      </c>
      <c r="BC22" s="28" t="s">
        <v>11</v>
      </c>
      <c r="BD22" s="28" t="s">
        <v>17</v>
      </c>
      <c r="BE22" s="28" t="s">
        <v>17</v>
      </c>
      <c r="BF22" s="28" t="s">
        <v>17</v>
      </c>
      <c r="BG22" s="28" t="s">
        <v>11</v>
      </c>
      <c r="BH22" s="28" t="s">
        <v>11</v>
      </c>
      <c r="BI22" s="28" t="s">
        <v>17</v>
      </c>
      <c r="BJ22" s="28" t="s">
        <v>17</v>
      </c>
      <c r="BK22" s="28" t="s">
        <v>18</v>
      </c>
      <c r="BL22" s="28" t="s">
        <v>11</v>
      </c>
      <c r="BM22" s="28" t="s">
        <v>11</v>
      </c>
      <c r="BN22" s="28" t="s">
        <v>17</v>
      </c>
      <c r="BO22" s="28" t="s">
        <v>17</v>
      </c>
      <c r="BP22" s="28" t="s">
        <v>17</v>
      </c>
      <c r="BQ22" s="28" t="s">
        <v>18</v>
      </c>
      <c r="BR22" s="28" t="s">
        <v>11</v>
      </c>
    </row>
    <row r="23" spans="1:70" x14ac:dyDescent="0.3">
      <c r="A23" s="93"/>
      <c r="B23" s="93"/>
      <c r="C23" s="81">
        <v>44729.958333333336</v>
      </c>
      <c r="D23" s="37">
        <f t="shared" si="12"/>
        <v>0.25</v>
      </c>
      <c r="E23" s="38">
        <f t="shared" si="13"/>
        <v>6.5208333333357587</v>
      </c>
      <c r="F23" s="5">
        <f t="shared" si="14"/>
        <v>6.5208333333357587</v>
      </c>
      <c r="G23" s="5">
        <f t="shared" si="15"/>
        <v>0.26083333333343034</v>
      </c>
      <c r="H23" s="1">
        <f t="shared" si="2"/>
        <v>0</v>
      </c>
      <c r="I23" s="1">
        <f t="shared" si="3"/>
        <v>0</v>
      </c>
      <c r="J23" s="1">
        <f t="shared" si="4"/>
        <v>0</v>
      </c>
      <c r="K23" s="1">
        <f t="shared" si="5"/>
        <v>0</v>
      </c>
      <c r="L23" s="1">
        <f t="shared" si="6"/>
        <v>16</v>
      </c>
      <c r="M23" s="1">
        <f t="shared" si="0"/>
        <v>0</v>
      </c>
      <c r="N23" s="1">
        <f t="shared" si="1"/>
        <v>0</v>
      </c>
      <c r="P23" s="1">
        <f t="shared" si="7"/>
        <v>28</v>
      </c>
      <c r="Q23" s="1">
        <f t="shared" si="8"/>
        <v>6</v>
      </c>
      <c r="R23" s="1">
        <f t="shared" si="9"/>
        <v>0</v>
      </c>
      <c r="S23" s="1">
        <f t="shared" si="10"/>
        <v>0</v>
      </c>
      <c r="T23" s="1">
        <f t="shared" si="11"/>
        <v>0</v>
      </c>
      <c r="U23" s="28" t="s">
        <v>17</v>
      </c>
      <c r="V23" s="28" t="s">
        <v>17</v>
      </c>
      <c r="W23" s="28" t="s">
        <v>17</v>
      </c>
      <c r="X23" s="28" t="s">
        <v>18</v>
      </c>
      <c r="Y23" s="28" t="s">
        <v>11</v>
      </c>
      <c r="Z23" s="28" t="s">
        <v>17</v>
      </c>
      <c r="AA23" s="28" t="s">
        <v>17</v>
      </c>
      <c r="AB23" s="28" t="s">
        <v>17</v>
      </c>
      <c r="AC23" s="28" t="s">
        <v>11</v>
      </c>
      <c r="AD23" s="28" t="s">
        <v>11</v>
      </c>
      <c r="AE23" s="28" t="s">
        <v>17</v>
      </c>
      <c r="AF23" s="28" t="s">
        <v>17</v>
      </c>
      <c r="AG23" s="28" t="s">
        <v>17</v>
      </c>
      <c r="AH23" s="28" t="s">
        <v>18</v>
      </c>
      <c r="AI23" s="28" t="s">
        <v>11</v>
      </c>
      <c r="AJ23" s="28" t="s">
        <v>17</v>
      </c>
      <c r="AK23" s="28" t="s">
        <v>17</v>
      </c>
      <c r="AL23" s="28" t="s">
        <v>17</v>
      </c>
      <c r="AM23" s="28" t="s">
        <v>17</v>
      </c>
      <c r="AN23" s="28" t="s">
        <v>11</v>
      </c>
      <c r="AO23" s="28" t="s">
        <v>17</v>
      </c>
      <c r="AP23" s="28" t="s">
        <v>17</v>
      </c>
      <c r="AQ23" s="28" t="s">
        <v>11</v>
      </c>
      <c r="AR23" s="28" t="s">
        <v>11</v>
      </c>
      <c r="AS23" s="28" t="s">
        <v>11</v>
      </c>
      <c r="AT23" s="28" t="s">
        <v>17</v>
      </c>
      <c r="AU23" s="28" t="s">
        <v>17</v>
      </c>
      <c r="AV23" s="28" t="s">
        <v>17</v>
      </c>
      <c r="AW23" s="28" t="s">
        <v>18</v>
      </c>
      <c r="AX23" s="28" t="s">
        <v>11</v>
      </c>
      <c r="AY23" s="28" t="s">
        <v>17</v>
      </c>
      <c r="AZ23" s="28" t="s">
        <v>17</v>
      </c>
      <c r="BA23" s="28" t="s">
        <v>18</v>
      </c>
      <c r="BB23" s="28" t="s">
        <v>11</v>
      </c>
      <c r="BC23" s="28" t="s">
        <v>11</v>
      </c>
      <c r="BD23" s="28" t="s">
        <v>17</v>
      </c>
      <c r="BE23" s="28" t="s">
        <v>17</v>
      </c>
      <c r="BF23" s="28" t="s">
        <v>17</v>
      </c>
      <c r="BG23" s="28" t="s">
        <v>11</v>
      </c>
      <c r="BH23" s="28" t="s">
        <v>11</v>
      </c>
      <c r="BI23" s="28" t="s">
        <v>17</v>
      </c>
      <c r="BJ23" s="28" t="s">
        <v>17</v>
      </c>
      <c r="BK23" s="28" t="s">
        <v>18</v>
      </c>
      <c r="BL23" s="28" t="s">
        <v>11</v>
      </c>
      <c r="BM23" s="28" t="s">
        <v>11</v>
      </c>
      <c r="BN23" s="28" t="s">
        <v>17</v>
      </c>
      <c r="BO23" s="28" t="s">
        <v>17</v>
      </c>
      <c r="BP23" s="28" t="s">
        <v>17</v>
      </c>
      <c r="BQ23" s="28" t="s">
        <v>18</v>
      </c>
      <c r="BR23" s="28" t="s">
        <v>11</v>
      </c>
    </row>
    <row r="24" spans="1:70" x14ac:dyDescent="0.3">
      <c r="A24" s="93">
        <f t="shared" ref="A24" si="21">A21+1</f>
        <v>169</v>
      </c>
      <c r="B24" s="93">
        <f>B21+1</f>
        <v>8</v>
      </c>
      <c r="C24" s="81">
        <v>44730.416666666664</v>
      </c>
      <c r="D24" s="37">
        <f t="shared" si="12"/>
        <v>0.45833333332848269</v>
      </c>
      <c r="E24" s="38">
        <f t="shared" si="13"/>
        <v>6.9791666666642413</v>
      </c>
      <c r="F24" s="5">
        <f t="shared" si="14"/>
        <v>6.9791666666642413</v>
      </c>
      <c r="G24" s="5">
        <f t="shared" si="15"/>
        <v>0.27916666666656964</v>
      </c>
      <c r="H24" s="1">
        <f t="shared" si="2"/>
        <v>0</v>
      </c>
      <c r="I24" s="1">
        <f t="shared" si="3"/>
        <v>0</v>
      </c>
      <c r="J24" s="1">
        <f t="shared" si="4"/>
        <v>0</v>
      </c>
      <c r="K24" s="1">
        <f t="shared" si="5"/>
        <v>0</v>
      </c>
      <c r="L24" s="1">
        <f t="shared" si="6"/>
        <v>16</v>
      </c>
      <c r="M24" s="1">
        <f t="shared" si="0"/>
        <v>0</v>
      </c>
      <c r="N24" s="1">
        <f t="shared" si="1"/>
        <v>0</v>
      </c>
      <c r="P24" s="1">
        <f t="shared" si="7"/>
        <v>28</v>
      </c>
      <c r="Q24" s="1">
        <f t="shared" si="8"/>
        <v>6</v>
      </c>
      <c r="R24" s="1">
        <f t="shared" si="9"/>
        <v>0</v>
      </c>
      <c r="S24" s="1">
        <f t="shared" si="10"/>
        <v>0</v>
      </c>
      <c r="T24" s="1">
        <f t="shared" si="11"/>
        <v>0</v>
      </c>
      <c r="U24" s="28" t="s">
        <v>17</v>
      </c>
      <c r="V24" s="28" t="s">
        <v>17</v>
      </c>
      <c r="W24" s="28" t="s">
        <v>17</v>
      </c>
      <c r="X24" s="28" t="s">
        <v>18</v>
      </c>
      <c r="Y24" s="28" t="s">
        <v>11</v>
      </c>
      <c r="Z24" s="28" t="s">
        <v>17</v>
      </c>
      <c r="AA24" s="28" t="s">
        <v>17</v>
      </c>
      <c r="AB24" s="28" t="s">
        <v>17</v>
      </c>
      <c r="AC24" s="28" t="s">
        <v>11</v>
      </c>
      <c r="AD24" s="28" t="s">
        <v>11</v>
      </c>
      <c r="AE24" s="28" t="s">
        <v>17</v>
      </c>
      <c r="AF24" s="28" t="s">
        <v>17</v>
      </c>
      <c r="AG24" s="28" t="s">
        <v>17</v>
      </c>
      <c r="AH24" s="28" t="s">
        <v>18</v>
      </c>
      <c r="AI24" s="28" t="s">
        <v>11</v>
      </c>
      <c r="AJ24" s="28" t="s">
        <v>17</v>
      </c>
      <c r="AK24" s="28" t="s">
        <v>17</v>
      </c>
      <c r="AL24" s="28" t="s">
        <v>17</v>
      </c>
      <c r="AM24" s="28" t="s">
        <v>17</v>
      </c>
      <c r="AN24" s="28" t="s">
        <v>11</v>
      </c>
      <c r="AO24" s="28" t="s">
        <v>17</v>
      </c>
      <c r="AP24" s="28" t="s">
        <v>17</v>
      </c>
      <c r="AQ24" s="28" t="s">
        <v>11</v>
      </c>
      <c r="AR24" s="28" t="s">
        <v>11</v>
      </c>
      <c r="AS24" s="28" t="s">
        <v>11</v>
      </c>
      <c r="AT24" s="28" t="s">
        <v>17</v>
      </c>
      <c r="AU24" s="28" t="s">
        <v>17</v>
      </c>
      <c r="AV24" s="28" t="s">
        <v>17</v>
      </c>
      <c r="AW24" s="28" t="s">
        <v>18</v>
      </c>
      <c r="AX24" s="28" t="s">
        <v>11</v>
      </c>
      <c r="AY24" s="28" t="s">
        <v>17</v>
      </c>
      <c r="AZ24" s="28" t="s">
        <v>17</v>
      </c>
      <c r="BA24" s="28" t="s">
        <v>18</v>
      </c>
      <c r="BB24" s="28" t="s">
        <v>11</v>
      </c>
      <c r="BC24" s="28" t="s">
        <v>11</v>
      </c>
      <c r="BD24" s="28" t="s">
        <v>17</v>
      </c>
      <c r="BE24" s="28" t="s">
        <v>17</v>
      </c>
      <c r="BF24" s="28" t="s">
        <v>17</v>
      </c>
      <c r="BG24" s="28" t="s">
        <v>11</v>
      </c>
      <c r="BH24" s="28" t="s">
        <v>11</v>
      </c>
      <c r="BI24" s="28" t="s">
        <v>17</v>
      </c>
      <c r="BJ24" s="28" t="s">
        <v>17</v>
      </c>
      <c r="BK24" s="28" t="s">
        <v>18</v>
      </c>
      <c r="BL24" s="28" t="s">
        <v>11</v>
      </c>
      <c r="BM24" s="28" t="s">
        <v>11</v>
      </c>
      <c r="BN24" s="28" t="s">
        <v>17</v>
      </c>
      <c r="BO24" s="28" t="s">
        <v>17</v>
      </c>
      <c r="BP24" s="28" t="s">
        <v>17</v>
      </c>
      <c r="BQ24" s="28" t="s">
        <v>18</v>
      </c>
      <c r="BR24" s="28" t="s">
        <v>11</v>
      </c>
    </row>
    <row r="25" spans="1:70" x14ac:dyDescent="0.3">
      <c r="A25" s="93"/>
      <c r="B25" s="93"/>
      <c r="C25" s="81">
        <v>44730.75</v>
      </c>
      <c r="D25" s="37">
        <f t="shared" si="12"/>
        <v>0.33333333333575865</v>
      </c>
      <c r="E25" s="38">
        <f t="shared" si="13"/>
        <v>7.3125</v>
      </c>
      <c r="F25" s="5">
        <f t="shared" si="14"/>
        <v>7.3125</v>
      </c>
      <c r="G25" s="5">
        <f t="shared" si="15"/>
        <v>0.29249999999999998</v>
      </c>
      <c r="H25" s="1">
        <f t="shared" si="2"/>
        <v>0</v>
      </c>
      <c r="I25" s="1">
        <f t="shared" si="3"/>
        <v>0</v>
      </c>
      <c r="J25" s="1">
        <f t="shared" si="4"/>
        <v>0</v>
      </c>
      <c r="K25" s="1">
        <f t="shared" si="5"/>
        <v>0</v>
      </c>
      <c r="L25" s="1">
        <f t="shared" si="6"/>
        <v>16</v>
      </c>
      <c r="M25" s="1">
        <f t="shared" si="0"/>
        <v>0</v>
      </c>
      <c r="N25" s="1">
        <f t="shared" si="1"/>
        <v>0</v>
      </c>
      <c r="P25" s="1">
        <f t="shared" si="7"/>
        <v>28</v>
      </c>
      <c r="Q25" s="1">
        <f t="shared" si="8"/>
        <v>6</v>
      </c>
      <c r="R25" s="1">
        <f t="shared" si="9"/>
        <v>0</v>
      </c>
      <c r="S25" s="1">
        <f t="shared" si="10"/>
        <v>0</v>
      </c>
      <c r="T25" s="1">
        <f t="shared" si="11"/>
        <v>0</v>
      </c>
      <c r="U25" s="28" t="s">
        <v>17</v>
      </c>
      <c r="V25" s="28" t="s">
        <v>17</v>
      </c>
      <c r="W25" s="28" t="s">
        <v>17</v>
      </c>
      <c r="X25" s="28" t="s">
        <v>18</v>
      </c>
      <c r="Y25" s="28" t="s">
        <v>11</v>
      </c>
      <c r="Z25" s="28" t="s">
        <v>17</v>
      </c>
      <c r="AA25" s="28" t="s">
        <v>17</v>
      </c>
      <c r="AB25" s="28" t="s">
        <v>17</v>
      </c>
      <c r="AC25" s="28" t="s">
        <v>11</v>
      </c>
      <c r="AD25" s="28" t="s">
        <v>11</v>
      </c>
      <c r="AE25" s="28" t="s">
        <v>17</v>
      </c>
      <c r="AF25" s="28" t="s">
        <v>17</v>
      </c>
      <c r="AG25" s="28" t="s">
        <v>17</v>
      </c>
      <c r="AH25" s="28" t="s">
        <v>18</v>
      </c>
      <c r="AI25" s="28" t="s">
        <v>11</v>
      </c>
      <c r="AJ25" s="28" t="s">
        <v>17</v>
      </c>
      <c r="AK25" s="28" t="s">
        <v>17</v>
      </c>
      <c r="AL25" s="28" t="s">
        <v>17</v>
      </c>
      <c r="AM25" s="28" t="s">
        <v>17</v>
      </c>
      <c r="AN25" s="28" t="s">
        <v>11</v>
      </c>
      <c r="AO25" s="28" t="s">
        <v>17</v>
      </c>
      <c r="AP25" s="28" t="s">
        <v>17</v>
      </c>
      <c r="AQ25" s="28" t="s">
        <v>11</v>
      </c>
      <c r="AR25" s="28" t="s">
        <v>11</v>
      </c>
      <c r="AS25" s="28" t="s">
        <v>11</v>
      </c>
      <c r="AT25" s="28" t="s">
        <v>17</v>
      </c>
      <c r="AU25" s="28" t="s">
        <v>17</v>
      </c>
      <c r="AV25" s="28" t="s">
        <v>17</v>
      </c>
      <c r="AW25" s="28" t="s">
        <v>18</v>
      </c>
      <c r="AX25" s="28" t="s">
        <v>11</v>
      </c>
      <c r="AY25" s="28" t="s">
        <v>17</v>
      </c>
      <c r="AZ25" s="28" t="s">
        <v>17</v>
      </c>
      <c r="BA25" s="28" t="s">
        <v>18</v>
      </c>
      <c r="BB25" s="28" t="s">
        <v>11</v>
      </c>
      <c r="BC25" s="28" t="s">
        <v>11</v>
      </c>
      <c r="BD25" s="28" t="s">
        <v>17</v>
      </c>
      <c r="BE25" s="28" t="s">
        <v>17</v>
      </c>
      <c r="BF25" s="28" t="s">
        <v>17</v>
      </c>
      <c r="BG25" s="28" t="s">
        <v>11</v>
      </c>
      <c r="BH25" s="28" t="s">
        <v>11</v>
      </c>
      <c r="BI25" s="28" t="s">
        <v>17</v>
      </c>
      <c r="BJ25" s="28" t="s">
        <v>17</v>
      </c>
      <c r="BK25" s="28" t="s">
        <v>18</v>
      </c>
      <c r="BL25" s="28" t="s">
        <v>11</v>
      </c>
      <c r="BM25" s="28" t="s">
        <v>11</v>
      </c>
      <c r="BN25" s="28" t="s">
        <v>17</v>
      </c>
      <c r="BO25" s="28" t="s">
        <v>17</v>
      </c>
      <c r="BP25" s="28" t="s">
        <v>17</v>
      </c>
      <c r="BQ25" s="28" t="s">
        <v>18</v>
      </c>
      <c r="BR25" s="28" t="s">
        <v>11</v>
      </c>
    </row>
    <row r="26" spans="1:70" x14ac:dyDescent="0.3">
      <c r="A26" s="93"/>
      <c r="B26" s="93"/>
      <c r="C26" s="81">
        <v>44730.9375</v>
      </c>
      <c r="D26" s="37">
        <f>(C26-C25)</f>
        <v>0.1875</v>
      </c>
      <c r="E26" s="38">
        <f t="shared" si="13"/>
        <v>7.5</v>
      </c>
      <c r="F26" s="5">
        <f t="shared" si="14"/>
        <v>7.5</v>
      </c>
      <c r="G26" s="5">
        <f t="shared" si="15"/>
        <v>0.3</v>
      </c>
      <c r="H26" s="1">
        <f t="shared" si="2"/>
        <v>0</v>
      </c>
      <c r="I26" s="1">
        <f t="shared" si="3"/>
        <v>0</v>
      </c>
      <c r="J26" s="1">
        <f t="shared" si="4"/>
        <v>0</v>
      </c>
      <c r="K26" s="1">
        <f t="shared" si="5"/>
        <v>0</v>
      </c>
      <c r="L26" s="1">
        <f t="shared" si="6"/>
        <v>16</v>
      </c>
      <c r="M26" s="1">
        <f t="shared" si="0"/>
        <v>0</v>
      </c>
      <c r="N26" s="1">
        <f t="shared" si="1"/>
        <v>0</v>
      </c>
      <c r="P26" s="1">
        <f t="shared" si="7"/>
        <v>28</v>
      </c>
      <c r="Q26" s="1">
        <f t="shared" si="8"/>
        <v>6</v>
      </c>
      <c r="R26" s="1">
        <f t="shared" si="9"/>
        <v>0</v>
      </c>
      <c r="S26" s="1">
        <f t="shared" si="10"/>
        <v>0</v>
      </c>
      <c r="T26" s="1">
        <f t="shared" si="11"/>
        <v>0</v>
      </c>
      <c r="U26" s="28" t="s">
        <v>17</v>
      </c>
      <c r="V26" s="28" t="s">
        <v>17</v>
      </c>
      <c r="W26" s="28" t="s">
        <v>17</v>
      </c>
      <c r="X26" s="28" t="s">
        <v>18</v>
      </c>
      <c r="Y26" s="28" t="s">
        <v>11</v>
      </c>
      <c r="Z26" s="28" t="s">
        <v>17</v>
      </c>
      <c r="AA26" s="28" t="s">
        <v>17</v>
      </c>
      <c r="AB26" s="28" t="s">
        <v>17</v>
      </c>
      <c r="AC26" s="28" t="s">
        <v>11</v>
      </c>
      <c r="AD26" s="28" t="s">
        <v>11</v>
      </c>
      <c r="AE26" s="28" t="s">
        <v>17</v>
      </c>
      <c r="AF26" s="28" t="s">
        <v>17</v>
      </c>
      <c r="AG26" s="28" t="s">
        <v>17</v>
      </c>
      <c r="AH26" s="28" t="s">
        <v>18</v>
      </c>
      <c r="AI26" s="28" t="s">
        <v>11</v>
      </c>
      <c r="AJ26" s="28" t="s">
        <v>17</v>
      </c>
      <c r="AK26" s="28" t="s">
        <v>17</v>
      </c>
      <c r="AL26" s="28" t="s">
        <v>17</v>
      </c>
      <c r="AM26" s="28" t="s">
        <v>17</v>
      </c>
      <c r="AN26" s="28" t="s">
        <v>11</v>
      </c>
      <c r="AO26" s="28" t="s">
        <v>17</v>
      </c>
      <c r="AP26" s="28" t="s">
        <v>17</v>
      </c>
      <c r="AQ26" s="28" t="s">
        <v>11</v>
      </c>
      <c r="AR26" s="28" t="s">
        <v>11</v>
      </c>
      <c r="AS26" s="28" t="s">
        <v>11</v>
      </c>
      <c r="AT26" s="28" t="s">
        <v>17</v>
      </c>
      <c r="AU26" s="28" t="s">
        <v>17</v>
      </c>
      <c r="AV26" s="28" t="s">
        <v>17</v>
      </c>
      <c r="AW26" s="28" t="s">
        <v>18</v>
      </c>
      <c r="AX26" s="28" t="s">
        <v>11</v>
      </c>
      <c r="AY26" s="28" t="s">
        <v>17</v>
      </c>
      <c r="AZ26" s="28" t="s">
        <v>17</v>
      </c>
      <c r="BA26" s="28" t="s">
        <v>18</v>
      </c>
      <c r="BB26" s="28" t="s">
        <v>11</v>
      </c>
      <c r="BC26" s="28" t="s">
        <v>11</v>
      </c>
      <c r="BD26" s="28" t="s">
        <v>17</v>
      </c>
      <c r="BE26" s="28" t="s">
        <v>17</v>
      </c>
      <c r="BF26" s="28" t="s">
        <v>17</v>
      </c>
      <c r="BG26" s="28" t="s">
        <v>11</v>
      </c>
      <c r="BH26" s="28" t="s">
        <v>11</v>
      </c>
      <c r="BI26" s="28" t="s">
        <v>17</v>
      </c>
      <c r="BJ26" s="28" t="s">
        <v>17</v>
      </c>
      <c r="BK26" s="28" t="s">
        <v>18</v>
      </c>
      <c r="BL26" s="28" t="s">
        <v>11</v>
      </c>
      <c r="BM26" s="28" t="s">
        <v>11</v>
      </c>
      <c r="BN26" s="28" t="s">
        <v>17</v>
      </c>
      <c r="BO26" s="28" t="s">
        <v>17</v>
      </c>
      <c r="BP26" s="28" t="s">
        <v>17</v>
      </c>
      <c r="BQ26" s="28" t="s">
        <v>18</v>
      </c>
      <c r="BR26" s="28" t="s">
        <v>11</v>
      </c>
    </row>
    <row r="27" spans="1:70" x14ac:dyDescent="0.3">
      <c r="A27" s="93">
        <f t="shared" ref="A27:B27" si="22">A24+1</f>
        <v>170</v>
      </c>
      <c r="B27" s="93">
        <f t="shared" si="22"/>
        <v>9</v>
      </c>
      <c r="C27" s="81">
        <v>44731.375</v>
      </c>
      <c r="D27" s="37">
        <f t="shared" si="12"/>
        <v>0.4375</v>
      </c>
      <c r="E27" s="38">
        <f t="shared" si="13"/>
        <v>7.9375</v>
      </c>
      <c r="F27" s="5">
        <f t="shared" si="14"/>
        <v>7.9375</v>
      </c>
      <c r="G27" s="5">
        <f t="shared" si="15"/>
        <v>0.3175</v>
      </c>
      <c r="H27" s="1">
        <f t="shared" si="2"/>
        <v>0</v>
      </c>
      <c r="I27" s="1">
        <f t="shared" si="3"/>
        <v>0</v>
      </c>
      <c r="J27" s="1">
        <f t="shared" si="4"/>
        <v>0</v>
      </c>
      <c r="K27" s="1">
        <f t="shared" si="5"/>
        <v>0</v>
      </c>
      <c r="L27" s="1">
        <f t="shared" si="6"/>
        <v>15</v>
      </c>
      <c r="M27" s="1">
        <f t="shared" si="0"/>
        <v>0</v>
      </c>
      <c r="N27" s="1">
        <f t="shared" si="1"/>
        <v>1</v>
      </c>
      <c r="P27" s="1">
        <f t="shared" si="7"/>
        <v>28</v>
      </c>
      <c r="Q27" s="1">
        <f t="shared" si="8"/>
        <v>6</v>
      </c>
      <c r="R27" s="1">
        <f t="shared" si="9"/>
        <v>0</v>
      </c>
      <c r="S27" s="1">
        <f t="shared" si="10"/>
        <v>0</v>
      </c>
      <c r="T27" s="1">
        <f t="shared" si="11"/>
        <v>0</v>
      </c>
      <c r="U27" s="28" t="s">
        <v>17</v>
      </c>
      <c r="V27" s="28" t="s">
        <v>17</v>
      </c>
      <c r="W27" s="28" t="s">
        <v>17</v>
      </c>
      <c r="X27" s="28" t="s">
        <v>18</v>
      </c>
      <c r="Y27" s="28" t="s">
        <v>11</v>
      </c>
      <c r="Z27" s="28" t="s">
        <v>17</v>
      </c>
      <c r="AA27" s="28" t="s">
        <v>17</v>
      </c>
      <c r="AB27" s="28" t="s">
        <v>17</v>
      </c>
      <c r="AC27" s="28" t="s">
        <v>11</v>
      </c>
      <c r="AD27" s="86" t="s">
        <v>14</v>
      </c>
      <c r="AE27" s="28" t="s">
        <v>17</v>
      </c>
      <c r="AF27" s="28" t="s">
        <v>17</v>
      </c>
      <c r="AG27" s="28" t="s">
        <v>17</v>
      </c>
      <c r="AH27" s="28" t="s">
        <v>18</v>
      </c>
      <c r="AI27" s="28" t="s">
        <v>11</v>
      </c>
      <c r="AJ27" s="28" t="s">
        <v>17</v>
      </c>
      <c r="AK27" s="28" t="s">
        <v>17</v>
      </c>
      <c r="AL27" s="28" t="s">
        <v>17</v>
      </c>
      <c r="AM27" s="28" t="s">
        <v>17</v>
      </c>
      <c r="AN27" s="28" t="s">
        <v>11</v>
      </c>
      <c r="AO27" s="28" t="s">
        <v>17</v>
      </c>
      <c r="AP27" s="28" t="s">
        <v>17</v>
      </c>
      <c r="AQ27" s="28" t="s">
        <v>11</v>
      </c>
      <c r="AR27" s="28" t="s">
        <v>11</v>
      </c>
      <c r="AS27" s="28" t="s">
        <v>11</v>
      </c>
      <c r="AT27" s="28" t="s">
        <v>17</v>
      </c>
      <c r="AU27" s="28" t="s">
        <v>17</v>
      </c>
      <c r="AV27" s="28" t="s">
        <v>17</v>
      </c>
      <c r="AW27" s="28" t="s">
        <v>18</v>
      </c>
      <c r="AX27" s="28" t="s">
        <v>11</v>
      </c>
      <c r="AY27" s="28" t="s">
        <v>17</v>
      </c>
      <c r="AZ27" s="28" t="s">
        <v>17</v>
      </c>
      <c r="BA27" s="28" t="s">
        <v>18</v>
      </c>
      <c r="BB27" s="28" t="s">
        <v>11</v>
      </c>
      <c r="BC27" s="28" t="s">
        <v>11</v>
      </c>
      <c r="BD27" s="28" t="s">
        <v>17</v>
      </c>
      <c r="BE27" s="28" t="s">
        <v>17</v>
      </c>
      <c r="BF27" s="28" t="s">
        <v>17</v>
      </c>
      <c r="BG27" s="28" t="s">
        <v>11</v>
      </c>
      <c r="BH27" s="28" t="s">
        <v>11</v>
      </c>
      <c r="BI27" s="28" t="s">
        <v>17</v>
      </c>
      <c r="BJ27" s="28" t="s">
        <v>17</v>
      </c>
      <c r="BK27" s="28" t="s">
        <v>18</v>
      </c>
      <c r="BL27" s="28" t="s">
        <v>11</v>
      </c>
      <c r="BM27" s="28" t="s">
        <v>11</v>
      </c>
      <c r="BN27" s="28" t="s">
        <v>17</v>
      </c>
      <c r="BO27" s="28" t="s">
        <v>17</v>
      </c>
      <c r="BP27" s="28" t="s">
        <v>17</v>
      </c>
      <c r="BQ27" s="28" t="s">
        <v>18</v>
      </c>
      <c r="BR27" s="28" t="s">
        <v>11</v>
      </c>
    </row>
    <row r="28" spans="1:70" x14ac:dyDescent="0.3">
      <c r="A28" s="93"/>
      <c r="B28" s="93"/>
      <c r="C28" s="81">
        <v>44731.708333333336</v>
      </c>
      <c r="D28" s="37">
        <f t="shared" si="12"/>
        <v>0.33333333333575865</v>
      </c>
      <c r="E28" s="38">
        <f t="shared" si="13"/>
        <v>8.2708333333357587</v>
      </c>
      <c r="F28" s="5">
        <f t="shared" si="14"/>
        <v>8.2708333333357587</v>
      </c>
      <c r="G28" s="5">
        <f t="shared" si="15"/>
        <v>0.33083333333343035</v>
      </c>
      <c r="H28" s="1">
        <f t="shared" si="2"/>
        <v>0</v>
      </c>
      <c r="I28" s="1">
        <f t="shared" si="3"/>
        <v>0</v>
      </c>
      <c r="J28" s="1">
        <f t="shared" si="4"/>
        <v>0</v>
      </c>
      <c r="K28" s="1">
        <f t="shared" si="5"/>
        <v>0</v>
      </c>
      <c r="L28" s="1">
        <f t="shared" si="6"/>
        <v>14</v>
      </c>
      <c r="M28" s="1">
        <f t="shared" si="0"/>
        <v>1</v>
      </c>
      <c r="N28" s="1">
        <f t="shared" si="1"/>
        <v>1</v>
      </c>
      <c r="P28" s="1">
        <f t="shared" si="7"/>
        <v>28</v>
      </c>
      <c r="Q28" s="1">
        <f t="shared" si="8"/>
        <v>6</v>
      </c>
      <c r="R28" s="1">
        <f t="shared" si="9"/>
        <v>0</v>
      </c>
      <c r="S28" s="1">
        <f t="shared" si="10"/>
        <v>0</v>
      </c>
      <c r="T28" s="1">
        <f t="shared" si="11"/>
        <v>0</v>
      </c>
      <c r="U28" s="28" t="s">
        <v>17</v>
      </c>
      <c r="V28" s="28" t="s">
        <v>17</v>
      </c>
      <c r="W28" s="28" t="s">
        <v>17</v>
      </c>
      <c r="X28" s="28" t="s">
        <v>18</v>
      </c>
      <c r="Y28" s="28" t="s">
        <v>11</v>
      </c>
      <c r="Z28" s="28" t="s">
        <v>17</v>
      </c>
      <c r="AA28" s="28" t="s">
        <v>17</v>
      </c>
      <c r="AB28" s="28" t="s">
        <v>17</v>
      </c>
      <c r="AC28" s="28" t="s">
        <v>11</v>
      </c>
      <c r="AD28" s="70" t="s">
        <v>14</v>
      </c>
      <c r="AE28" s="28" t="s">
        <v>17</v>
      </c>
      <c r="AF28" s="28" t="s">
        <v>17</v>
      </c>
      <c r="AG28" s="28" t="s">
        <v>17</v>
      </c>
      <c r="AH28" s="28" t="s">
        <v>18</v>
      </c>
      <c r="AI28" s="28" t="s">
        <v>11</v>
      </c>
      <c r="AJ28" s="28" t="s">
        <v>17</v>
      </c>
      <c r="AK28" s="28" t="s">
        <v>17</v>
      </c>
      <c r="AL28" s="28" t="s">
        <v>17</v>
      </c>
      <c r="AM28" s="28" t="s">
        <v>17</v>
      </c>
      <c r="AN28" s="28" t="s">
        <v>11</v>
      </c>
      <c r="AO28" s="28" t="s">
        <v>17</v>
      </c>
      <c r="AP28" s="28" t="s">
        <v>17</v>
      </c>
      <c r="AQ28" s="28" t="s">
        <v>11</v>
      </c>
      <c r="AR28" s="28" t="s">
        <v>11</v>
      </c>
      <c r="AS28" s="28" t="s">
        <v>11</v>
      </c>
      <c r="AT28" s="28" t="s">
        <v>17</v>
      </c>
      <c r="AU28" s="28" t="s">
        <v>17</v>
      </c>
      <c r="AV28" s="28" t="s">
        <v>17</v>
      </c>
      <c r="AW28" s="28" t="s">
        <v>18</v>
      </c>
      <c r="AX28" s="28" t="s">
        <v>11</v>
      </c>
      <c r="AY28" s="28" t="s">
        <v>17</v>
      </c>
      <c r="AZ28" s="28" t="s">
        <v>17</v>
      </c>
      <c r="BA28" s="28" t="s">
        <v>18</v>
      </c>
      <c r="BB28" s="28" t="s">
        <v>11</v>
      </c>
      <c r="BC28" s="87" t="s">
        <v>13</v>
      </c>
      <c r="BD28" s="28" t="s">
        <v>17</v>
      </c>
      <c r="BE28" s="28" t="s">
        <v>17</v>
      </c>
      <c r="BF28" s="28" t="s">
        <v>17</v>
      </c>
      <c r="BG28" s="28" t="s">
        <v>11</v>
      </c>
      <c r="BH28" s="28" t="s">
        <v>11</v>
      </c>
      <c r="BI28" s="28" t="s">
        <v>17</v>
      </c>
      <c r="BJ28" s="28" t="s">
        <v>17</v>
      </c>
      <c r="BK28" s="28" t="s">
        <v>18</v>
      </c>
      <c r="BL28" s="28" t="s">
        <v>11</v>
      </c>
      <c r="BM28" s="28" t="s">
        <v>11</v>
      </c>
      <c r="BN28" s="28" t="s">
        <v>17</v>
      </c>
      <c r="BO28" s="28" t="s">
        <v>17</v>
      </c>
      <c r="BP28" s="28" t="s">
        <v>17</v>
      </c>
      <c r="BQ28" s="28" t="s">
        <v>18</v>
      </c>
      <c r="BR28" s="28" t="s">
        <v>11</v>
      </c>
    </row>
    <row r="29" spans="1:70" x14ac:dyDescent="0.3">
      <c r="A29" s="93"/>
      <c r="B29" s="93"/>
      <c r="C29" s="81">
        <v>44731.958333333336</v>
      </c>
      <c r="D29" s="37">
        <f t="shared" si="12"/>
        <v>0.25</v>
      </c>
      <c r="E29" s="38">
        <f t="shared" si="13"/>
        <v>8.5208333333357587</v>
      </c>
      <c r="F29" s="5">
        <f t="shared" si="14"/>
        <v>8.5208333333357587</v>
      </c>
      <c r="G29" s="5">
        <f t="shared" si="15"/>
        <v>0.34083333333343035</v>
      </c>
      <c r="H29" s="1">
        <f t="shared" si="2"/>
        <v>0</v>
      </c>
      <c r="I29" s="1">
        <f t="shared" si="3"/>
        <v>0</v>
      </c>
      <c r="J29" s="1">
        <f t="shared" si="4"/>
        <v>0</v>
      </c>
      <c r="K29" s="1">
        <f t="shared" si="5"/>
        <v>0</v>
      </c>
      <c r="L29" s="1">
        <f t="shared" si="6"/>
        <v>14</v>
      </c>
      <c r="M29" s="1">
        <f t="shared" si="0"/>
        <v>1</v>
      </c>
      <c r="N29" s="1">
        <f t="shared" si="1"/>
        <v>1</v>
      </c>
      <c r="P29" s="1">
        <f t="shared" si="7"/>
        <v>28</v>
      </c>
      <c r="Q29" s="1">
        <f t="shared" si="8"/>
        <v>6</v>
      </c>
      <c r="R29" s="1">
        <f t="shared" si="9"/>
        <v>0</v>
      </c>
      <c r="S29" s="1">
        <f t="shared" si="10"/>
        <v>0</v>
      </c>
      <c r="T29" s="1">
        <f t="shared" si="11"/>
        <v>0</v>
      </c>
      <c r="U29" s="28" t="s">
        <v>17</v>
      </c>
      <c r="V29" s="28" t="s">
        <v>17</v>
      </c>
      <c r="W29" s="28" t="s">
        <v>17</v>
      </c>
      <c r="X29" s="28" t="s">
        <v>18</v>
      </c>
      <c r="Y29" s="28" t="s">
        <v>11</v>
      </c>
      <c r="Z29" s="28" t="s">
        <v>17</v>
      </c>
      <c r="AA29" s="28" t="s">
        <v>17</v>
      </c>
      <c r="AB29" s="28" t="s">
        <v>17</v>
      </c>
      <c r="AC29" s="28" t="s">
        <v>11</v>
      </c>
      <c r="AD29" s="70" t="s">
        <v>14</v>
      </c>
      <c r="AE29" s="28" t="s">
        <v>17</v>
      </c>
      <c r="AF29" s="28" t="s">
        <v>17</v>
      </c>
      <c r="AG29" s="28" t="s">
        <v>17</v>
      </c>
      <c r="AH29" s="28" t="s">
        <v>18</v>
      </c>
      <c r="AI29" s="28" t="s">
        <v>11</v>
      </c>
      <c r="AJ29" s="28" t="s">
        <v>17</v>
      </c>
      <c r="AK29" s="28" t="s">
        <v>17</v>
      </c>
      <c r="AL29" s="28" t="s">
        <v>17</v>
      </c>
      <c r="AM29" s="28" t="s">
        <v>17</v>
      </c>
      <c r="AN29" s="28" t="s">
        <v>11</v>
      </c>
      <c r="AO29" s="28" t="s">
        <v>17</v>
      </c>
      <c r="AP29" s="28" t="s">
        <v>17</v>
      </c>
      <c r="AQ29" s="28" t="s">
        <v>11</v>
      </c>
      <c r="AR29" s="28" t="s">
        <v>11</v>
      </c>
      <c r="AS29" s="28" t="s">
        <v>11</v>
      </c>
      <c r="AT29" s="28" t="s">
        <v>17</v>
      </c>
      <c r="AU29" s="28" t="s">
        <v>17</v>
      </c>
      <c r="AV29" s="28" t="s">
        <v>17</v>
      </c>
      <c r="AW29" s="28" t="s">
        <v>18</v>
      </c>
      <c r="AX29" s="28" t="s">
        <v>11</v>
      </c>
      <c r="AY29" s="28" t="s">
        <v>17</v>
      </c>
      <c r="AZ29" s="28" t="s">
        <v>17</v>
      </c>
      <c r="BA29" s="28" t="s">
        <v>18</v>
      </c>
      <c r="BB29" s="28" t="s">
        <v>11</v>
      </c>
      <c r="BC29" s="71" t="s">
        <v>13</v>
      </c>
      <c r="BD29" s="28" t="s">
        <v>17</v>
      </c>
      <c r="BE29" s="28" t="s">
        <v>17</v>
      </c>
      <c r="BF29" s="28" t="s">
        <v>17</v>
      </c>
      <c r="BG29" s="28" t="s">
        <v>11</v>
      </c>
      <c r="BH29" s="28" t="s">
        <v>11</v>
      </c>
      <c r="BI29" s="28" t="s">
        <v>17</v>
      </c>
      <c r="BJ29" s="28" t="s">
        <v>17</v>
      </c>
      <c r="BK29" s="28" t="s">
        <v>18</v>
      </c>
      <c r="BL29" s="28" t="s">
        <v>11</v>
      </c>
      <c r="BM29" s="28" t="s">
        <v>11</v>
      </c>
      <c r="BN29" s="28" t="s">
        <v>17</v>
      </c>
      <c r="BO29" s="28" t="s">
        <v>17</v>
      </c>
      <c r="BP29" s="28" t="s">
        <v>17</v>
      </c>
      <c r="BQ29" s="28" t="s">
        <v>18</v>
      </c>
      <c r="BR29" s="28" t="s">
        <v>11</v>
      </c>
    </row>
    <row r="30" spans="1:70" x14ac:dyDescent="0.3">
      <c r="A30" s="93">
        <f t="shared" ref="A30:B30" si="23">A27+1</f>
        <v>171</v>
      </c>
      <c r="B30" s="93">
        <f t="shared" si="23"/>
        <v>10</v>
      </c>
      <c r="C30" s="81">
        <v>44732.375</v>
      </c>
      <c r="D30" s="37">
        <f t="shared" si="12"/>
        <v>0.41666666666424135</v>
      </c>
      <c r="E30" s="38">
        <f t="shared" si="13"/>
        <v>8.9375</v>
      </c>
      <c r="F30" s="5">
        <f t="shared" si="14"/>
        <v>8.9375</v>
      </c>
      <c r="G30" s="5">
        <f t="shared" si="15"/>
        <v>0.35749999999999998</v>
      </c>
      <c r="H30" s="1">
        <f t="shared" si="2"/>
        <v>0</v>
      </c>
      <c r="I30" s="1">
        <f t="shared" si="3"/>
        <v>0</v>
      </c>
      <c r="J30" s="1">
        <f t="shared" si="4"/>
        <v>0</v>
      </c>
      <c r="K30" s="1">
        <f t="shared" si="5"/>
        <v>0</v>
      </c>
      <c r="L30" s="1">
        <f t="shared" si="6"/>
        <v>3</v>
      </c>
      <c r="M30" s="1">
        <f t="shared" si="0"/>
        <v>6</v>
      </c>
      <c r="N30" s="1">
        <f t="shared" si="1"/>
        <v>7</v>
      </c>
      <c r="P30" s="1">
        <f t="shared" si="7"/>
        <v>28</v>
      </c>
      <c r="Q30" s="1">
        <f t="shared" si="8"/>
        <v>6</v>
      </c>
      <c r="R30" s="1">
        <f t="shared" si="9"/>
        <v>0</v>
      </c>
      <c r="S30" s="1">
        <f t="shared" si="10"/>
        <v>0</v>
      </c>
      <c r="T30" s="1">
        <f t="shared" si="11"/>
        <v>0</v>
      </c>
      <c r="U30" s="28" t="s">
        <v>17</v>
      </c>
      <c r="V30" s="28" t="s">
        <v>17</v>
      </c>
      <c r="W30" s="28" t="s">
        <v>17</v>
      </c>
      <c r="X30" s="28" t="s">
        <v>18</v>
      </c>
      <c r="Y30" s="28" t="s">
        <v>11</v>
      </c>
      <c r="Z30" s="28" t="s">
        <v>17</v>
      </c>
      <c r="AA30" s="28" t="s">
        <v>17</v>
      </c>
      <c r="AB30" s="28" t="s">
        <v>17</v>
      </c>
      <c r="AC30" s="71" t="s">
        <v>13</v>
      </c>
      <c r="AD30" s="70" t="s">
        <v>14</v>
      </c>
      <c r="AE30" s="28" t="s">
        <v>17</v>
      </c>
      <c r="AF30" s="28" t="s">
        <v>17</v>
      </c>
      <c r="AG30" s="28" t="s">
        <v>17</v>
      </c>
      <c r="AH30" s="28" t="s">
        <v>18</v>
      </c>
      <c r="AI30" s="70" t="s">
        <v>14</v>
      </c>
      <c r="AJ30" s="28" t="s">
        <v>17</v>
      </c>
      <c r="AK30" s="28" t="s">
        <v>17</v>
      </c>
      <c r="AL30" s="28" t="s">
        <v>17</v>
      </c>
      <c r="AM30" s="28" t="s">
        <v>17</v>
      </c>
      <c r="AN30" s="86" t="s">
        <v>14</v>
      </c>
      <c r="AO30" s="28" t="s">
        <v>17</v>
      </c>
      <c r="AP30" s="28" t="s">
        <v>17</v>
      </c>
      <c r="AQ30" s="86" t="s">
        <v>14</v>
      </c>
      <c r="AR30" s="71" t="s">
        <v>13</v>
      </c>
      <c r="AS30" s="70" t="s">
        <v>14</v>
      </c>
      <c r="AT30" s="28" t="s">
        <v>17</v>
      </c>
      <c r="AU30" s="28" t="s">
        <v>17</v>
      </c>
      <c r="AV30" s="28" t="s">
        <v>17</v>
      </c>
      <c r="AW30" s="28" t="s">
        <v>18</v>
      </c>
      <c r="AX30" s="71" t="s">
        <v>13</v>
      </c>
      <c r="AY30" s="28" t="s">
        <v>17</v>
      </c>
      <c r="AZ30" s="28" t="s">
        <v>17</v>
      </c>
      <c r="BA30" s="28" t="s">
        <v>18</v>
      </c>
      <c r="BB30" s="70" t="s">
        <v>14</v>
      </c>
      <c r="BC30" s="71" t="s">
        <v>13</v>
      </c>
      <c r="BD30" s="28" t="s">
        <v>17</v>
      </c>
      <c r="BE30" s="28" t="s">
        <v>17</v>
      </c>
      <c r="BF30" s="28" t="s">
        <v>17</v>
      </c>
      <c r="BG30" s="28" t="s">
        <v>11</v>
      </c>
      <c r="BH30" s="85" t="s">
        <v>13</v>
      </c>
      <c r="BI30" s="28" t="s">
        <v>17</v>
      </c>
      <c r="BJ30" s="28" t="s">
        <v>17</v>
      </c>
      <c r="BK30" s="28" t="s">
        <v>18</v>
      </c>
      <c r="BL30" s="28" t="s">
        <v>11</v>
      </c>
      <c r="BM30" s="70" t="s">
        <v>14</v>
      </c>
      <c r="BN30" s="28" t="s">
        <v>17</v>
      </c>
      <c r="BO30" s="28" t="s">
        <v>17</v>
      </c>
      <c r="BP30" s="28" t="s">
        <v>17</v>
      </c>
      <c r="BQ30" s="28" t="s">
        <v>18</v>
      </c>
      <c r="BR30" s="71" t="s">
        <v>13</v>
      </c>
    </row>
    <row r="31" spans="1:70" x14ac:dyDescent="0.3">
      <c r="A31" s="93"/>
      <c r="B31" s="93"/>
      <c r="C31" s="81">
        <v>44732.708333333336</v>
      </c>
      <c r="D31" s="37">
        <f t="shared" si="12"/>
        <v>0.33333333333575865</v>
      </c>
      <c r="E31" s="38">
        <f t="shared" si="13"/>
        <v>9.2708333333357587</v>
      </c>
      <c r="F31" s="5">
        <f t="shared" si="14"/>
        <v>9.2708333333357587</v>
      </c>
      <c r="G31" s="5">
        <f t="shared" si="15"/>
        <v>0.37083333333343033</v>
      </c>
      <c r="H31" s="1">
        <f t="shared" si="2"/>
        <v>0</v>
      </c>
      <c r="I31" s="1">
        <f t="shared" si="3"/>
        <v>0</v>
      </c>
      <c r="J31" s="1">
        <f t="shared" si="4"/>
        <v>0</v>
      </c>
      <c r="K31" s="1">
        <f t="shared" si="5"/>
        <v>0</v>
      </c>
      <c r="L31" s="1">
        <f t="shared" si="6"/>
        <v>1</v>
      </c>
      <c r="M31" s="1">
        <f t="shared" si="0"/>
        <v>6</v>
      </c>
      <c r="N31" s="1">
        <f t="shared" si="1"/>
        <v>9</v>
      </c>
      <c r="P31" s="1">
        <f t="shared" si="7"/>
        <v>28</v>
      </c>
      <c r="Q31" s="1">
        <f t="shared" si="8"/>
        <v>6</v>
      </c>
      <c r="R31" s="1">
        <f t="shared" si="9"/>
        <v>0</v>
      </c>
      <c r="S31" s="1">
        <f t="shared" si="10"/>
        <v>0</v>
      </c>
      <c r="T31" s="1">
        <f t="shared" si="11"/>
        <v>0</v>
      </c>
      <c r="U31" s="28" t="s">
        <v>17</v>
      </c>
      <c r="V31" s="28" t="s">
        <v>17</v>
      </c>
      <c r="W31" s="28" t="s">
        <v>17</v>
      </c>
      <c r="X31" s="28" t="s">
        <v>18</v>
      </c>
      <c r="Y31" s="28" t="s">
        <v>11</v>
      </c>
      <c r="Z31" s="28" t="s">
        <v>17</v>
      </c>
      <c r="AA31" s="28" t="s">
        <v>17</v>
      </c>
      <c r="AB31" s="28" t="s">
        <v>17</v>
      </c>
      <c r="AC31" s="71" t="s">
        <v>13</v>
      </c>
      <c r="AD31" s="70" t="s">
        <v>14</v>
      </c>
      <c r="AE31" s="28" t="s">
        <v>17</v>
      </c>
      <c r="AF31" s="28" t="s">
        <v>17</v>
      </c>
      <c r="AG31" s="28" t="s">
        <v>17</v>
      </c>
      <c r="AH31" s="28" t="s">
        <v>18</v>
      </c>
      <c r="AI31" s="70" t="s">
        <v>14</v>
      </c>
      <c r="AJ31" s="28" t="s">
        <v>17</v>
      </c>
      <c r="AK31" s="28" t="s">
        <v>17</v>
      </c>
      <c r="AL31" s="28" t="s">
        <v>17</v>
      </c>
      <c r="AM31" s="28" t="s">
        <v>17</v>
      </c>
      <c r="AN31" s="70" t="s">
        <v>14</v>
      </c>
      <c r="AO31" s="28" t="s">
        <v>17</v>
      </c>
      <c r="AP31" s="28" t="s">
        <v>17</v>
      </c>
      <c r="AQ31" s="70" t="s">
        <v>14</v>
      </c>
      <c r="AR31" s="71" t="s">
        <v>13</v>
      </c>
      <c r="AS31" s="70" t="s">
        <v>14</v>
      </c>
      <c r="AT31" s="28" t="s">
        <v>17</v>
      </c>
      <c r="AU31" s="28" t="s">
        <v>17</v>
      </c>
      <c r="AV31" s="28" t="s">
        <v>17</v>
      </c>
      <c r="AW31" s="28" t="s">
        <v>18</v>
      </c>
      <c r="AX31" s="71" t="s">
        <v>13</v>
      </c>
      <c r="AY31" s="28" t="s">
        <v>17</v>
      </c>
      <c r="AZ31" s="28" t="s">
        <v>17</v>
      </c>
      <c r="BA31" s="28" t="s">
        <v>18</v>
      </c>
      <c r="BB31" s="70" t="s">
        <v>14</v>
      </c>
      <c r="BC31" s="71" t="s">
        <v>13</v>
      </c>
      <c r="BD31" s="28" t="s">
        <v>17</v>
      </c>
      <c r="BE31" s="28" t="s">
        <v>17</v>
      </c>
      <c r="BF31" s="28" t="s">
        <v>17</v>
      </c>
      <c r="BG31" s="84" t="s">
        <v>14</v>
      </c>
      <c r="BH31" s="71" t="s">
        <v>13</v>
      </c>
      <c r="BI31" s="28" t="s">
        <v>17</v>
      </c>
      <c r="BJ31" s="28" t="s">
        <v>17</v>
      </c>
      <c r="BK31" s="28" t="s">
        <v>18</v>
      </c>
      <c r="BL31" s="86" t="s">
        <v>14</v>
      </c>
      <c r="BM31" s="70" t="s">
        <v>14</v>
      </c>
      <c r="BN31" s="28" t="s">
        <v>17</v>
      </c>
      <c r="BO31" s="28" t="s">
        <v>17</v>
      </c>
      <c r="BP31" s="28" t="s">
        <v>17</v>
      </c>
      <c r="BQ31" s="28" t="s">
        <v>18</v>
      </c>
      <c r="BR31" s="71" t="s">
        <v>13</v>
      </c>
    </row>
    <row r="32" spans="1:70" x14ac:dyDescent="0.3">
      <c r="A32" s="93"/>
      <c r="B32" s="93"/>
      <c r="C32" s="81">
        <v>44732.958333333336</v>
      </c>
      <c r="D32" s="37">
        <f t="shared" si="12"/>
        <v>0.25</v>
      </c>
      <c r="E32" s="38">
        <f t="shared" si="13"/>
        <v>9.5208333333357587</v>
      </c>
      <c r="F32" s="5">
        <f t="shared" si="14"/>
        <v>9.5208333333357587</v>
      </c>
      <c r="G32" s="5">
        <f t="shared" si="15"/>
        <v>0.38083333333343033</v>
      </c>
      <c r="H32" s="1">
        <f t="shared" si="2"/>
        <v>0</v>
      </c>
      <c r="I32" s="1">
        <f t="shared" si="3"/>
        <v>0</v>
      </c>
      <c r="J32" s="1">
        <f t="shared" si="4"/>
        <v>0</v>
      </c>
      <c r="K32" s="1">
        <f t="shared" si="5"/>
        <v>0</v>
      </c>
      <c r="L32" s="1">
        <f t="shared" si="6"/>
        <v>1</v>
      </c>
      <c r="M32" s="1">
        <f t="shared" si="0"/>
        <v>6</v>
      </c>
      <c r="N32" s="1">
        <f t="shared" si="1"/>
        <v>9</v>
      </c>
      <c r="P32" s="1">
        <f t="shared" si="7"/>
        <v>28</v>
      </c>
      <c r="Q32" s="1">
        <f t="shared" si="8"/>
        <v>6</v>
      </c>
      <c r="R32" s="1">
        <f t="shared" si="9"/>
        <v>0</v>
      </c>
      <c r="S32" s="1">
        <f t="shared" si="10"/>
        <v>0</v>
      </c>
      <c r="T32" s="1">
        <f t="shared" si="11"/>
        <v>0</v>
      </c>
      <c r="U32" s="28" t="s">
        <v>17</v>
      </c>
      <c r="V32" s="28" t="s">
        <v>17</v>
      </c>
      <c r="W32" s="28" t="s">
        <v>17</v>
      </c>
      <c r="X32" s="28" t="s">
        <v>18</v>
      </c>
      <c r="Y32" s="28" t="s">
        <v>11</v>
      </c>
      <c r="Z32" s="28" t="s">
        <v>17</v>
      </c>
      <c r="AA32" s="28" t="s">
        <v>17</v>
      </c>
      <c r="AB32" s="28" t="s">
        <v>17</v>
      </c>
      <c r="AC32" s="71" t="s">
        <v>13</v>
      </c>
      <c r="AD32" s="70" t="s">
        <v>14</v>
      </c>
      <c r="AE32" s="28" t="s">
        <v>17</v>
      </c>
      <c r="AF32" s="28" t="s">
        <v>17</v>
      </c>
      <c r="AG32" s="28" t="s">
        <v>17</v>
      </c>
      <c r="AH32" s="28" t="s">
        <v>18</v>
      </c>
      <c r="AI32" s="70" t="s">
        <v>14</v>
      </c>
      <c r="AJ32" s="28" t="s">
        <v>17</v>
      </c>
      <c r="AK32" s="28" t="s">
        <v>17</v>
      </c>
      <c r="AL32" s="28" t="s">
        <v>17</v>
      </c>
      <c r="AM32" s="28" t="s">
        <v>17</v>
      </c>
      <c r="AN32" s="70" t="s">
        <v>14</v>
      </c>
      <c r="AO32" s="28" t="s">
        <v>17</v>
      </c>
      <c r="AP32" s="28" t="s">
        <v>17</v>
      </c>
      <c r="AQ32" s="70" t="s">
        <v>14</v>
      </c>
      <c r="AR32" s="71" t="s">
        <v>13</v>
      </c>
      <c r="AS32" s="70" t="s">
        <v>14</v>
      </c>
      <c r="AT32" s="28" t="s">
        <v>17</v>
      </c>
      <c r="AU32" s="28" t="s">
        <v>17</v>
      </c>
      <c r="AV32" s="28" t="s">
        <v>17</v>
      </c>
      <c r="AW32" s="28" t="s">
        <v>18</v>
      </c>
      <c r="AX32" s="71" t="s">
        <v>13</v>
      </c>
      <c r="AY32" s="28" t="s">
        <v>17</v>
      </c>
      <c r="AZ32" s="28" t="s">
        <v>17</v>
      </c>
      <c r="BA32" s="28" t="s">
        <v>18</v>
      </c>
      <c r="BB32" s="70" t="s">
        <v>14</v>
      </c>
      <c r="BC32" s="71" t="s">
        <v>13</v>
      </c>
      <c r="BD32" s="28" t="s">
        <v>17</v>
      </c>
      <c r="BE32" s="28" t="s">
        <v>17</v>
      </c>
      <c r="BF32" s="28" t="s">
        <v>17</v>
      </c>
      <c r="BG32" s="70" t="s">
        <v>14</v>
      </c>
      <c r="BH32" s="71" t="s">
        <v>13</v>
      </c>
      <c r="BI32" s="28" t="s">
        <v>17</v>
      </c>
      <c r="BJ32" s="28" t="s">
        <v>17</v>
      </c>
      <c r="BK32" s="28" t="s">
        <v>18</v>
      </c>
      <c r="BL32" s="70" t="s">
        <v>14</v>
      </c>
      <c r="BM32" s="70" t="s">
        <v>14</v>
      </c>
      <c r="BN32" s="28" t="s">
        <v>17</v>
      </c>
      <c r="BO32" s="28" t="s">
        <v>17</v>
      </c>
      <c r="BP32" s="28" t="s">
        <v>17</v>
      </c>
      <c r="BQ32" s="28" t="s">
        <v>18</v>
      </c>
      <c r="BR32" s="71" t="s">
        <v>13</v>
      </c>
    </row>
    <row r="33" spans="1:70" x14ac:dyDescent="0.3">
      <c r="A33" s="93">
        <f t="shared" ref="A33:B33" si="24">A30+1</f>
        <v>172</v>
      </c>
      <c r="B33" s="93">
        <f t="shared" si="24"/>
        <v>11</v>
      </c>
      <c r="C33" s="81">
        <v>44733.416666666664</v>
      </c>
      <c r="D33" s="37">
        <f t="shared" si="12"/>
        <v>0.45833333332848269</v>
      </c>
      <c r="E33" s="38">
        <f t="shared" si="13"/>
        <v>9.9791666666642413</v>
      </c>
      <c r="F33" s="5">
        <f t="shared" si="14"/>
        <v>9.9791666666642413</v>
      </c>
      <c r="G33" s="5">
        <f t="shared" si="15"/>
        <v>0.39916666666656964</v>
      </c>
      <c r="H33" s="1">
        <f t="shared" si="2"/>
        <v>0</v>
      </c>
      <c r="I33" s="1">
        <f t="shared" si="3"/>
        <v>0</v>
      </c>
      <c r="J33" s="1">
        <f t="shared" si="4"/>
        <v>0</v>
      </c>
      <c r="K33" s="1">
        <f t="shared" si="5"/>
        <v>0</v>
      </c>
      <c r="L33" s="1">
        <f t="shared" si="6"/>
        <v>1</v>
      </c>
      <c r="M33" s="1">
        <f t="shared" si="0"/>
        <v>6</v>
      </c>
      <c r="N33" s="1">
        <f t="shared" si="1"/>
        <v>9</v>
      </c>
      <c r="P33" s="1">
        <f t="shared" si="7"/>
        <v>28</v>
      </c>
      <c r="Q33" s="1">
        <f t="shared" si="8"/>
        <v>6</v>
      </c>
      <c r="R33" s="1">
        <f t="shared" si="9"/>
        <v>0</v>
      </c>
      <c r="S33" s="1">
        <f t="shared" si="10"/>
        <v>0</v>
      </c>
      <c r="T33" s="1">
        <f t="shared" si="11"/>
        <v>0</v>
      </c>
      <c r="U33" s="28" t="s">
        <v>17</v>
      </c>
      <c r="V33" s="28" t="s">
        <v>17</v>
      </c>
      <c r="W33" s="28" t="s">
        <v>17</v>
      </c>
      <c r="X33" s="28" t="s">
        <v>18</v>
      </c>
      <c r="Y33" s="28" t="s">
        <v>11</v>
      </c>
      <c r="Z33" s="28" t="s">
        <v>17</v>
      </c>
      <c r="AA33" s="28" t="s">
        <v>17</v>
      </c>
      <c r="AB33" s="28" t="s">
        <v>17</v>
      </c>
      <c r="AC33" s="71" t="s">
        <v>13</v>
      </c>
      <c r="AD33" s="70" t="s">
        <v>14</v>
      </c>
      <c r="AE33" s="28" t="s">
        <v>17</v>
      </c>
      <c r="AF33" s="28" t="s">
        <v>17</v>
      </c>
      <c r="AG33" s="28" t="s">
        <v>17</v>
      </c>
      <c r="AH33" s="28" t="s">
        <v>18</v>
      </c>
      <c r="AI33" s="70" t="s">
        <v>14</v>
      </c>
      <c r="AJ33" s="28" t="s">
        <v>17</v>
      </c>
      <c r="AK33" s="28" t="s">
        <v>17</v>
      </c>
      <c r="AL33" s="28" t="s">
        <v>17</v>
      </c>
      <c r="AM33" s="28" t="s">
        <v>17</v>
      </c>
      <c r="AN33" s="70" t="s">
        <v>14</v>
      </c>
      <c r="AO33" s="28" t="s">
        <v>17</v>
      </c>
      <c r="AP33" s="28" t="s">
        <v>17</v>
      </c>
      <c r="AQ33" s="70" t="s">
        <v>14</v>
      </c>
      <c r="AR33" s="71" t="s">
        <v>13</v>
      </c>
      <c r="AS33" s="70" t="s">
        <v>14</v>
      </c>
      <c r="AT33" s="28" t="s">
        <v>17</v>
      </c>
      <c r="AU33" s="28" t="s">
        <v>17</v>
      </c>
      <c r="AV33" s="28" t="s">
        <v>17</v>
      </c>
      <c r="AW33" s="28" t="s">
        <v>18</v>
      </c>
      <c r="AX33" s="71" t="s">
        <v>13</v>
      </c>
      <c r="AY33" s="28" t="s">
        <v>17</v>
      </c>
      <c r="AZ33" s="28" t="s">
        <v>17</v>
      </c>
      <c r="BA33" s="28" t="s">
        <v>18</v>
      </c>
      <c r="BB33" s="70" t="s">
        <v>14</v>
      </c>
      <c r="BC33" s="71" t="s">
        <v>13</v>
      </c>
      <c r="BD33" s="28" t="s">
        <v>17</v>
      </c>
      <c r="BE33" s="28" t="s">
        <v>17</v>
      </c>
      <c r="BF33" s="28" t="s">
        <v>17</v>
      </c>
      <c r="BG33" s="70" t="s">
        <v>14</v>
      </c>
      <c r="BH33" s="71" t="s">
        <v>13</v>
      </c>
      <c r="BI33" s="28" t="s">
        <v>17</v>
      </c>
      <c r="BJ33" s="28" t="s">
        <v>17</v>
      </c>
      <c r="BK33" s="28" t="s">
        <v>18</v>
      </c>
      <c r="BL33" s="70" t="s">
        <v>14</v>
      </c>
      <c r="BM33" s="70" t="s">
        <v>14</v>
      </c>
      <c r="BN33" s="28" t="s">
        <v>17</v>
      </c>
      <c r="BO33" s="28" t="s">
        <v>17</v>
      </c>
      <c r="BP33" s="28" t="s">
        <v>17</v>
      </c>
      <c r="BQ33" s="28" t="s">
        <v>18</v>
      </c>
      <c r="BR33" s="71" t="s">
        <v>13</v>
      </c>
    </row>
    <row r="34" spans="1:70" x14ac:dyDescent="0.3">
      <c r="A34" s="93"/>
      <c r="B34" s="93"/>
      <c r="C34" s="81">
        <v>44733.708333333336</v>
      </c>
      <c r="D34" s="37">
        <f t="shared" si="12"/>
        <v>0.29166666667151731</v>
      </c>
      <c r="E34" s="38">
        <f t="shared" si="13"/>
        <v>10.270833333335759</v>
      </c>
      <c r="F34" s="5">
        <f t="shared" si="14"/>
        <v>10.270833333335759</v>
      </c>
      <c r="G34" s="5">
        <f t="shared" si="15"/>
        <v>0.41083333333343036</v>
      </c>
      <c r="H34" s="1">
        <f t="shared" si="2"/>
        <v>0</v>
      </c>
      <c r="I34" s="1">
        <f t="shared" si="3"/>
        <v>0</v>
      </c>
      <c r="J34" s="1">
        <f t="shared" si="4"/>
        <v>0</v>
      </c>
      <c r="K34" s="1">
        <f t="shared" si="5"/>
        <v>0</v>
      </c>
      <c r="L34" s="1">
        <f t="shared" si="6"/>
        <v>1</v>
      </c>
      <c r="M34" s="1">
        <f t="shared" si="0"/>
        <v>6</v>
      </c>
      <c r="N34" s="1">
        <f t="shared" si="1"/>
        <v>9</v>
      </c>
      <c r="P34" s="1">
        <f t="shared" si="7"/>
        <v>28</v>
      </c>
      <c r="Q34" s="1">
        <f t="shared" si="8"/>
        <v>6</v>
      </c>
      <c r="R34" s="1">
        <f t="shared" si="9"/>
        <v>0</v>
      </c>
      <c r="S34" s="1">
        <f t="shared" si="10"/>
        <v>0</v>
      </c>
      <c r="T34" s="1">
        <f t="shared" si="11"/>
        <v>0</v>
      </c>
      <c r="U34" s="28" t="s">
        <v>17</v>
      </c>
      <c r="V34" s="28" t="s">
        <v>17</v>
      </c>
      <c r="W34" s="28" t="s">
        <v>17</v>
      </c>
      <c r="X34" s="28" t="s">
        <v>18</v>
      </c>
      <c r="Y34" s="28" t="s">
        <v>11</v>
      </c>
      <c r="Z34" s="28" t="s">
        <v>17</v>
      </c>
      <c r="AA34" s="28" t="s">
        <v>17</v>
      </c>
      <c r="AB34" s="28" t="s">
        <v>17</v>
      </c>
      <c r="AC34" s="71" t="s">
        <v>13</v>
      </c>
      <c r="AD34" s="70" t="s">
        <v>14</v>
      </c>
      <c r="AE34" s="28" t="s">
        <v>17</v>
      </c>
      <c r="AF34" s="28" t="s">
        <v>17</v>
      </c>
      <c r="AG34" s="28" t="s">
        <v>17</v>
      </c>
      <c r="AH34" s="28" t="s">
        <v>18</v>
      </c>
      <c r="AI34" s="70" t="s">
        <v>14</v>
      </c>
      <c r="AJ34" s="28" t="s">
        <v>17</v>
      </c>
      <c r="AK34" s="28" t="s">
        <v>17</v>
      </c>
      <c r="AL34" s="28" t="s">
        <v>17</v>
      </c>
      <c r="AM34" s="28" t="s">
        <v>17</v>
      </c>
      <c r="AN34" s="70" t="s">
        <v>14</v>
      </c>
      <c r="AO34" s="28" t="s">
        <v>17</v>
      </c>
      <c r="AP34" s="28" t="s">
        <v>17</v>
      </c>
      <c r="AQ34" s="70" t="s">
        <v>14</v>
      </c>
      <c r="AR34" s="71" t="s">
        <v>13</v>
      </c>
      <c r="AS34" s="70" t="s">
        <v>14</v>
      </c>
      <c r="AT34" s="28" t="s">
        <v>17</v>
      </c>
      <c r="AU34" s="28" t="s">
        <v>17</v>
      </c>
      <c r="AV34" s="28" t="s">
        <v>17</v>
      </c>
      <c r="AW34" s="28" t="s">
        <v>18</v>
      </c>
      <c r="AX34" s="71" t="s">
        <v>13</v>
      </c>
      <c r="AY34" s="28" t="s">
        <v>17</v>
      </c>
      <c r="AZ34" s="28" t="s">
        <v>17</v>
      </c>
      <c r="BA34" s="28" t="s">
        <v>18</v>
      </c>
      <c r="BB34" s="70" t="s">
        <v>14</v>
      </c>
      <c r="BC34" s="71" t="s">
        <v>13</v>
      </c>
      <c r="BD34" s="28" t="s">
        <v>17</v>
      </c>
      <c r="BE34" s="28" t="s">
        <v>17</v>
      </c>
      <c r="BF34" s="28" t="s">
        <v>17</v>
      </c>
      <c r="BG34" s="70" t="s">
        <v>14</v>
      </c>
      <c r="BH34" s="71" t="s">
        <v>13</v>
      </c>
      <c r="BI34" s="28" t="s">
        <v>17</v>
      </c>
      <c r="BJ34" s="28" t="s">
        <v>17</v>
      </c>
      <c r="BK34" s="28" t="s">
        <v>18</v>
      </c>
      <c r="BL34" s="70" t="s">
        <v>14</v>
      </c>
      <c r="BM34" s="70" t="s">
        <v>14</v>
      </c>
      <c r="BN34" s="28" t="s">
        <v>17</v>
      </c>
      <c r="BO34" s="28" t="s">
        <v>17</v>
      </c>
      <c r="BP34" s="28" t="s">
        <v>17</v>
      </c>
      <c r="BQ34" s="28" t="s">
        <v>18</v>
      </c>
      <c r="BR34" s="71" t="s">
        <v>13</v>
      </c>
    </row>
    <row r="35" spans="1:70" x14ac:dyDescent="0.3">
      <c r="A35" s="93"/>
      <c r="B35" s="93"/>
      <c r="C35" s="81">
        <v>44733.958333333336</v>
      </c>
      <c r="D35" s="37">
        <f t="shared" si="12"/>
        <v>0.25</v>
      </c>
      <c r="E35" s="38">
        <f t="shared" si="13"/>
        <v>10.520833333335759</v>
      </c>
      <c r="F35" s="5">
        <f t="shared" si="14"/>
        <v>10.520833333335759</v>
      </c>
      <c r="G35" s="5">
        <f t="shared" si="15"/>
        <v>0.42083333333343037</v>
      </c>
      <c r="H35" s="1">
        <f t="shared" si="2"/>
        <v>0</v>
      </c>
      <c r="I35" s="1">
        <f t="shared" si="3"/>
        <v>0</v>
      </c>
      <c r="J35" s="1">
        <f t="shared" si="4"/>
        <v>0</v>
      </c>
      <c r="K35" s="1">
        <f t="shared" si="5"/>
        <v>0</v>
      </c>
      <c r="L35" s="1">
        <f t="shared" si="6"/>
        <v>1</v>
      </c>
      <c r="M35" s="1">
        <f t="shared" si="0"/>
        <v>6</v>
      </c>
      <c r="N35" s="1">
        <f t="shared" si="1"/>
        <v>9</v>
      </c>
      <c r="P35" s="1">
        <f t="shared" si="7"/>
        <v>28</v>
      </c>
      <c r="Q35" s="1">
        <f t="shared" si="8"/>
        <v>6</v>
      </c>
      <c r="R35" s="1">
        <f t="shared" si="9"/>
        <v>0</v>
      </c>
      <c r="S35" s="1">
        <f t="shared" si="10"/>
        <v>0</v>
      </c>
      <c r="T35" s="1">
        <f t="shared" si="11"/>
        <v>0</v>
      </c>
      <c r="U35" s="28" t="s">
        <v>17</v>
      </c>
      <c r="V35" s="28" t="s">
        <v>17</v>
      </c>
      <c r="W35" s="28" t="s">
        <v>17</v>
      </c>
      <c r="X35" s="28" t="s">
        <v>18</v>
      </c>
      <c r="Y35" s="28" t="s">
        <v>11</v>
      </c>
      <c r="Z35" s="28" t="s">
        <v>17</v>
      </c>
      <c r="AA35" s="28" t="s">
        <v>17</v>
      </c>
      <c r="AB35" s="28" t="s">
        <v>17</v>
      </c>
      <c r="AC35" s="71" t="s">
        <v>13</v>
      </c>
      <c r="AD35" s="70" t="s">
        <v>14</v>
      </c>
      <c r="AE35" s="28" t="s">
        <v>17</v>
      </c>
      <c r="AF35" s="28" t="s">
        <v>17</v>
      </c>
      <c r="AG35" s="28" t="s">
        <v>17</v>
      </c>
      <c r="AH35" s="28" t="s">
        <v>18</v>
      </c>
      <c r="AI35" s="70" t="s">
        <v>14</v>
      </c>
      <c r="AJ35" s="28" t="s">
        <v>17</v>
      </c>
      <c r="AK35" s="28" t="s">
        <v>17</v>
      </c>
      <c r="AL35" s="28" t="s">
        <v>17</v>
      </c>
      <c r="AM35" s="28" t="s">
        <v>17</v>
      </c>
      <c r="AN35" s="70" t="s">
        <v>14</v>
      </c>
      <c r="AO35" s="28" t="s">
        <v>17</v>
      </c>
      <c r="AP35" s="28" t="s">
        <v>17</v>
      </c>
      <c r="AQ35" s="70" t="s">
        <v>14</v>
      </c>
      <c r="AR35" s="71" t="s">
        <v>13</v>
      </c>
      <c r="AS35" s="70" t="s">
        <v>14</v>
      </c>
      <c r="AT35" s="28" t="s">
        <v>17</v>
      </c>
      <c r="AU35" s="28" t="s">
        <v>17</v>
      </c>
      <c r="AV35" s="28" t="s">
        <v>17</v>
      </c>
      <c r="AW35" s="28" t="s">
        <v>18</v>
      </c>
      <c r="AX35" s="71" t="s">
        <v>13</v>
      </c>
      <c r="AY35" s="28" t="s">
        <v>17</v>
      </c>
      <c r="AZ35" s="28" t="s">
        <v>17</v>
      </c>
      <c r="BA35" s="28" t="s">
        <v>18</v>
      </c>
      <c r="BB35" s="70" t="s">
        <v>14</v>
      </c>
      <c r="BC35" s="71" t="s">
        <v>13</v>
      </c>
      <c r="BD35" s="28" t="s">
        <v>17</v>
      </c>
      <c r="BE35" s="28" t="s">
        <v>17</v>
      </c>
      <c r="BF35" s="28" t="s">
        <v>17</v>
      </c>
      <c r="BG35" s="70" t="s">
        <v>14</v>
      </c>
      <c r="BH35" s="71" t="s">
        <v>13</v>
      </c>
      <c r="BI35" s="28" t="s">
        <v>17</v>
      </c>
      <c r="BJ35" s="28" t="s">
        <v>17</v>
      </c>
      <c r="BK35" s="28" t="s">
        <v>18</v>
      </c>
      <c r="BL35" s="70" t="s">
        <v>14</v>
      </c>
      <c r="BM35" s="70" t="s">
        <v>14</v>
      </c>
      <c r="BN35" s="28" t="s">
        <v>17</v>
      </c>
      <c r="BO35" s="28" t="s">
        <v>17</v>
      </c>
      <c r="BP35" s="28" t="s">
        <v>17</v>
      </c>
      <c r="BQ35" s="28" t="s">
        <v>18</v>
      </c>
      <c r="BR35" s="71" t="s">
        <v>13</v>
      </c>
    </row>
    <row r="36" spans="1:70" x14ac:dyDescent="0.3">
      <c r="A36" s="12">
        <f t="shared" ref="A36:B36" si="25">A33+1</f>
        <v>173</v>
      </c>
      <c r="B36" s="12">
        <f t="shared" si="25"/>
        <v>12</v>
      </c>
      <c r="C36" s="81">
        <v>44734.416666666664</v>
      </c>
      <c r="D36" s="37">
        <f t="shared" si="12"/>
        <v>0.45833333332848269</v>
      </c>
      <c r="E36" s="38">
        <f t="shared" si="13"/>
        <v>10.979166666664241</v>
      </c>
      <c r="F36" s="5">
        <f t="shared" si="14"/>
        <v>10.979166666664241</v>
      </c>
      <c r="G36" s="5">
        <f t="shared" si="15"/>
        <v>0.43916666666656967</v>
      </c>
      <c r="H36" s="1">
        <f t="shared" si="2"/>
        <v>0</v>
      </c>
      <c r="I36" s="1">
        <f t="shared" si="3"/>
        <v>0</v>
      </c>
      <c r="J36" s="1">
        <f t="shared" si="4"/>
        <v>0</v>
      </c>
      <c r="K36" s="1">
        <f t="shared" si="5"/>
        <v>0</v>
      </c>
      <c r="L36" s="1">
        <f t="shared" si="6"/>
        <v>0</v>
      </c>
      <c r="M36" s="1">
        <f t="shared" si="0"/>
        <v>6</v>
      </c>
      <c r="N36" s="1">
        <f t="shared" si="1"/>
        <v>9</v>
      </c>
      <c r="P36" s="1">
        <f t="shared" si="7"/>
        <v>28</v>
      </c>
      <c r="Q36" s="1">
        <f t="shared" si="8"/>
        <v>6</v>
      </c>
      <c r="R36" s="1">
        <f t="shared" si="9"/>
        <v>0</v>
      </c>
      <c r="S36" s="1">
        <f t="shared" si="10"/>
        <v>0</v>
      </c>
      <c r="T36" s="1">
        <f t="shared" si="11"/>
        <v>1</v>
      </c>
      <c r="U36" s="28" t="s">
        <v>17</v>
      </c>
      <c r="V36" s="28" t="s">
        <v>17</v>
      </c>
      <c r="W36" s="28" t="s">
        <v>17</v>
      </c>
      <c r="X36" s="28" t="s">
        <v>18</v>
      </c>
      <c r="Y36" s="28" t="s">
        <v>27</v>
      </c>
      <c r="Z36" s="28" t="s">
        <v>17</v>
      </c>
      <c r="AA36" s="28" t="s">
        <v>17</v>
      </c>
      <c r="AB36" s="28" t="s">
        <v>17</v>
      </c>
      <c r="AC36" s="71" t="s">
        <v>13</v>
      </c>
      <c r="AD36" s="70" t="s">
        <v>14</v>
      </c>
      <c r="AE36" s="28" t="s">
        <v>17</v>
      </c>
      <c r="AF36" s="28" t="s">
        <v>17</v>
      </c>
      <c r="AG36" s="28" t="s">
        <v>17</v>
      </c>
      <c r="AH36" s="28" t="s">
        <v>18</v>
      </c>
      <c r="AI36" s="70" t="s">
        <v>14</v>
      </c>
      <c r="AJ36" s="28" t="s">
        <v>17</v>
      </c>
      <c r="AK36" s="28" t="s">
        <v>17</v>
      </c>
      <c r="AL36" s="28" t="s">
        <v>17</v>
      </c>
      <c r="AM36" s="28" t="s">
        <v>17</v>
      </c>
      <c r="AN36" s="70" t="s">
        <v>14</v>
      </c>
      <c r="AO36" s="28" t="s">
        <v>17</v>
      </c>
      <c r="AP36" s="28" t="s">
        <v>17</v>
      </c>
      <c r="AQ36" s="70" t="s">
        <v>14</v>
      </c>
      <c r="AR36" s="71" t="s">
        <v>13</v>
      </c>
      <c r="AS36" s="70" t="s">
        <v>14</v>
      </c>
      <c r="AT36" s="28" t="s">
        <v>17</v>
      </c>
      <c r="AU36" s="28" t="s">
        <v>17</v>
      </c>
      <c r="AV36" s="28" t="s">
        <v>17</v>
      </c>
      <c r="AW36" s="28" t="s">
        <v>18</v>
      </c>
      <c r="AX36" s="71" t="s">
        <v>13</v>
      </c>
      <c r="AY36" s="28" t="s">
        <v>17</v>
      </c>
      <c r="AZ36" s="28" t="s">
        <v>17</v>
      </c>
      <c r="BA36" s="28" t="s">
        <v>18</v>
      </c>
      <c r="BB36" s="70" t="s">
        <v>14</v>
      </c>
      <c r="BC36" s="71" t="s">
        <v>13</v>
      </c>
      <c r="BD36" s="28" t="s">
        <v>17</v>
      </c>
      <c r="BE36" s="28" t="s">
        <v>17</v>
      </c>
      <c r="BF36" s="28" t="s">
        <v>17</v>
      </c>
      <c r="BG36" s="70" t="s">
        <v>14</v>
      </c>
      <c r="BH36" s="71" t="s">
        <v>13</v>
      </c>
      <c r="BI36" s="28" t="s">
        <v>17</v>
      </c>
      <c r="BJ36" s="28" t="s">
        <v>17</v>
      </c>
      <c r="BK36" s="28" t="s">
        <v>18</v>
      </c>
      <c r="BL36" s="70" t="s">
        <v>14</v>
      </c>
      <c r="BM36" s="70" t="s">
        <v>14</v>
      </c>
      <c r="BN36" s="28" t="s">
        <v>17</v>
      </c>
      <c r="BO36" s="28" t="s">
        <v>17</v>
      </c>
      <c r="BP36" s="28" t="s">
        <v>17</v>
      </c>
      <c r="BQ36" s="28" t="s">
        <v>18</v>
      </c>
      <c r="BR36" s="71" t="s">
        <v>13</v>
      </c>
    </row>
    <row r="37" spans="1:70" x14ac:dyDescent="0.3">
      <c r="AC37" s="28" t="s">
        <v>13</v>
      </c>
      <c r="AD37" s="28" t="s">
        <v>14</v>
      </c>
      <c r="AI37" s="28" t="s">
        <v>14</v>
      </c>
      <c r="AN37" s="28" t="s">
        <v>14</v>
      </c>
      <c r="AQ37" s="28" t="s">
        <v>14</v>
      </c>
      <c r="AR37" s="28" t="s">
        <v>13</v>
      </c>
      <c r="AS37" s="28" t="s">
        <v>14</v>
      </c>
      <c r="AX37" s="28" t="s">
        <v>13</v>
      </c>
      <c r="BB37" s="28" t="s">
        <v>14</v>
      </c>
      <c r="BC37" s="28" t="s">
        <v>13</v>
      </c>
      <c r="BG37" s="28" t="s">
        <v>14</v>
      </c>
      <c r="BH37" s="28" t="s">
        <v>13</v>
      </c>
      <c r="BL37" s="28" t="s">
        <v>14</v>
      </c>
      <c r="BM37" s="28" t="s">
        <v>14</v>
      </c>
      <c r="BR37" s="28" t="s">
        <v>13</v>
      </c>
    </row>
    <row r="38" spans="1:70" x14ac:dyDescent="0.3">
      <c r="AC38" s="28" t="s">
        <v>13</v>
      </c>
      <c r="AD38" s="28" t="s">
        <v>14</v>
      </c>
      <c r="AI38" s="28" t="s">
        <v>14</v>
      </c>
      <c r="AN38" s="28" t="s">
        <v>14</v>
      </c>
      <c r="AQ38" s="28" t="s">
        <v>14</v>
      </c>
      <c r="AR38" s="28" t="s">
        <v>13</v>
      </c>
      <c r="AS38" s="28" t="s">
        <v>14</v>
      </c>
      <c r="AX38" s="28" t="s">
        <v>13</v>
      </c>
      <c r="BB38" s="28" t="s">
        <v>14</v>
      </c>
      <c r="BC38" s="28" t="s">
        <v>13</v>
      </c>
      <c r="BG38" s="28" t="s">
        <v>14</v>
      </c>
      <c r="BH38" s="28" t="s">
        <v>13</v>
      </c>
      <c r="BL38" s="28" t="s">
        <v>14</v>
      </c>
      <c r="BM38" s="28" t="s">
        <v>14</v>
      </c>
      <c r="BR38" s="28" t="s">
        <v>13</v>
      </c>
    </row>
    <row r="39" spans="1:70" x14ac:dyDescent="0.3">
      <c r="O39" s="5"/>
      <c r="AC39" s="28" t="s">
        <v>13</v>
      </c>
      <c r="AD39" s="28" t="s">
        <v>14</v>
      </c>
      <c r="AI39" s="28" t="s">
        <v>14</v>
      </c>
      <c r="AN39" s="28" t="s">
        <v>14</v>
      </c>
      <c r="AQ39" s="28" t="s">
        <v>14</v>
      </c>
      <c r="AR39" s="28" t="s">
        <v>13</v>
      </c>
      <c r="AS39" s="28" t="s">
        <v>14</v>
      </c>
      <c r="AX39" s="28" t="s">
        <v>13</v>
      </c>
      <c r="BB39" s="28" t="s">
        <v>14</v>
      </c>
      <c r="BC39" s="28" t="s">
        <v>13</v>
      </c>
      <c r="BG39" s="28" t="s">
        <v>14</v>
      </c>
      <c r="BH39" s="28" t="s">
        <v>13</v>
      </c>
      <c r="BL39" s="28" t="s">
        <v>14</v>
      </c>
      <c r="BM39" s="28" t="s">
        <v>14</v>
      </c>
      <c r="BR39" s="28" t="s">
        <v>13</v>
      </c>
    </row>
    <row r="40" spans="1:70" x14ac:dyDescent="0.3">
      <c r="O40" s="5"/>
      <c r="AC40" s="28" t="s">
        <v>13</v>
      </c>
      <c r="AD40" s="28" t="s">
        <v>14</v>
      </c>
      <c r="AI40" s="28" t="s">
        <v>14</v>
      </c>
      <c r="AN40" s="28" t="s">
        <v>14</v>
      </c>
      <c r="AQ40" s="28" t="s">
        <v>14</v>
      </c>
      <c r="AR40" s="28" t="s">
        <v>13</v>
      </c>
      <c r="AS40" s="28" t="s">
        <v>14</v>
      </c>
      <c r="AX40" s="28" t="s">
        <v>13</v>
      </c>
      <c r="BB40" s="28" t="s">
        <v>14</v>
      </c>
      <c r="BC40" s="28" t="s">
        <v>13</v>
      </c>
      <c r="BG40" s="28" t="s">
        <v>14</v>
      </c>
      <c r="BH40" s="28" t="s">
        <v>13</v>
      </c>
      <c r="BL40" s="28" t="s">
        <v>14</v>
      </c>
      <c r="BM40" s="28" t="s">
        <v>14</v>
      </c>
      <c r="BR40" s="28" t="s">
        <v>13</v>
      </c>
    </row>
    <row r="41" spans="1:70" x14ac:dyDescent="0.3">
      <c r="O41" s="5"/>
      <c r="AC41" s="28" t="s">
        <v>13</v>
      </c>
      <c r="AD41" s="28" t="s">
        <v>14</v>
      </c>
      <c r="AI41" s="28" t="s">
        <v>14</v>
      </c>
      <c r="AN41" s="28" t="s">
        <v>14</v>
      </c>
      <c r="AQ41" s="28" t="s">
        <v>14</v>
      </c>
      <c r="AR41" s="28" t="s">
        <v>13</v>
      </c>
      <c r="AS41" s="28" t="s">
        <v>14</v>
      </c>
      <c r="AX41" s="28" t="s">
        <v>13</v>
      </c>
      <c r="BB41" s="28" t="s">
        <v>14</v>
      </c>
      <c r="BC41" s="28" t="s">
        <v>13</v>
      </c>
      <c r="BG41" s="28" t="s">
        <v>14</v>
      </c>
      <c r="BH41" s="28" t="s">
        <v>13</v>
      </c>
      <c r="BL41" s="28" t="s">
        <v>14</v>
      </c>
      <c r="BM41" s="28" t="s">
        <v>14</v>
      </c>
      <c r="BR41" s="28" t="s">
        <v>13</v>
      </c>
    </row>
    <row r="42" spans="1:70" x14ac:dyDescent="0.3">
      <c r="O42" s="5"/>
      <c r="AC42" s="28" t="s">
        <v>13</v>
      </c>
      <c r="AD42" s="28" t="s">
        <v>14</v>
      </c>
      <c r="AI42" s="28" t="s">
        <v>14</v>
      </c>
      <c r="AN42" s="28" t="s">
        <v>14</v>
      </c>
      <c r="AQ42" s="28" t="s">
        <v>14</v>
      </c>
      <c r="AR42" s="28" t="s">
        <v>13</v>
      </c>
      <c r="AS42" s="28" t="s">
        <v>14</v>
      </c>
      <c r="AX42" s="28" t="s">
        <v>13</v>
      </c>
      <c r="BB42" s="28" t="s">
        <v>14</v>
      </c>
      <c r="BC42" s="28" t="s">
        <v>13</v>
      </c>
      <c r="BG42" s="28" t="s">
        <v>14</v>
      </c>
      <c r="BH42" s="28" t="s">
        <v>13</v>
      </c>
      <c r="BL42" s="28" t="s">
        <v>14</v>
      </c>
      <c r="BM42" s="28" t="s">
        <v>14</v>
      </c>
      <c r="BR42" s="28" t="s">
        <v>13</v>
      </c>
    </row>
    <row r="43" spans="1:70" x14ac:dyDescent="0.3">
      <c r="O43" s="5"/>
      <c r="AC43" s="28" t="s">
        <v>13</v>
      </c>
      <c r="AD43" s="28" t="s">
        <v>14</v>
      </c>
      <c r="AI43" s="28" t="s">
        <v>14</v>
      </c>
      <c r="AN43" s="12" t="s">
        <v>83</v>
      </c>
      <c r="AQ43" s="28" t="s">
        <v>14</v>
      </c>
      <c r="AR43" s="28" t="s">
        <v>13</v>
      </c>
      <c r="AS43" s="28" t="s">
        <v>14</v>
      </c>
      <c r="AX43" s="28" t="s">
        <v>13</v>
      </c>
      <c r="BB43" s="28" t="s">
        <v>14</v>
      </c>
      <c r="BC43" s="28" t="s">
        <v>13</v>
      </c>
      <c r="BG43" s="28" t="s">
        <v>14</v>
      </c>
      <c r="BH43" s="28" t="s">
        <v>13</v>
      </c>
      <c r="BL43" s="28" t="s">
        <v>14</v>
      </c>
      <c r="BM43" s="28" t="s">
        <v>14</v>
      </c>
      <c r="BR43" s="28" t="s">
        <v>13</v>
      </c>
    </row>
    <row r="44" spans="1:70" x14ac:dyDescent="0.3">
      <c r="O44" s="5"/>
      <c r="AC44" s="28" t="s">
        <v>13</v>
      </c>
      <c r="AD44" s="28" t="s">
        <v>14</v>
      </c>
      <c r="AI44" s="28" t="s">
        <v>14</v>
      </c>
      <c r="AQ44" s="28" t="s">
        <v>14</v>
      </c>
      <c r="AR44" s="28" t="s">
        <v>13</v>
      </c>
      <c r="AS44" s="28" t="s">
        <v>14</v>
      </c>
      <c r="AX44" s="28" t="s">
        <v>13</v>
      </c>
      <c r="BB44" s="28" t="s">
        <v>14</v>
      </c>
      <c r="BC44" s="28" t="s">
        <v>13</v>
      </c>
      <c r="BG44" s="12" t="s">
        <v>83</v>
      </c>
      <c r="BH44" s="28" t="s">
        <v>82</v>
      </c>
      <c r="BL44" s="28" t="s">
        <v>14</v>
      </c>
      <c r="BM44" s="28" t="s">
        <v>14</v>
      </c>
      <c r="BR44" s="28" t="s">
        <v>13</v>
      </c>
    </row>
    <row r="45" spans="1:70" x14ac:dyDescent="0.3">
      <c r="O45" s="5"/>
      <c r="AC45" s="28" t="s">
        <v>82</v>
      </c>
      <c r="AD45" s="28" t="s">
        <v>14</v>
      </c>
      <c r="AI45" s="28" t="s">
        <v>14</v>
      </c>
      <c r="AQ45" s="12" t="s">
        <v>83</v>
      </c>
      <c r="AR45" s="28" t="s">
        <v>82</v>
      </c>
      <c r="AS45" s="28" t="s">
        <v>14</v>
      </c>
      <c r="AX45" s="28" t="s">
        <v>82</v>
      </c>
      <c r="BB45" s="12" t="s">
        <v>83</v>
      </c>
      <c r="BC45" s="28" t="s">
        <v>13</v>
      </c>
      <c r="BL45" s="28" t="s">
        <v>14</v>
      </c>
      <c r="BM45" s="28" t="s">
        <v>14</v>
      </c>
      <c r="BR45" s="28" t="s">
        <v>13</v>
      </c>
    </row>
    <row r="46" spans="1:70" x14ac:dyDescent="0.3">
      <c r="O46" s="5"/>
      <c r="AC46" s="73" t="s">
        <v>13</v>
      </c>
      <c r="AD46" s="28" t="s">
        <v>14</v>
      </c>
      <c r="AI46" s="28" t="s">
        <v>14</v>
      </c>
      <c r="AR46" s="73" t="s">
        <v>13</v>
      </c>
      <c r="AS46" s="28" t="s">
        <v>14</v>
      </c>
      <c r="BC46" s="28" t="s">
        <v>13</v>
      </c>
      <c r="BL46" s="28" t="s">
        <v>14</v>
      </c>
      <c r="BM46" s="28" t="s">
        <v>14</v>
      </c>
      <c r="BR46" s="28" t="s">
        <v>13</v>
      </c>
    </row>
    <row r="47" spans="1:70" x14ac:dyDescent="0.3">
      <c r="O47" s="5"/>
      <c r="AC47" s="73" t="s">
        <v>13</v>
      </c>
      <c r="AD47" s="28" t="s">
        <v>14</v>
      </c>
      <c r="AI47" s="28" t="s">
        <v>14</v>
      </c>
      <c r="AR47" s="73" t="s">
        <v>13</v>
      </c>
      <c r="AS47" s="28" t="s">
        <v>14</v>
      </c>
      <c r="BC47" s="28" t="s">
        <v>13</v>
      </c>
      <c r="BL47" s="28" t="s">
        <v>14</v>
      </c>
      <c r="BM47" s="28" t="s">
        <v>14</v>
      </c>
      <c r="BR47" s="28" t="s">
        <v>13</v>
      </c>
    </row>
    <row r="48" spans="1:70" x14ac:dyDescent="0.3">
      <c r="O48" s="5"/>
      <c r="AC48" s="73" t="s">
        <v>13</v>
      </c>
      <c r="AD48" s="28" t="s">
        <v>14</v>
      </c>
      <c r="AI48" s="28" t="s">
        <v>14</v>
      </c>
      <c r="AR48" s="73" t="s">
        <v>13</v>
      </c>
      <c r="AS48" s="28" t="s">
        <v>14</v>
      </c>
      <c r="BC48" s="28" t="s">
        <v>13</v>
      </c>
      <c r="BL48" s="28" t="s">
        <v>14</v>
      </c>
      <c r="BM48" s="28" t="s">
        <v>14</v>
      </c>
      <c r="BR48" s="28" t="s">
        <v>13</v>
      </c>
    </row>
    <row r="49" spans="15:70" x14ac:dyDescent="0.3">
      <c r="O49" s="5"/>
      <c r="AC49" s="73" t="s">
        <v>13</v>
      </c>
      <c r="AD49" s="28" t="s">
        <v>14</v>
      </c>
      <c r="AI49" s="28" t="s">
        <v>14</v>
      </c>
      <c r="AR49" s="73" t="s">
        <v>13</v>
      </c>
      <c r="AS49" s="28" t="s">
        <v>14</v>
      </c>
      <c r="BC49" s="28" t="s">
        <v>13</v>
      </c>
      <c r="BL49" s="28" t="s">
        <v>14</v>
      </c>
      <c r="BM49" s="28" t="s">
        <v>14</v>
      </c>
      <c r="BR49" s="28" t="s">
        <v>13</v>
      </c>
    </row>
    <row r="50" spans="15:70" x14ac:dyDescent="0.3">
      <c r="O50" s="5"/>
      <c r="AC50" s="73" t="s">
        <v>13</v>
      </c>
      <c r="AD50" s="28" t="s">
        <v>14</v>
      </c>
      <c r="AI50" s="28" t="s">
        <v>14</v>
      </c>
      <c r="AR50" s="73" t="s">
        <v>13</v>
      </c>
      <c r="AS50" s="28" t="s">
        <v>14</v>
      </c>
      <c r="BC50" s="28" t="s">
        <v>13</v>
      </c>
      <c r="BL50" s="28" t="s">
        <v>14</v>
      </c>
      <c r="BM50" s="28" t="s">
        <v>14</v>
      </c>
      <c r="BR50" s="28" t="s">
        <v>13</v>
      </c>
    </row>
    <row r="51" spans="15:70" x14ac:dyDescent="0.3">
      <c r="O51" s="5"/>
      <c r="AC51" s="73" t="s">
        <v>13</v>
      </c>
      <c r="AD51" s="28" t="s">
        <v>14</v>
      </c>
      <c r="AI51" s="28" t="s">
        <v>14</v>
      </c>
      <c r="AR51" s="73" t="s">
        <v>13</v>
      </c>
      <c r="AS51" s="28" t="s">
        <v>14</v>
      </c>
      <c r="BC51" s="28" t="s">
        <v>13</v>
      </c>
      <c r="BL51" s="28" t="s">
        <v>14</v>
      </c>
      <c r="BM51" s="28" t="s">
        <v>14</v>
      </c>
      <c r="BR51" s="28" t="s">
        <v>13</v>
      </c>
    </row>
    <row r="52" spans="15:70" x14ac:dyDescent="0.3">
      <c r="O52" s="5"/>
      <c r="AC52" s="73" t="s">
        <v>13</v>
      </c>
      <c r="AD52" s="28" t="s">
        <v>14</v>
      </c>
      <c r="AI52" s="28" t="s">
        <v>14</v>
      </c>
      <c r="AR52" s="28" t="s">
        <v>82</v>
      </c>
      <c r="AS52" s="12" t="s">
        <v>83</v>
      </c>
      <c r="BC52" s="28" t="s">
        <v>13</v>
      </c>
      <c r="BL52" s="28" t="s">
        <v>14</v>
      </c>
      <c r="BM52" s="28" t="s">
        <v>14</v>
      </c>
      <c r="BR52" s="28" t="s">
        <v>13</v>
      </c>
    </row>
    <row r="53" spans="15:70" x14ac:dyDescent="0.3">
      <c r="O53" s="5"/>
      <c r="AC53" s="73" t="s">
        <v>13</v>
      </c>
      <c r="AD53" s="28" t="s">
        <v>14</v>
      </c>
      <c r="AI53" s="28" t="s">
        <v>14</v>
      </c>
      <c r="BC53" s="28" t="s">
        <v>13</v>
      </c>
      <c r="BL53" s="28" t="s">
        <v>14</v>
      </c>
      <c r="BM53" s="28" t="s">
        <v>14</v>
      </c>
      <c r="BR53" s="28" t="s">
        <v>13</v>
      </c>
    </row>
    <row r="54" spans="15:70" x14ac:dyDescent="0.3">
      <c r="O54" s="5"/>
      <c r="AC54" s="73" t="s">
        <v>13</v>
      </c>
      <c r="AD54" s="28" t="s">
        <v>14</v>
      </c>
      <c r="AI54" s="28" t="s">
        <v>14</v>
      </c>
      <c r="BC54" s="28" t="s">
        <v>13</v>
      </c>
      <c r="BL54" s="28" t="s">
        <v>14</v>
      </c>
      <c r="BM54" s="28" t="s">
        <v>14</v>
      </c>
      <c r="BR54" s="28" t="s">
        <v>13</v>
      </c>
    </row>
    <row r="55" spans="15:70" x14ac:dyDescent="0.3">
      <c r="O55" s="5"/>
      <c r="AC55" s="73" t="s">
        <v>13</v>
      </c>
      <c r="AD55" s="12" t="s">
        <v>83</v>
      </c>
      <c r="AI55" s="28" t="s">
        <v>14</v>
      </c>
      <c r="BC55" s="28" t="s">
        <v>82</v>
      </c>
      <c r="BL55" s="28" t="s">
        <v>14</v>
      </c>
      <c r="BM55" s="28" t="s">
        <v>14</v>
      </c>
      <c r="BR55" s="28" t="s">
        <v>82</v>
      </c>
    </row>
    <row r="56" spans="15:70" x14ac:dyDescent="0.3">
      <c r="O56" s="5"/>
      <c r="AC56" s="28" t="s">
        <v>82</v>
      </c>
      <c r="AI56" s="12" t="s">
        <v>83</v>
      </c>
      <c r="BL56" s="28" t="s">
        <v>14</v>
      </c>
      <c r="BM56" s="28" t="s">
        <v>14</v>
      </c>
      <c r="BR56" s="73" t="s">
        <v>79</v>
      </c>
    </row>
    <row r="57" spans="15:70" x14ac:dyDescent="0.3">
      <c r="O57" s="5"/>
      <c r="BL57" s="28" t="s">
        <v>14</v>
      </c>
      <c r="BM57" s="28" t="s">
        <v>14</v>
      </c>
      <c r="BR57" s="73" t="s">
        <v>79</v>
      </c>
    </row>
    <row r="58" spans="15:70" x14ac:dyDescent="0.3">
      <c r="O58" s="5"/>
      <c r="BL58" s="28" t="s">
        <v>14</v>
      </c>
      <c r="BM58" s="28" t="s">
        <v>14</v>
      </c>
      <c r="BR58" s="73" t="s">
        <v>79</v>
      </c>
    </row>
    <row r="59" spans="15:70" x14ac:dyDescent="0.3">
      <c r="O59" s="5"/>
      <c r="BL59" s="28" t="s">
        <v>14</v>
      </c>
      <c r="BM59" s="28" t="s">
        <v>14</v>
      </c>
      <c r="BR59" s="73" t="s">
        <v>79</v>
      </c>
    </row>
    <row r="60" spans="15:70" x14ac:dyDescent="0.3">
      <c r="O60" s="5"/>
      <c r="BL60" s="28" t="s">
        <v>14</v>
      </c>
      <c r="BM60" s="12" t="s">
        <v>83</v>
      </c>
      <c r="BR60" s="73" t="s">
        <v>79</v>
      </c>
    </row>
    <row r="61" spans="15:70" x14ac:dyDescent="0.3">
      <c r="O61" s="5"/>
      <c r="BL61" s="28" t="s">
        <v>14</v>
      </c>
    </row>
    <row r="62" spans="15:70" x14ac:dyDescent="0.3">
      <c r="O62" s="5"/>
      <c r="BL62" s="28" t="s">
        <v>14</v>
      </c>
    </row>
    <row r="63" spans="15:70" x14ac:dyDescent="0.3">
      <c r="O63" s="5"/>
      <c r="BL63" s="28" t="s">
        <v>14</v>
      </c>
    </row>
    <row r="64" spans="15:70" x14ac:dyDescent="0.3">
      <c r="O64" s="5"/>
      <c r="BL64" s="28" t="s">
        <v>14</v>
      </c>
    </row>
    <row r="65" spans="15:64" x14ac:dyDescent="0.3">
      <c r="O65" s="5"/>
      <c r="BL65" s="12" t="s">
        <v>83</v>
      </c>
    </row>
    <row r="66" spans="15:64" x14ac:dyDescent="0.3">
      <c r="O66" s="5"/>
    </row>
    <row r="67" spans="15:64" x14ac:dyDescent="0.3">
      <c r="O67" s="5"/>
    </row>
    <row r="68" spans="15:64" x14ac:dyDescent="0.3">
      <c r="O68" s="5"/>
    </row>
    <row r="69" spans="15:64" x14ac:dyDescent="0.3">
      <c r="O69" s="5"/>
    </row>
    <row r="70" spans="15:64" x14ac:dyDescent="0.3">
      <c r="O70" s="5"/>
    </row>
    <row r="71" spans="15:64" x14ac:dyDescent="0.3">
      <c r="O71" s="5"/>
    </row>
    <row r="72" spans="15:64" x14ac:dyDescent="0.3">
      <c r="O72" s="5"/>
    </row>
    <row r="75" spans="15:64" x14ac:dyDescent="0.3">
      <c r="O75" s="5"/>
    </row>
    <row r="76" spans="15:64" x14ac:dyDescent="0.3">
      <c r="O76" s="5"/>
    </row>
    <row r="77" spans="15:64" x14ac:dyDescent="0.3">
      <c r="O77" s="5"/>
    </row>
    <row r="78" spans="15:64" x14ac:dyDescent="0.3">
      <c r="O78" s="5"/>
    </row>
    <row r="79" spans="15:64" x14ac:dyDescent="0.3">
      <c r="O79" s="5"/>
    </row>
    <row r="80" spans="15:64" x14ac:dyDescent="0.3">
      <c r="O80" s="5"/>
    </row>
    <row r="81" spans="15:15" x14ac:dyDescent="0.3">
      <c r="O81" s="5"/>
    </row>
    <row r="82" spans="15:15" x14ac:dyDescent="0.3">
      <c r="O82" s="5"/>
    </row>
    <row r="83" spans="15:15" x14ac:dyDescent="0.3">
      <c r="O83" s="5"/>
    </row>
    <row r="84" spans="15:15" x14ac:dyDescent="0.3">
      <c r="O84" s="5"/>
    </row>
    <row r="85" spans="15:15" x14ac:dyDescent="0.3">
      <c r="O85" s="5"/>
    </row>
    <row r="86" spans="15:15" x14ac:dyDescent="0.3">
      <c r="O86" s="5"/>
    </row>
    <row r="87" spans="15:15" x14ac:dyDescent="0.3">
      <c r="O87" s="5"/>
    </row>
    <row r="88" spans="15:15" x14ac:dyDescent="0.3">
      <c r="O88" s="5"/>
    </row>
    <row r="89" spans="15:15" x14ac:dyDescent="0.3">
      <c r="O89" s="5"/>
    </row>
    <row r="90" spans="15:15" x14ac:dyDescent="0.3">
      <c r="O90" s="5"/>
    </row>
    <row r="91" spans="15:15" x14ac:dyDescent="0.3">
      <c r="O91" s="5"/>
    </row>
    <row r="92" spans="15:15" x14ac:dyDescent="0.3">
      <c r="O92" s="5"/>
    </row>
    <row r="93" spans="15:15" x14ac:dyDescent="0.3">
      <c r="O93" s="5"/>
    </row>
    <row r="94" spans="15:15" x14ac:dyDescent="0.3">
      <c r="O94" s="5"/>
    </row>
    <row r="95" spans="15:15" x14ac:dyDescent="0.3">
      <c r="O95" s="5"/>
    </row>
    <row r="96" spans="15:15" x14ac:dyDescent="0.3">
      <c r="O96" s="5"/>
    </row>
    <row r="97" spans="15:15" x14ac:dyDescent="0.3">
      <c r="O97" s="5"/>
    </row>
    <row r="98" spans="15:15" x14ac:dyDescent="0.3">
      <c r="O98" s="5"/>
    </row>
    <row r="99" spans="15:15" x14ac:dyDescent="0.3">
      <c r="O99" s="5"/>
    </row>
    <row r="100" spans="15:15" x14ac:dyDescent="0.3">
      <c r="O100" s="5"/>
    </row>
    <row r="101" spans="15:15" x14ac:dyDescent="0.3">
      <c r="O101" s="5"/>
    </row>
    <row r="102" spans="15:15" x14ac:dyDescent="0.3">
      <c r="O102" s="5"/>
    </row>
    <row r="103" spans="15:15" x14ac:dyDescent="0.3">
      <c r="O103" s="5"/>
    </row>
    <row r="104" spans="15:15" x14ac:dyDescent="0.3">
      <c r="O104" s="5"/>
    </row>
    <row r="105" spans="15:15" x14ac:dyDescent="0.3">
      <c r="O105" s="5"/>
    </row>
    <row r="106" spans="15:15" x14ac:dyDescent="0.3">
      <c r="O106" s="5"/>
    </row>
    <row r="107" spans="15:15" x14ac:dyDescent="0.3">
      <c r="O107" s="5"/>
    </row>
    <row r="108" spans="15:15" x14ac:dyDescent="0.3">
      <c r="O108" s="5"/>
    </row>
  </sheetData>
  <mergeCells count="29">
    <mergeCell ref="A1:A2"/>
    <mergeCell ref="B1:B2"/>
    <mergeCell ref="C1:C2"/>
    <mergeCell ref="D1:D2"/>
    <mergeCell ref="E1:E2"/>
    <mergeCell ref="A18:A20"/>
    <mergeCell ref="B18:B20"/>
    <mergeCell ref="A3:A5"/>
    <mergeCell ref="B3:B5"/>
    <mergeCell ref="A6:A8"/>
    <mergeCell ref="B6:B8"/>
    <mergeCell ref="A9:A11"/>
    <mergeCell ref="B9:B11"/>
    <mergeCell ref="U1:BR2"/>
    <mergeCell ref="A30:A32"/>
    <mergeCell ref="B30:B32"/>
    <mergeCell ref="A33:A35"/>
    <mergeCell ref="B33:B35"/>
    <mergeCell ref="P1:T1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08C2-C8DA-4F0B-BB6A-D13EF3D78304}">
  <dimension ref="A1:BS145"/>
  <sheetViews>
    <sheetView zoomScale="85" zoomScaleNormal="85" workbookViewId="0">
      <selection activeCell="D13" sqref="D13"/>
    </sheetView>
  </sheetViews>
  <sheetFormatPr defaultRowHeight="14.4" x14ac:dyDescent="0.3"/>
  <cols>
    <col min="1" max="2" width="8.88671875" style="1"/>
    <col min="3" max="3" width="12.88671875" style="1" bestFit="1" customWidth="1"/>
    <col min="4" max="4" width="13.33203125" style="1" bestFit="1" customWidth="1"/>
    <col min="5" max="5" width="20.5546875" style="1" bestFit="1" customWidth="1"/>
    <col min="6" max="13" width="8.88671875" style="1"/>
    <col min="14" max="14" width="5.5546875" style="1" bestFit="1" customWidth="1"/>
    <col min="15" max="16384" width="8.88671875" style="1"/>
  </cols>
  <sheetData>
    <row r="1" spans="1:71" ht="14.4" customHeight="1" x14ac:dyDescent="0.3">
      <c r="A1" s="93" t="s">
        <v>0</v>
      </c>
      <c r="B1" s="94" t="s">
        <v>32</v>
      </c>
      <c r="C1" s="93" t="s">
        <v>1</v>
      </c>
      <c r="D1" s="93" t="s">
        <v>23</v>
      </c>
      <c r="E1" s="93" t="s">
        <v>24</v>
      </c>
      <c r="F1" s="57" t="s">
        <v>25</v>
      </c>
      <c r="G1" s="56" t="s">
        <v>15</v>
      </c>
      <c r="H1" s="29"/>
      <c r="I1" s="29"/>
      <c r="J1" s="29"/>
      <c r="K1" s="29"/>
      <c r="L1" s="29"/>
      <c r="M1" s="29"/>
      <c r="N1" s="36"/>
      <c r="O1" s="89" t="s">
        <v>16</v>
      </c>
      <c r="P1" s="89"/>
      <c r="Q1" s="89"/>
      <c r="R1" s="89"/>
      <c r="S1" s="89"/>
      <c r="T1" s="95" t="s">
        <v>30</v>
      </c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</row>
    <row r="2" spans="1:71" ht="14.4" customHeight="1" x14ac:dyDescent="0.3">
      <c r="A2" s="93"/>
      <c r="B2" s="94"/>
      <c r="C2" s="93"/>
      <c r="D2" s="93"/>
      <c r="E2" s="93"/>
      <c r="F2" s="57"/>
      <c r="G2" s="24" t="s">
        <v>9</v>
      </c>
      <c r="H2" s="25" t="s">
        <v>5</v>
      </c>
      <c r="I2" s="16" t="s">
        <v>8</v>
      </c>
      <c r="J2" s="17" t="s">
        <v>10</v>
      </c>
      <c r="K2" s="18" t="s">
        <v>11</v>
      </c>
      <c r="L2" s="19" t="s">
        <v>13</v>
      </c>
      <c r="M2" s="20" t="s">
        <v>14</v>
      </c>
      <c r="N2" s="36"/>
      <c r="O2" s="24" t="s">
        <v>9</v>
      </c>
      <c r="P2" s="25" t="s">
        <v>5</v>
      </c>
      <c r="Q2" s="16" t="s">
        <v>8</v>
      </c>
      <c r="R2" s="17" t="s">
        <v>10</v>
      </c>
      <c r="S2" s="18" t="s">
        <v>11</v>
      </c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</row>
    <row r="3" spans="1:71" x14ac:dyDescent="0.3">
      <c r="A3" s="93">
        <v>172</v>
      </c>
      <c r="B3" s="93">
        <v>1</v>
      </c>
      <c r="C3" s="26">
        <v>44733.458333333336</v>
      </c>
      <c r="D3" s="37">
        <v>0</v>
      </c>
      <c r="E3" s="38">
        <v>0</v>
      </c>
      <c r="F3" s="5">
        <v>0</v>
      </c>
      <c r="G3" s="1">
        <f>COUNTIF($T3:$BS3, "E")</f>
        <v>52</v>
      </c>
      <c r="H3" s="1">
        <f>COUNTIF($T3:$BS3, "L1")</f>
        <v>0</v>
      </c>
      <c r="I3" s="1">
        <f>COUNTIF($T3:$BS3, "L2")</f>
        <v>0</v>
      </c>
      <c r="J3" s="1">
        <f>COUNTIF($T3:$BS3, "L3")</f>
        <v>0</v>
      </c>
      <c r="K3" s="1">
        <f>COUNTIF($T3:$BS3, "P")</f>
        <v>0</v>
      </c>
      <c r="L3" s="1">
        <f>COUNTIF($T3:$BS3, "AM")</f>
        <v>0</v>
      </c>
      <c r="M3" s="1">
        <f>COUNTIF($T3:$BS3, "AF")</f>
        <v>0</v>
      </c>
      <c r="O3" s="1">
        <f>COUNTIF($T3:$BS3, "E_D")</f>
        <v>0</v>
      </c>
      <c r="P3" s="1">
        <f>COUNTIF($T3:$BS3, "L1_D")</f>
        <v>0</v>
      </c>
      <c r="Q3" s="1">
        <f>COUNTIF($T3:$BS3, "L2_D")</f>
        <v>0</v>
      </c>
      <c r="R3" s="1">
        <f>COUNTIF($T3:$BS3, "L3_D")</f>
        <v>0</v>
      </c>
      <c r="S3" s="1">
        <f>COUNTIF($T3:$BS3, "P_D")</f>
        <v>0</v>
      </c>
      <c r="T3" s="28" t="s">
        <v>4</v>
      </c>
      <c r="U3" s="28" t="s">
        <v>4</v>
      </c>
      <c r="V3" s="28" t="s">
        <v>4</v>
      </c>
      <c r="W3" s="28" t="s">
        <v>4</v>
      </c>
      <c r="X3" s="28" t="s">
        <v>4</v>
      </c>
      <c r="Y3" s="28" t="s">
        <v>4</v>
      </c>
      <c r="Z3" s="28" t="s">
        <v>4</v>
      </c>
      <c r="AA3" s="28" t="s">
        <v>4</v>
      </c>
      <c r="AB3" s="28" t="s">
        <v>4</v>
      </c>
      <c r="AC3" s="28" t="s">
        <v>4</v>
      </c>
      <c r="AD3" s="28" t="s">
        <v>4</v>
      </c>
      <c r="AE3" s="28" t="s">
        <v>4</v>
      </c>
      <c r="AF3" s="28" t="s">
        <v>4</v>
      </c>
      <c r="AG3" s="28" t="s">
        <v>4</v>
      </c>
      <c r="AH3" s="28" t="s">
        <v>4</v>
      </c>
      <c r="AI3" s="28" t="s">
        <v>4</v>
      </c>
      <c r="AJ3" s="28" t="s">
        <v>4</v>
      </c>
      <c r="AK3" s="28" t="s">
        <v>4</v>
      </c>
      <c r="AL3" s="28" t="s">
        <v>4</v>
      </c>
      <c r="AM3" s="28" t="s">
        <v>4</v>
      </c>
      <c r="AN3" s="28" t="s">
        <v>4</v>
      </c>
      <c r="AO3" s="28" t="s">
        <v>4</v>
      </c>
      <c r="AP3" s="28" t="s">
        <v>4</v>
      </c>
      <c r="AQ3" s="28" t="s">
        <v>4</v>
      </c>
      <c r="AR3" s="28" t="s">
        <v>4</v>
      </c>
      <c r="AS3" s="28" t="s">
        <v>4</v>
      </c>
      <c r="AT3" s="28" t="s">
        <v>4</v>
      </c>
      <c r="AU3" s="28" t="s">
        <v>4</v>
      </c>
      <c r="AV3" s="28" t="s">
        <v>4</v>
      </c>
      <c r="AW3" s="28" t="s">
        <v>4</v>
      </c>
      <c r="AX3" s="28" t="s">
        <v>4</v>
      </c>
      <c r="AY3" s="28" t="s">
        <v>4</v>
      </c>
      <c r="AZ3" s="28" t="s">
        <v>4</v>
      </c>
      <c r="BA3" s="28" t="s">
        <v>4</v>
      </c>
      <c r="BB3" s="28" t="s">
        <v>4</v>
      </c>
      <c r="BC3" s="28" t="s">
        <v>4</v>
      </c>
      <c r="BD3" s="28" t="s">
        <v>4</v>
      </c>
      <c r="BE3" s="28" t="s">
        <v>4</v>
      </c>
      <c r="BF3" s="28" t="s">
        <v>4</v>
      </c>
      <c r="BG3" s="28" t="s">
        <v>4</v>
      </c>
      <c r="BH3" s="28" t="s">
        <v>4</v>
      </c>
      <c r="BI3" s="28" t="s">
        <v>4</v>
      </c>
      <c r="BJ3" s="28" t="s">
        <v>4</v>
      </c>
      <c r="BK3" s="28" t="s">
        <v>4</v>
      </c>
      <c r="BL3" s="28" t="s">
        <v>4</v>
      </c>
      <c r="BM3" s="28" t="s">
        <v>4</v>
      </c>
      <c r="BN3" s="28" t="s">
        <v>4</v>
      </c>
      <c r="BO3" s="28" t="s">
        <v>4</v>
      </c>
      <c r="BP3" s="28" t="s">
        <v>4</v>
      </c>
      <c r="BQ3" s="28" t="s">
        <v>4</v>
      </c>
      <c r="BR3" s="28" t="s">
        <v>4</v>
      </c>
      <c r="BS3" s="28" t="s">
        <v>4</v>
      </c>
    </row>
    <row r="4" spans="1:71" x14ac:dyDescent="0.3">
      <c r="A4" s="93"/>
      <c r="B4" s="93"/>
      <c r="C4" s="26">
        <v>44733.708333333336</v>
      </c>
      <c r="D4" s="37">
        <f>(C4-C3)</f>
        <v>0.25</v>
      </c>
      <c r="E4" s="38">
        <f>E3+D4</f>
        <v>0.25</v>
      </c>
      <c r="F4" s="5">
        <f>F3+D4</f>
        <v>0.25</v>
      </c>
      <c r="G4" s="1">
        <f t="shared" ref="G4:G49" si="0">COUNTIF($T4:$BS4, "E")</f>
        <v>48</v>
      </c>
      <c r="H4" s="1">
        <f t="shared" ref="H4:H49" si="1">COUNTIF($T4:$BS4, "L1")</f>
        <v>4</v>
      </c>
      <c r="I4" s="1">
        <f t="shared" ref="I4:I49" si="2">COUNTIF($T4:$BS4, "L2")</f>
        <v>0</v>
      </c>
      <c r="J4" s="1">
        <f t="shared" ref="J4:J49" si="3">COUNTIF($T4:$BS4, "L3")</f>
        <v>0</v>
      </c>
      <c r="K4" s="1">
        <f t="shared" ref="K4:K49" si="4">COUNTIF($T4:$BS4, "P")</f>
        <v>0</v>
      </c>
      <c r="L4" s="1">
        <f t="shared" ref="L4:L49" si="5">COUNTIF($T4:$BS4, "AM")</f>
        <v>0</v>
      </c>
      <c r="M4" s="1">
        <f t="shared" ref="M4:M49" si="6">COUNTIF($T4:$BS4, "AF")</f>
        <v>0</v>
      </c>
      <c r="O4" s="1">
        <f t="shared" ref="O4:O49" si="7">COUNTIF($T4:$BS4, "E_D")</f>
        <v>0</v>
      </c>
      <c r="P4" s="1">
        <f t="shared" ref="P4:P49" si="8">COUNTIF($T4:$BS4, "L1_D")</f>
        <v>0</v>
      </c>
      <c r="Q4" s="1">
        <f t="shared" ref="Q4:Q49" si="9">COUNTIF($T4:$BS4, "L2_D")</f>
        <v>0</v>
      </c>
      <c r="R4" s="1">
        <f t="shared" ref="R4:R49" si="10">COUNTIF($T4:$BS4, "L3_D")</f>
        <v>0</v>
      </c>
      <c r="S4" s="1">
        <f t="shared" ref="S4:S49" si="11">COUNTIF($T4:$BS4, "P_D")</f>
        <v>0</v>
      </c>
      <c r="T4" s="28" t="s">
        <v>4</v>
      </c>
      <c r="U4" s="28" t="s">
        <v>4</v>
      </c>
      <c r="V4" s="28" t="s">
        <v>4</v>
      </c>
      <c r="W4" s="28" t="s">
        <v>4</v>
      </c>
      <c r="X4" s="28" t="s">
        <v>4</v>
      </c>
      <c r="Y4" s="28" t="s">
        <v>4</v>
      </c>
      <c r="Z4" s="28" t="s">
        <v>4</v>
      </c>
      <c r="AA4" s="28" t="s">
        <v>4</v>
      </c>
      <c r="AB4" s="28" t="s">
        <v>4</v>
      </c>
      <c r="AC4" s="28" t="s">
        <v>4</v>
      </c>
      <c r="AD4" s="28" t="s">
        <v>4</v>
      </c>
      <c r="AE4" s="28" t="s">
        <v>5</v>
      </c>
      <c r="AF4" s="28" t="s">
        <v>4</v>
      </c>
      <c r="AG4" s="28" t="s">
        <v>4</v>
      </c>
      <c r="AH4" s="28" t="s">
        <v>4</v>
      </c>
      <c r="AI4" s="28" t="s">
        <v>5</v>
      </c>
      <c r="AJ4" s="28" t="s">
        <v>4</v>
      </c>
      <c r="AK4" s="28" t="s">
        <v>4</v>
      </c>
      <c r="AL4" s="28" t="s">
        <v>4</v>
      </c>
      <c r="AM4" s="28" t="s">
        <v>4</v>
      </c>
      <c r="AN4" s="28" t="s">
        <v>4</v>
      </c>
      <c r="AO4" s="28" t="s">
        <v>4</v>
      </c>
      <c r="AP4" s="28" t="s">
        <v>4</v>
      </c>
      <c r="AQ4" s="28" t="s">
        <v>5</v>
      </c>
      <c r="AR4" s="28" t="s">
        <v>4</v>
      </c>
      <c r="AS4" s="28" t="s">
        <v>4</v>
      </c>
      <c r="AT4" s="28" t="s">
        <v>4</v>
      </c>
      <c r="AU4" s="28" t="s">
        <v>5</v>
      </c>
      <c r="AV4" s="28" t="s">
        <v>4</v>
      </c>
      <c r="AW4" s="28" t="s">
        <v>4</v>
      </c>
      <c r="AX4" s="28" t="s">
        <v>4</v>
      </c>
      <c r="AY4" s="28" t="s">
        <v>4</v>
      </c>
      <c r="AZ4" s="28" t="s">
        <v>4</v>
      </c>
      <c r="BA4" s="28" t="s">
        <v>4</v>
      </c>
      <c r="BB4" s="28" t="s">
        <v>4</v>
      </c>
      <c r="BC4" s="28" t="s">
        <v>4</v>
      </c>
      <c r="BD4" s="28" t="s">
        <v>4</v>
      </c>
      <c r="BE4" s="28" t="s">
        <v>4</v>
      </c>
      <c r="BF4" s="28" t="s">
        <v>4</v>
      </c>
      <c r="BG4" s="28" t="s">
        <v>4</v>
      </c>
      <c r="BH4" s="28" t="s">
        <v>4</v>
      </c>
      <c r="BI4" s="28" t="s">
        <v>4</v>
      </c>
      <c r="BJ4" s="28" t="s">
        <v>4</v>
      </c>
      <c r="BK4" s="28" t="s">
        <v>4</v>
      </c>
      <c r="BL4" s="28" t="s">
        <v>4</v>
      </c>
      <c r="BM4" s="28" t="s">
        <v>4</v>
      </c>
      <c r="BN4" s="28" t="s">
        <v>4</v>
      </c>
      <c r="BO4" s="28" t="s">
        <v>4</v>
      </c>
      <c r="BP4" s="28" t="s">
        <v>4</v>
      </c>
      <c r="BQ4" s="28" t="s">
        <v>4</v>
      </c>
      <c r="BR4" s="28" t="s">
        <v>4</v>
      </c>
      <c r="BS4" s="28" t="s">
        <v>4</v>
      </c>
    </row>
    <row r="5" spans="1:71" x14ac:dyDescent="0.3">
      <c r="A5" s="93"/>
      <c r="B5" s="93"/>
      <c r="C5" s="26">
        <v>44733.958333333336</v>
      </c>
      <c r="D5" s="37">
        <f>(C5-C4)</f>
        <v>0.25</v>
      </c>
      <c r="E5" s="38">
        <f t="shared" ref="E5:E49" si="12">E4+D5</f>
        <v>0.5</v>
      </c>
      <c r="F5" s="5">
        <f>F4+D5</f>
        <v>0.5</v>
      </c>
      <c r="G5" s="1">
        <f t="shared" si="0"/>
        <v>32</v>
      </c>
      <c r="H5" s="1">
        <f t="shared" si="1"/>
        <v>20</v>
      </c>
      <c r="I5" s="1">
        <f t="shared" si="2"/>
        <v>0</v>
      </c>
      <c r="J5" s="1">
        <f t="shared" si="3"/>
        <v>0</v>
      </c>
      <c r="K5" s="1">
        <f t="shared" si="4"/>
        <v>0</v>
      </c>
      <c r="L5" s="1">
        <f t="shared" si="5"/>
        <v>0</v>
      </c>
      <c r="M5" s="1">
        <f t="shared" si="6"/>
        <v>0</v>
      </c>
      <c r="O5" s="1">
        <f t="shared" si="7"/>
        <v>0</v>
      </c>
      <c r="P5" s="1">
        <f t="shared" si="8"/>
        <v>0</v>
      </c>
      <c r="Q5" s="1">
        <f t="shared" si="9"/>
        <v>0</v>
      </c>
      <c r="R5" s="1">
        <f t="shared" si="10"/>
        <v>0</v>
      </c>
      <c r="S5" s="1">
        <f t="shared" si="11"/>
        <v>0</v>
      </c>
      <c r="T5" s="28" t="s">
        <v>4</v>
      </c>
      <c r="U5" s="28" t="s">
        <v>4</v>
      </c>
      <c r="V5" s="28" t="s">
        <v>4</v>
      </c>
      <c r="W5" s="28" t="s">
        <v>4</v>
      </c>
      <c r="X5" s="28" t="s">
        <v>4</v>
      </c>
      <c r="Y5" s="28" t="s">
        <v>5</v>
      </c>
      <c r="Z5" s="28" t="s">
        <v>5</v>
      </c>
      <c r="AA5" s="28" t="s">
        <v>5</v>
      </c>
      <c r="AB5" s="28" t="s">
        <v>4</v>
      </c>
      <c r="AC5" s="28" t="s">
        <v>4</v>
      </c>
      <c r="AD5" s="28" t="s">
        <v>5</v>
      </c>
      <c r="AE5" s="28" t="s">
        <v>5</v>
      </c>
      <c r="AF5" s="28" t="s">
        <v>4</v>
      </c>
      <c r="AG5" s="28" t="s">
        <v>4</v>
      </c>
      <c r="AH5" s="28" t="s">
        <v>4</v>
      </c>
      <c r="AI5" s="28" t="s">
        <v>5</v>
      </c>
      <c r="AJ5" s="28" t="s">
        <v>4</v>
      </c>
      <c r="AK5" s="28" t="s">
        <v>4</v>
      </c>
      <c r="AL5" s="28" t="s">
        <v>4</v>
      </c>
      <c r="AM5" s="28" t="s">
        <v>5</v>
      </c>
      <c r="AN5" s="28" t="s">
        <v>4</v>
      </c>
      <c r="AO5" s="28" t="s">
        <v>4</v>
      </c>
      <c r="AP5" s="28" t="s">
        <v>5</v>
      </c>
      <c r="AQ5" s="28" t="s">
        <v>5</v>
      </c>
      <c r="AR5" s="28" t="s">
        <v>4</v>
      </c>
      <c r="AS5" s="28" t="s">
        <v>4</v>
      </c>
      <c r="AT5" s="28" t="s">
        <v>5</v>
      </c>
      <c r="AU5" s="28" t="s">
        <v>5</v>
      </c>
      <c r="AV5" s="28" t="s">
        <v>4</v>
      </c>
      <c r="AW5" s="28" t="s">
        <v>4</v>
      </c>
      <c r="AX5" s="28" t="s">
        <v>4</v>
      </c>
      <c r="AY5" s="28" t="s">
        <v>5</v>
      </c>
      <c r="AZ5" s="28" t="s">
        <v>4</v>
      </c>
      <c r="BA5" s="28" t="s">
        <v>4</v>
      </c>
      <c r="BB5" s="28" t="s">
        <v>5</v>
      </c>
      <c r="BC5" s="28" t="s">
        <v>5</v>
      </c>
      <c r="BD5" s="28" t="s">
        <v>4</v>
      </c>
      <c r="BE5" s="28" t="s">
        <v>4</v>
      </c>
      <c r="BF5" s="28" t="s">
        <v>4</v>
      </c>
      <c r="BG5" s="28" t="s">
        <v>5</v>
      </c>
      <c r="BH5" s="28" t="s">
        <v>4</v>
      </c>
      <c r="BI5" s="28" t="s">
        <v>4</v>
      </c>
      <c r="BJ5" s="28" t="s">
        <v>5</v>
      </c>
      <c r="BK5" s="28" t="s">
        <v>5</v>
      </c>
      <c r="BL5" s="28" t="s">
        <v>4</v>
      </c>
      <c r="BM5" s="28" t="s">
        <v>5</v>
      </c>
      <c r="BN5" s="28" t="s">
        <v>5</v>
      </c>
      <c r="BO5" s="28" t="s">
        <v>5</v>
      </c>
      <c r="BP5" s="28" t="s">
        <v>4</v>
      </c>
      <c r="BQ5" s="28" t="s">
        <v>4</v>
      </c>
      <c r="BR5" s="28" t="s">
        <v>4</v>
      </c>
      <c r="BS5" s="28" t="s">
        <v>4</v>
      </c>
    </row>
    <row r="6" spans="1:71" x14ac:dyDescent="0.3">
      <c r="A6" s="93">
        <f>A3+1</f>
        <v>173</v>
      </c>
      <c r="B6" s="93">
        <f>B3+1</f>
        <v>2</v>
      </c>
      <c r="C6" s="26">
        <v>44734.4375</v>
      </c>
      <c r="D6" s="37">
        <f>(C6-C5)</f>
        <v>0.47916666666424135</v>
      </c>
      <c r="E6" s="38">
        <f t="shared" si="12"/>
        <v>0.97916666666424135</v>
      </c>
      <c r="F6" s="5">
        <f t="shared" ref="F6:F49" si="13">F5+D6</f>
        <v>0.97916666666424135</v>
      </c>
      <c r="G6" s="1">
        <f t="shared" si="0"/>
        <v>21</v>
      </c>
      <c r="H6" s="1">
        <f t="shared" si="1"/>
        <v>31</v>
      </c>
      <c r="I6" s="1">
        <f t="shared" si="2"/>
        <v>0</v>
      </c>
      <c r="J6" s="1">
        <f t="shared" si="3"/>
        <v>0</v>
      </c>
      <c r="K6" s="1">
        <f t="shared" si="4"/>
        <v>0</v>
      </c>
      <c r="L6" s="1">
        <f t="shared" si="5"/>
        <v>0</v>
      </c>
      <c r="M6" s="1">
        <f t="shared" si="6"/>
        <v>0</v>
      </c>
      <c r="O6" s="1">
        <f t="shared" si="7"/>
        <v>0</v>
      </c>
      <c r="P6" s="1">
        <f t="shared" si="8"/>
        <v>0</v>
      </c>
      <c r="Q6" s="1">
        <f t="shared" si="9"/>
        <v>0</v>
      </c>
      <c r="R6" s="1">
        <f t="shared" si="10"/>
        <v>0</v>
      </c>
      <c r="S6" s="1">
        <f t="shared" si="11"/>
        <v>0</v>
      </c>
      <c r="T6" s="28" t="s">
        <v>4</v>
      </c>
      <c r="U6" s="28" t="s">
        <v>4</v>
      </c>
      <c r="V6" s="28" t="s">
        <v>4</v>
      </c>
      <c r="W6" s="28" t="s">
        <v>4</v>
      </c>
      <c r="X6" s="28" t="s">
        <v>4</v>
      </c>
      <c r="Y6" s="28" t="s">
        <v>5</v>
      </c>
      <c r="Z6" s="28" t="s">
        <v>5</v>
      </c>
      <c r="AA6" s="28" t="s">
        <v>5</v>
      </c>
      <c r="AB6" s="28" t="s">
        <v>4</v>
      </c>
      <c r="AC6" s="28" t="s">
        <v>5</v>
      </c>
      <c r="AD6" s="28" t="s">
        <v>5</v>
      </c>
      <c r="AE6" s="28" t="s">
        <v>5</v>
      </c>
      <c r="AF6" s="28" t="s">
        <v>4</v>
      </c>
      <c r="AG6" s="28" t="s">
        <v>4</v>
      </c>
      <c r="AH6" s="28" t="s">
        <v>5</v>
      </c>
      <c r="AI6" s="28" t="s">
        <v>5</v>
      </c>
      <c r="AJ6" s="28" t="s">
        <v>4</v>
      </c>
      <c r="AK6" s="28" t="s">
        <v>4</v>
      </c>
      <c r="AL6" s="28" t="s">
        <v>5</v>
      </c>
      <c r="AM6" s="28" t="s">
        <v>5</v>
      </c>
      <c r="AN6" s="28" t="s">
        <v>4</v>
      </c>
      <c r="AO6" s="28" t="s">
        <v>4</v>
      </c>
      <c r="AP6" s="28" t="s">
        <v>5</v>
      </c>
      <c r="AQ6" s="28" t="s">
        <v>5</v>
      </c>
      <c r="AR6" s="28" t="s">
        <v>4</v>
      </c>
      <c r="AS6" s="28" t="s">
        <v>5</v>
      </c>
      <c r="AT6" s="28" t="s">
        <v>5</v>
      </c>
      <c r="AU6" s="28" t="s">
        <v>5</v>
      </c>
      <c r="AV6" s="28" t="s">
        <v>4</v>
      </c>
      <c r="AW6" s="28" t="s">
        <v>5</v>
      </c>
      <c r="AX6" s="28" t="s">
        <v>5</v>
      </c>
      <c r="AY6" s="28" t="s">
        <v>5</v>
      </c>
      <c r="AZ6" s="28" t="s">
        <v>5</v>
      </c>
      <c r="BA6" s="28" t="s">
        <v>5</v>
      </c>
      <c r="BB6" s="28" t="s">
        <v>5</v>
      </c>
      <c r="BC6" s="28" t="s">
        <v>5</v>
      </c>
      <c r="BD6" s="28" t="s">
        <v>4</v>
      </c>
      <c r="BE6" s="28" t="s">
        <v>4</v>
      </c>
      <c r="BF6" s="28" t="s">
        <v>5</v>
      </c>
      <c r="BG6" s="28" t="s">
        <v>5</v>
      </c>
      <c r="BH6" s="28" t="s">
        <v>4</v>
      </c>
      <c r="BI6" s="28" t="s">
        <v>4</v>
      </c>
      <c r="BJ6" s="28" t="s">
        <v>5</v>
      </c>
      <c r="BK6" s="28" t="s">
        <v>5</v>
      </c>
      <c r="BL6" s="28" t="s">
        <v>4</v>
      </c>
      <c r="BM6" s="28" t="s">
        <v>5</v>
      </c>
      <c r="BN6" s="28" t="s">
        <v>5</v>
      </c>
      <c r="BO6" s="28" t="s">
        <v>5</v>
      </c>
      <c r="BP6" s="28" t="s">
        <v>4</v>
      </c>
      <c r="BQ6" s="28" t="s">
        <v>4</v>
      </c>
      <c r="BR6" s="28" t="s">
        <v>5</v>
      </c>
      <c r="BS6" s="28" t="s">
        <v>5</v>
      </c>
    </row>
    <row r="7" spans="1:71" x14ac:dyDescent="0.3">
      <c r="A7" s="93"/>
      <c r="B7" s="93"/>
      <c r="C7" s="26">
        <v>44734.75</v>
      </c>
      <c r="D7" s="37">
        <f t="shared" ref="D6:D49" si="14">(C7-C6)</f>
        <v>0.3125</v>
      </c>
      <c r="E7" s="38">
        <f t="shared" si="12"/>
        <v>1.2916666666642413</v>
      </c>
      <c r="F7" s="5">
        <f t="shared" si="13"/>
        <v>1.2916666666642413</v>
      </c>
      <c r="G7" s="1">
        <f t="shared" si="0"/>
        <v>20</v>
      </c>
      <c r="H7" s="1">
        <f t="shared" si="1"/>
        <v>32</v>
      </c>
      <c r="I7" s="1">
        <f t="shared" si="2"/>
        <v>0</v>
      </c>
      <c r="J7" s="1">
        <f t="shared" si="3"/>
        <v>0</v>
      </c>
      <c r="K7" s="1">
        <f t="shared" si="4"/>
        <v>0</v>
      </c>
      <c r="L7" s="1">
        <f t="shared" si="5"/>
        <v>0</v>
      </c>
      <c r="M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">
        <f t="shared" si="10"/>
        <v>0</v>
      </c>
      <c r="S7" s="1">
        <f t="shared" si="11"/>
        <v>0</v>
      </c>
      <c r="T7" s="28" t="s">
        <v>4</v>
      </c>
      <c r="U7" s="28" t="s">
        <v>4</v>
      </c>
      <c r="V7" s="28" t="s">
        <v>4</v>
      </c>
      <c r="W7" s="28" t="s">
        <v>5</v>
      </c>
      <c r="X7" s="28" t="s">
        <v>4</v>
      </c>
      <c r="Y7" s="28" t="s">
        <v>5</v>
      </c>
      <c r="Z7" s="28" t="s">
        <v>5</v>
      </c>
      <c r="AA7" s="28" t="s">
        <v>5</v>
      </c>
      <c r="AB7" s="28" t="s">
        <v>4</v>
      </c>
      <c r="AC7" s="28" t="s">
        <v>5</v>
      </c>
      <c r="AD7" s="28" t="s">
        <v>5</v>
      </c>
      <c r="AE7" s="28" t="s">
        <v>5</v>
      </c>
      <c r="AF7" s="28" t="s">
        <v>4</v>
      </c>
      <c r="AG7" s="28" t="s">
        <v>4</v>
      </c>
      <c r="AH7" s="28" t="s">
        <v>5</v>
      </c>
      <c r="AI7" s="28" t="s">
        <v>5</v>
      </c>
      <c r="AJ7" s="28" t="s">
        <v>4</v>
      </c>
      <c r="AK7" s="28" t="s">
        <v>4</v>
      </c>
      <c r="AL7" s="28" t="s">
        <v>5</v>
      </c>
      <c r="AM7" s="28" t="s">
        <v>5</v>
      </c>
      <c r="AN7" s="28" t="s">
        <v>4</v>
      </c>
      <c r="AO7" s="28" t="s">
        <v>4</v>
      </c>
      <c r="AP7" s="28" t="s">
        <v>5</v>
      </c>
      <c r="AQ7" s="28" t="s">
        <v>5</v>
      </c>
      <c r="AR7" s="28" t="s">
        <v>4</v>
      </c>
      <c r="AS7" s="28" t="s">
        <v>5</v>
      </c>
      <c r="AT7" s="28" t="s">
        <v>5</v>
      </c>
      <c r="AU7" s="28" t="s">
        <v>5</v>
      </c>
      <c r="AV7" s="28" t="s">
        <v>4</v>
      </c>
      <c r="AW7" s="28" t="s">
        <v>5</v>
      </c>
      <c r="AX7" s="28" t="s">
        <v>5</v>
      </c>
      <c r="AY7" s="28" t="s">
        <v>5</v>
      </c>
      <c r="AZ7" s="28" t="s">
        <v>5</v>
      </c>
      <c r="BA7" s="28" t="s">
        <v>5</v>
      </c>
      <c r="BB7" s="28" t="s">
        <v>5</v>
      </c>
      <c r="BC7" s="28" t="s">
        <v>5</v>
      </c>
      <c r="BD7" s="28" t="s">
        <v>4</v>
      </c>
      <c r="BE7" s="28" t="s">
        <v>4</v>
      </c>
      <c r="BF7" s="28" t="s">
        <v>5</v>
      </c>
      <c r="BG7" s="28" t="s">
        <v>5</v>
      </c>
      <c r="BH7" s="28" t="s">
        <v>4</v>
      </c>
      <c r="BI7" s="28" t="s">
        <v>4</v>
      </c>
      <c r="BJ7" s="28" t="s">
        <v>5</v>
      </c>
      <c r="BK7" s="28" t="s">
        <v>5</v>
      </c>
      <c r="BL7" s="28" t="s">
        <v>4</v>
      </c>
      <c r="BM7" s="28" t="s">
        <v>5</v>
      </c>
      <c r="BN7" s="28" t="s">
        <v>5</v>
      </c>
      <c r="BO7" s="28" t="s">
        <v>5</v>
      </c>
      <c r="BP7" s="28" t="s">
        <v>4</v>
      </c>
      <c r="BQ7" s="28" t="s">
        <v>4</v>
      </c>
      <c r="BR7" s="28" t="s">
        <v>5</v>
      </c>
      <c r="BS7" s="28" t="s">
        <v>5</v>
      </c>
    </row>
    <row r="8" spans="1:71" x14ac:dyDescent="0.3">
      <c r="A8" s="93"/>
      <c r="B8" s="93"/>
      <c r="C8" s="26">
        <v>44734.958333333336</v>
      </c>
      <c r="D8" s="37">
        <f t="shared" si="14"/>
        <v>0.20833333333575865</v>
      </c>
      <c r="E8" s="38">
        <f t="shared" si="12"/>
        <v>1.5</v>
      </c>
      <c r="F8" s="5">
        <f t="shared" si="13"/>
        <v>1.5</v>
      </c>
      <c r="G8" s="1">
        <f t="shared" si="0"/>
        <v>18</v>
      </c>
      <c r="H8" s="1">
        <f t="shared" si="1"/>
        <v>34</v>
      </c>
      <c r="I8" s="1">
        <f t="shared" si="2"/>
        <v>0</v>
      </c>
      <c r="J8" s="1">
        <f t="shared" si="3"/>
        <v>0</v>
      </c>
      <c r="K8" s="1">
        <f t="shared" si="4"/>
        <v>0</v>
      </c>
      <c r="L8" s="1">
        <f t="shared" si="5"/>
        <v>0</v>
      </c>
      <c r="M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">
        <f t="shared" si="10"/>
        <v>0</v>
      </c>
      <c r="S8" s="1">
        <f t="shared" si="11"/>
        <v>0</v>
      </c>
      <c r="T8" s="28" t="s">
        <v>4</v>
      </c>
      <c r="U8" s="28" t="s">
        <v>4</v>
      </c>
      <c r="V8" s="28" t="s">
        <v>5</v>
      </c>
      <c r="W8" s="28" t="s">
        <v>5</v>
      </c>
      <c r="X8" s="28" t="s">
        <v>4</v>
      </c>
      <c r="Y8" s="28" t="s">
        <v>5</v>
      </c>
      <c r="Z8" s="28" t="s">
        <v>5</v>
      </c>
      <c r="AA8" s="28" t="s">
        <v>5</v>
      </c>
      <c r="AB8" s="28" t="s">
        <v>4</v>
      </c>
      <c r="AC8" s="28" t="s">
        <v>5</v>
      </c>
      <c r="AD8" s="28" t="s">
        <v>5</v>
      </c>
      <c r="AE8" s="28" t="s">
        <v>5</v>
      </c>
      <c r="AF8" s="28" t="s">
        <v>4</v>
      </c>
      <c r="AG8" s="28" t="s">
        <v>4</v>
      </c>
      <c r="AH8" s="28" t="s">
        <v>5</v>
      </c>
      <c r="AI8" s="28" t="s">
        <v>5</v>
      </c>
      <c r="AJ8" s="28" t="s">
        <v>4</v>
      </c>
      <c r="AK8" s="28" t="s">
        <v>4</v>
      </c>
      <c r="AL8" s="28" t="s">
        <v>5</v>
      </c>
      <c r="AM8" s="28" t="s">
        <v>5</v>
      </c>
      <c r="AN8" s="28" t="s">
        <v>4</v>
      </c>
      <c r="AO8" s="28" t="s">
        <v>4</v>
      </c>
      <c r="AP8" s="28" t="s">
        <v>5</v>
      </c>
      <c r="AQ8" s="28" t="s">
        <v>5</v>
      </c>
      <c r="AR8" s="28" t="s">
        <v>4</v>
      </c>
      <c r="AS8" s="28" t="s">
        <v>5</v>
      </c>
      <c r="AT8" s="28" t="s">
        <v>5</v>
      </c>
      <c r="AU8" s="28" t="s">
        <v>5</v>
      </c>
      <c r="AV8" s="28" t="s">
        <v>5</v>
      </c>
      <c r="AW8" s="28" t="s">
        <v>5</v>
      </c>
      <c r="AX8" s="28" t="s">
        <v>5</v>
      </c>
      <c r="AY8" s="28" t="s">
        <v>5</v>
      </c>
      <c r="AZ8" s="28" t="s">
        <v>5</v>
      </c>
      <c r="BA8" s="28" t="s">
        <v>5</v>
      </c>
      <c r="BB8" s="28" t="s">
        <v>5</v>
      </c>
      <c r="BC8" s="28" t="s">
        <v>5</v>
      </c>
      <c r="BD8" s="28" t="s">
        <v>4</v>
      </c>
      <c r="BE8" s="28" t="s">
        <v>4</v>
      </c>
      <c r="BF8" s="28" t="s">
        <v>5</v>
      </c>
      <c r="BG8" s="28" t="s">
        <v>5</v>
      </c>
      <c r="BH8" s="28" t="s">
        <v>4</v>
      </c>
      <c r="BI8" s="28" t="s">
        <v>4</v>
      </c>
      <c r="BJ8" s="28" t="s">
        <v>5</v>
      </c>
      <c r="BK8" s="28" t="s">
        <v>5</v>
      </c>
      <c r="BL8" s="28" t="s">
        <v>4</v>
      </c>
      <c r="BM8" s="28" t="s">
        <v>5</v>
      </c>
      <c r="BN8" s="28" t="s">
        <v>5</v>
      </c>
      <c r="BO8" s="28" t="s">
        <v>5</v>
      </c>
      <c r="BP8" s="28" t="s">
        <v>4</v>
      </c>
      <c r="BQ8" s="28" t="s">
        <v>4</v>
      </c>
      <c r="BR8" s="28" t="s">
        <v>5</v>
      </c>
      <c r="BS8" s="28" t="s">
        <v>5</v>
      </c>
    </row>
    <row r="9" spans="1:71" x14ac:dyDescent="0.3">
      <c r="A9" s="93">
        <f t="shared" ref="A9:B9" si="15">A6+1</f>
        <v>174</v>
      </c>
      <c r="B9" s="93">
        <f t="shared" si="15"/>
        <v>3</v>
      </c>
      <c r="C9" s="26">
        <v>44735.458333333336</v>
      </c>
      <c r="D9" s="37">
        <f t="shared" si="14"/>
        <v>0.5</v>
      </c>
      <c r="E9" s="38">
        <f t="shared" si="12"/>
        <v>2</v>
      </c>
      <c r="F9" s="5">
        <f t="shared" si="13"/>
        <v>2</v>
      </c>
      <c r="G9" s="1">
        <f t="shared" si="0"/>
        <v>18</v>
      </c>
      <c r="H9" s="1">
        <f t="shared" si="1"/>
        <v>26</v>
      </c>
      <c r="I9" s="1">
        <f t="shared" si="2"/>
        <v>8</v>
      </c>
      <c r="J9" s="1">
        <f t="shared" si="3"/>
        <v>0</v>
      </c>
      <c r="K9" s="1">
        <f t="shared" si="4"/>
        <v>0</v>
      </c>
      <c r="L9" s="1">
        <f t="shared" si="5"/>
        <v>0</v>
      </c>
      <c r="M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">
        <f t="shared" si="10"/>
        <v>0</v>
      </c>
      <c r="S9" s="1">
        <f t="shared" si="11"/>
        <v>0</v>
      </c>
      <c r="T9" s="28" t="s">
        <v>4</v>
      </c>
      <c r="U9" s="28" t="s">
        <v>4</v>
      </c>
      <c r="V9" s="28" t="s">
        <v>5</v>
      </c>
      <c r="W9" s="28" t="s">
        <v>5</v>
      </c>
      <c r="X9" s="28" t="s">
        <v>4</v>
      </c>
      <c r="Y9" s="28" t="s">
        <v>5</v>
      </c>
      <c r="Z9" s="28" t="s">
        <v>5</v>
      </c>
      <c r="AA9" s="28" t="s">
        <v>8</v>
      </c>
      <c r="AB9" s="28" t="s">
        <v>4</v>
      </c>
      <c r="AC9" s="28" t="s">
        <v>5</v>
      </c>
      <c r="AD9" s="28" t="s">
        <v>5</v>
      </c>
      <c r="AE9" s="28" t="s">
        <v>8</v>
      </c>
      <c r="AF9" s="28" t="s">
        <v>4</v>
      </c>
      <c r="AG9" s="28" t="s">
        <v>4</v>
      </c>
      <c r="AH9" s="28" t="s">
        <v>5</v>
      </c>
      <c r="AI9" s="28" t="s">
        <v>8</v>
      </c>
      <c r="AJ9" s="28" t="s">
        <v>4</v>
      </c>
      <c r="AK9" s="28" t="s">
        <v>4</v>
      </c>
      <c r="AL9" s="28" t="s">
        <v>5</v>
      </c>
      <c r="AM9" s="28" t="s">
        <v>8</v>
      </c>
      <c r="AN9" s="28" t="s">
        <v>4</v>
      </c>
      <c r="AO9" s="28" t="s">
        <v>4</v>
      </c>
      <c r="AP9" s="28" t="s">
        <v>5</v>
      </c>
      <c r="AQ9" s="28" t="s">
        <v>8</v>
      </c>
      <c r="AR9" s="28" t="s">
        <v>4</v>
      </c>
      <c r="AS9" s="28" t="s">
        <v>5</v>
      </c>
      <c r="AT9" s="28" t="s">
        <v>5</v>
      </c>
      <c r="AU9" s="28" t="s">
        <v>8</v>
      </c>
      <c r="AV9" s="28" t="s">
        <v>5</v>
      </c>
      <c r="AW9" s="28" t="s">
        <v>5</v>
      </c>
      <c r="AX9" s="28" t="s">
        <v>5</v>
      </c>
      <c r="AY9" s="28" t="s">
        <v>5</v>
      </c>
      <c r="AZ9" s="28" t="s">
        <v>5</v>
      </c>
      <c r="BA9" s="28" t="s">
        <v>5</v>
      </c>
      <c r="BB9" s="28" t="s">
        <v>8</v>
      </c>
      <c r="BC9" s="28" t="s">
        <v>8</v>
      </c>
      <c r="BD9" s="28" t="s">
        <v>4</v>
      </c>
      <c r="BE9" s="28" t="s">
        <v>4</v>
      </c>
      <c r="BF9" s="28" t="s">
        <v>5</v>
      </c>
      <c r="BG9" s="28" t="s">
        <v>5</v>
      </c>
      <c r="BH9" s="28" t="s">
        <v>4</v>
      </c>
      <c r="BI9" s="28" t="s">
        <v>4</v>
      </c>
      <c r="BJ9" s="28" t="s">
        <v>5</v>
      </c>
      <c r="BK9" s="28" t="s">
        <v>5</v>
      </c>
      <c r="BL9" s="28" t="s">
        <v>4</v>
      </c>
      <c r="BM9" s="28" t="s">
        <v>5</v>
      </c>
      <c r="BN9" s="28" t="s">
        <v>5</v>
      </c>
      <c r="BO9" s="28" t="s">
        <v>5</v>
      </c>
      <c r="BP9" s="28" t="s">
        <v>4</v>
      </c>
      <c r="BQ9" s="28" t="s">
        <v>4</v>
      </c>
      <c r="BR9" s="28" t="s">
        <v>5</v>
      </c>
      <c r="BS9" s="28" t="s">
        <v>5</v>
      </c>
    </row>
    <row r="10" spans="1:71" x14ac:dyDescent="0.3">
      <c r="A10" s="93"/>
      <c r="B10" s="93"/>
      <c r="C10" s="26">
        <v>44735.729166666664</v>
      </c>
      <c r="D10" s="37">
        <f t="shared" si="14"/>
        <v>0.27083333332848269</v>
      </c>
      <c r="E10" s="38">
        <f t="shared" si="12"/>
        <v>2.2708333333284827</v>
      </c>
      <c r="F10" s="5">
        <f t="shared" si="13"/>
        <v>2.2708333333284827</v>
      </c>
      <c r="G10" s="1">
        <f t="shared" si="0"/>
        <v>18</v>
      </c>
      <c r="H10" s="1">
        <f t="shared" si="1"/>
        <v>21</v>
      </c>
      <c r="I10" s="1">
        <f t="shared" si="2"/>
        <v>8</v>
      </c>
      <c r="J10" s="1">
        <f t="shared" si="3"/>
        <v>0</v>
      </c>
      <c r="K10" s="1">
        <f t="shared" si="4"/>
        <v>0</v>
      </c>
      <c r="L10" s="1">
        <f t="shared" si="5"/>
        <v>0</v>
      </c>
      <c r="M10" s="1">
        <f t="shared" si="6"/>
        <v>0</v>
      </c>
      <c r="O10" s="1">
        <f t="shared" si="7"/>
        <v>0</v>
      </c>
      <c r="P10" s="1">
        <f t="shared" si="8"/>
        <v>2</v>
      </c>
      <c r="Q10" s="1">
        <f t="shared" si="9"/>
        <v>3</v>
      </c>
      <c r="R10" s="1">
        <f t="shared" si="10"/>
        <v>0</v>
      </c>
      <c r="S10" s="1">
        <f t="shared" si="11"/>
        <v>0</v>
      </c>
      <c r="T10" s="28" t="s">
        <v>4</v>
      </c>
      <c r="U10" s="28" t="s">
        <v>4</v>
      </c>
      <c r="V10" s="28" t="s">
        <v>5</v>
      </c>
      <c r="W10" s="28" t="s">
        <v>8</v>
      </c>
      <c r="X10" s="28" t="s">
        <v>4</v>
      </c>
      <c r="Y10" s="28" t="s">
        <v>5</v>
      </c>
      <c r="Z10" s="28" t="s">
        <v>5</v>
      </c>
      <c r="AA10" s="28" t="s">
        <v>8</v>
      </c>
      <c r="AB10" s="28" t="s">
        <v>4</v>
      </c>
      <c r="AC10" s="28" t="s">
        <v>5</v>
      </c>
      <c r="AD10" s="28" t="s">
        <v>8</v>
      </c>
      <c r="AE10" s="28" t="s">
        <v>22</v>
      </c>
      <c r="AF10" s="28" t="s">
        <v>4</v>
      </c>
      <c r="AG10" s="28" t="s">
        <v>4</v>
      </c>
      <c r="AH10" s="28" t="s">
        <v>8</v>
      </c>
      <c r="AI10" s="28" t="s">
        <v>22</v>
      </c>
      <c r="AJ10" s="28" t="s">
        <v>4</v>
      </c>
      <c r="AK10" s="28" t="s">
        <v>4</v>
      </c>
      <c r="AL10" s="28" t="s">
        <v>5</v>
      </c>
      <c r="AM10" s="28" t="s">
        <v>8</v>
      </c>
      <c r="AN10" s="28" t="s">
        <v>4</v>
      </c>
      <c r="AO10" s="28" t="s">
        <v>4</v>
      </c>
      <c r="AP10" s="28" t="s">
        <v>5</v>
      </c>
      <c r="AQ10" s="28" t="s">
        <v>8</v>
      </c>
      <c r="AR10" s="28" t="s">
        <v>4</v>
      </c>
      <c r="AS10" s="28" t="s">
        <v>5</v>
      </c>
      <c r="AT10" s="28" t="s">
        <v>5</v>
      </c>
      <c r="AU10" s="28" t="s">
        <v>8</v>
      </c>
      <c r="AV10" s="28" t="s">
        <v>5</v>
      </c>
      <c r="AW10" s="28" t="s">
        <v>5</v>
      </c>
      <c r="AX10" s="28" t="s">
        <v>5</v>
      </c>
      <c r="AY10" s="28" t="s">
        <v>5</v>
      </c>
      <c r="AZ10" s="28" t="s">
        <v>5</v>
      </c>
      <c r="BA10" s="28" t="s">
        <v>5</v>
      </c>
      <c r="BB10" s="28" t="s">
        <v>8</v>
      </c>
      <c r="BC10" s="28" t="s">
        <v>22</v>
      </c>
      <c r="BD10" s="28" t="s">
        <v>4</v>
      </c>
      <c r="BE10" s="28" t="s">
        <v>4</v>
      </c>
      <c r="BF10" s="28" t="s">
        <v>5</v>
      </c>
      <c r="BG10" s="28" t="s">
        <v>5</v>
      </c>
      <c r="BH10" s="28" t="s">
        <v>4</v>
      </c>
      <c r="BI10" s="28" t="s">
        <v>4</v>
      </c>
      <c r="BJ10" s="28" t="s">
        <v>5</v>
      </c>
      <c r="BK10" s="28" t="s">
        <v>5</v>
      </c>
      <c r="BL10" s="28" t="s">
        <v>4</v>
      </c>
      <c r="BM10" s="28" t="s">
        <v>18</v>
      </c>
      <c r="BN10" s="28" t="s">
        <v>5</v>
      </c>
      <c r="BO10" s="28" t="s">
        <v>5</v>
      </c>
      <c r="BP10" s="28" t="s">
        <v>4</v>
      </c>
      <c r="BQ10" s="28" t="s">
        <v>4</v>
      </c>
      <c r="BR10" s="28" t="s">
        <v>5</v>
      </c>
      <c r="BS10" s="28" t="s">
        <v>18</v>
      </c>
    </row>
    <row r="11" spans="1:71" x14ac:dyDescent="0.3">
      <c r="A11" s="93"/>
      <c r="B11" s="93"/>
      <c r="C11" s="26">
        <v>44735.958333333336</v>
      </c>
      <c r="D11" s="37">
        <f t="shared" si="14"/>
        <v>0.22916666667151731</v>
      </c>
      <c r="E11" s="38">
        <f t="shared" si="12"/>
        <v>2.5</v>
      </c>
      <c r="F11" s="5">
        <f t="shared" si="13"/>
        <v>2.5</v>
      </c>
      <c r="G11" s="1">
        <f t="shared" si="0"/>
        <v>18</v>
      </c>
      <c r="H11" s="1">
        <f t="shared" si="1"/>
        <v>9</v>
      </c>
      <c r="I11" s="1">
        <f t="shared" si="2"/>
        <v>16</v>
      </c>
      <c r="J11" s="1">
        <f t="shared" si="3"/>
        <v>0</v>
      </c>
      <c r="K11" s="1">
        <f t="shared" si="4"/>
        <v>0</v>
      </c>
      <c r="L11" s="1">
        <f t="shared" si="5"/>
        <v>0</v>
      </c>
      <c r="M11" s="1">
        <f t="shared" si="6"/>
        <v>0</v>
      </c>
      <c r="O11" s="1">
        <f t="shared" si="7"/>
        <v>0</v>
      </c>
      <c r="P11" s="1">
        <f t="shared" si="8"/>
        <v>6</v>
      </c>
      <c r="Q11" s="1">
        <f t="shared" si="9"/>
        <v>3</v>
      </c>
      <c r="R11" s="1">
        <f t="shared" si="10"/>
        <v>0</v>
      </c>
      <c r="S11" s="1">
        <f t="shared" si="11"/>
        <v>0</v>
      </c>
      <c r="T11" s="28" t="s">
        <v>4</v>
      </c>
      <c r="U11" s="28" t="s">
        <v>4</v>
      </c>
      <c r="V11" s="28" t="s">
        <v>5</v>
      </c>
      <c r="W11" s="28" t="s">
        <v>8</v>
      </c>
      <c r="X11" s="28" t="s">
        <v>4</v>
      </c>
      <c r="Y11" s="28" t="s">
        <v>5</v>
      </c>
      <c r="Z11" s="28" t="s">
        <v>8</v>
      </c>
      <c r="AA11" s="28" t="s">
        <v>8</v>
      </c>
      <c r="AB11" s="28" t="s">
        <v>4</v>
      </c>
      <c r="AC11" s="28" t="s">
        <v>18</v>
      </c>
      <c r="AD11" s="28" t="s">
        <v>8</v>
      </c>
      <c r="AE11" s="28" t="s">
        <v>22</v>
      </c>
      <c r="AF11" s="28" t="s">
        <v>4</v>
      </c>
      <c r="AG11" s="28" t="s">
        <v>4</v>
      </c>
      <c r="AH11" s="28" t="s">
        <v>8</v>
      </c>
      <c r="AI11" s="28" t="s">
        <v>22</v>
      </c>
      <c r="AJ11" s="28" t="s">
        <v>4</v>
      </c>
      <c r="AK11" s="28" t="s">
        <v>4</v>
      </c>
      <c r="AL11" s="28" t="s">
        <v>8</v>
      </c>
      <c r="AM11" s="28" t="s">
        <v>8</v>
      </c>
      <c r="AN11" s="28" t="s">
        <v>4</v>
      </c>
      <c r="AO11" s="28" t="s">
        <v>4</v>
      </c>
      <c r="AP11" s="28" t="s">
        <v>8</v>
      </c>
      <c r="AQ11" s="28" t="s">
        <v>8</v>
      </c>
      <c r="AR11" s="28" t="s">
        <v>4</v>
      </c>
      <c r="AS11" s="28" t="s">
        <v>5</v>
      </c>
      <c r="AT11" s="28" t="s">
        <v>5</v>
      </c>
      <c r="AU11" s="28" t="s">
        <v>8</v>
      </c>
      <c r="AV11" s="28" t="s">
        <v>8</v>
      </c>
      <c r="AW11" s="28" t="s">
        <v>8</v>
      </c>
      <c r="AX11" s="28" t="s">
        <v>5</v>
      </c>
      <c r="AY11" s="28" t="s">
        <v>5</v>
      </c>
      <c r="AZ11" s="28" t="s">
        <v>5</v>
      </c>
      <c r="BA11" s="28" t="s">
        <v>5</v>
      </c>
      <c r="BB11" s="28" t="s">
        <v>8</v>
      </c>
      <c r="BC11" s="28" t="s">
        <v>22</v>
      </c>
      <c r="BD11" s="28" t="s">
        <v>4</v>
      </c>
      <c r="BE11" s="28" t="s">
        <v>4</v>
      </c>
      <c r="BF11" s="28" t="s">
        <v>18</v>
      </c>
      <c r="BG11" s="28" t="s">
        <v>18</v>
      </c>
      <c r="BH11" s="28" t="s">
        <v>4</v>
      </c>
      <c r="BI11" s="28" t="s">
        <v>4</v>
      </c>
      <c r="BJ11" s="28" t="s">
        <v>18</v>
      </c>
      <c r="BK11" s="28" t="s">
        <v>8</v>
      </c>
      <c r="BL11" s="28" t="s">
        <v>4</v>
      </c>
      <c r="BM11" s="28" t="s">
        <v>18</v>
      </c>
      <c r="BN11" s="28" t="s">
        <v>8</v>
      </c>
      <c r="BO11" s="28" t="s">
        <v>5</v>
      </c>
      <c r="BP11" s="28" t="s">
        <v>4</v>
      </c>
      <c r="BQ11" s="28" t="s">
        <v>4</v>
      </c>
      <c r="BR11" s="28" t="s">
        <v>8</v>
      </c>
      <c r="BS11" s="28" t="s">
        <v>18</v>
      </c>
    </row>
    <row r="12" spans="1:71" x14ac:dyDescent="0.3">
      <c r="A12" s="93">
        <f t="shared" ref="A12:B12" si="16">A9+1</f>
        <v>175</v>
      </c>
      <c r="B12" s="93">
        <f t="shared" si="16"/>
        <v>4</v>
      </c>
      <c r="C12" s="26">
        <v>44736.416666666664</v>
      </c>
      <c r="D12" s="37">
        <f t="shared" si="14"/>
        <v>0.45833333332848269</v>
      </c>
      <c r="E12" s="38">
        <f t="shared" si="12"/>
        <v>2.9583333333284827</v>
      </c>
      <c r="F12" s="5">
        <f t="shared" si="13"/>
        <v>2.9583333333284827</v>
      </c>
      <c r="G12" s="1">
        <f t="shared" si="0"/>
        <v>18</v>
      </c>
      <c r="H12" s="1">
        <f t="shared" si="1"/>
        <v>4</v>
      </c>
      <c r="I12" s="1">
        <f t="shared" si="2"/>
        <v>9</v>
      </c>
      <c r="J12" s="1">
        <f t="shared" si="3"/>
        <v>5</v>
      </c>
      <c r="K12" s="1">
        <f t="shared" si="4"/>
        <v>0</v>
      </c>
      <c r="L12" s="1">
        <f t="shared" si="5"/>
        <v>0</v>
      </c>
      <c r="M12" s="1">
        <f t="shared" si="6"/>
        <v>0</v>
      </c>
      <c r="O12" s="1">
        <f t="shared" si="7"/>
        <v>0</v>
      </c>
      <c r="P12" s="1">
        <f t="shared" si="8"/>
        <v>11</v>
      </c>
      <c r="Q12" s="1">
        <f t="shared" si="9"/>
        <v>5</v>
      </c>
      <c r="R12" s="1">
        <f t="shared" si="10"/>
        <v>0</v>
      </c>
      <c r="S12" s="1">
        <f t="shared" si="11"/>
        <v>0</v>
      </c>
      <c r="T12" s="28" t="s">
        <v>4</v>
      </c>
      <c r="U12" s="28" t="s">
        <v>4</v>
      </c>
      <c r="V12" s="28" t="s">
        <v>18</v>
      </c>
      <c r="W12" s="28" t="s">
        <v>22</v>
      </c>
      <c r="X12" s="28" t="s">
        <v>4</v>
      </c>
      <c r="Y12" s="28" t="s">
        <v>5</v>
      </c>
      <c r="Z12" s="28" t="s">
        <v>8</v>
      </c>
      <c r="AA12" s="28" t="s">
        <v>10</v>
      </c>
      <c r="AB12" s="28" t="s">
        <v>4</v>
      </c>
      <c r="AC12" s="28" t="s">
        <v>18</v>
      </c>
      <c r="AD12" s="28" t="s">
        <v>8</v>
      </c>
      <c r="AE12" s="28" t="s">
        <v>22</v>
      </c>
      <c r="AF12" s="28" t="s">
        <v>4</v>
      </c>
      <c r="AG12" s="28" t="s">
        <v>4</v>
      </c>
      <c r="AH12" s="28" t="s">
        <v>8</v>
      </c>
      <c r="AI12" s="28" t="s">
        <v>22</v>
      </c>
      <c r="AJ12" s="28" t="s">
        <v>4</v>
      </c>
      <c r="AK12" s="28" t="s">
        <v>4</v>
      </c>
      <c r="AL12" s="28" t="s">
        <v>8</v>
      </c>
      <c r="AM12" s="28" t="s">
        <v>10</v>
      </c>
      <c r="AN12" s="28" t="s">
        <v>4</v>
      </c>
      <c r="AO12" s="28" t="s">
        <v>4</v>
      </c>
      <c r="AP12" s="28" t="s">
        <v>8</v>
      </c>
      <c r="AQ12" s="28" t="s">
        <v>10</v>
      </c>
      <c r="AR12" s="28" t="s">
        <v>4</v>
      </c>
      <c r="AS12" s="28" t="s">
        <v>18</v>
      </c>
      <c r="AT12" s="28" t="s">
        <v>18</v>
      </c>
      <c r="AU12" s="28" t="s">
        <v>10</v>
      </c>
      <c r="AV12" s="28" t="s">
        <v>8</v>
      </c>
      <c r="AW12" s="28" t="s">
        <v>22</v>
      </c>
      <c r="AX12" s="28" t="s">
        <v>18</v>
      </c>
      <c r="AY12" s="28" t="s">
        <v>18</v>
      </c>
      <c r="AZ12" s="28" t="s">
        <v>5</v>
      </c>
      <c r="BA12" s="28" t="s">
        <v>5</v>
      </c>
      <c r="BB12" s="28" t="s">
        <v>10</v>
      </c>
      <c r="BC12" s="28" t="s">
        <v>22</v>
      </c>
      <c r="BD12" s="28" t="s">
        <v>4</v>
      </c>
      <c r="BE12" s="28" t="s">
        <v>4</v>
      </c>
      <c r="BF12" s="28" t="s">
        <v>18</v>
      </c>
      <c r="BG12" s="28" t="s">
        <v>18</v>
      </c>
      <c r="BH12" s="28" t="s">
        <v>4</v>
      </c>
      <c r="BI12" s="28" t="s">
        <v>4</v>
      </c>
      <c r="BJ12" s="28" t="s">
        <v>18</v>
      </c>
      <c r="BK12" s="28" t="s">
        <v>8</v>
      </c>
      <c r="BL12" s="28" t="s">
        <v>4</v>
      </c>
      <c r="BM12" s="28" t="s">
        <v>18</v>
      </c>
      <c r="BN12" s="28" t="s">
        <v>8</v>
      </c>
      <c r="BO12" s="28" t="s">
        <v>5</v>
      </c>
      <c r="BP12" s="28" t="s">
        <v>4</v>
      </c>
      <c r="BQ12" s="28" t="s">
        <v>4</v>
      </c>
      <c r="BR12" s="28" t="s">
        <v>8</v>
      </c>
      <c r="BS12" s="28" t="s">
        <v>18</v>
      </c>
    </row>
    <row r="13" spans="1:71" x14ac:dyDescent="0.3">
      <c r="A13" s="93"/>
      <c r="B13" s="93"/>
      <c r="C13" s="26">
        <v>44736.729166666664</v>
      </c>
      <c r="D13" s="37">
        <f t="shared" si="14"/>
        <v>0.3125</v>
      </c>
      <c r="E13" s="38">
        <f t="shared" si="12"/>
        <v>3.2708333333284827</v>
      </c>
      <c r="F13" s="5">
        <f t="shared" si="13"/>
        <v>3.2708333333284827</v>
      </c>
      <c r="G13" s="1">
        <f t="shared" si="0"/>
        <v>18</v>
      </c>
      <c r="H13" s="1">
        <f t="shared" si="1"/>
        <v>3</v>
      </c>
      <c r="I13" s="1">
        <f t="shared" si="2"/>
        <v>5</v>
      </c>
      <c r="J13" s="1">
        <f t="shared" si="3"/>
        <v>6</v>
      </c>
      <c r="K13" s="1">
        <f t="shared" si="4"/>
        <v>0</v>
      </c>
      <c r="L13" s="1">
        <f t="shared" si="5"/>
        <v>0</v>
      </c>
      <c r="M13" s="1">
        <f t="shared" si="6"/>
        <v>0</v>
      </c>
      <c r="O13" s="1">
        <f t="shared" si="7"/>
        <v>0</v>
      </c>
      <c r="P13" s="1">
        <f t="shared" si="8"/>
        <v>12</v>
      </c>
      <c r="Q13" s="1">
        <f t="shared" si="9"/>
        <v>8</v>
      </c>
      <c r="R13" s="1">
        <f t="shared" si="10"/>
        <v>0</v>
      </c>
      <c r="S13" s="1">
        <f t="shared" si="11"/>
        <v>0</v>
      </c>
      <c r="T13" s="28" t="s">
        <v>4</v>
      </c>
      <c r="U13" s="28" t="s">
        <v>4</v>
      </c>
      <c r="V13" s="28" t="s">
        <v>18</v>
      </c>
      <c r="W13" s="28" t="s">
        <v>22</v>
      </c>
      <c r="X13" s="28" t="s">
        <v>4</v>
      </c>
      <c r="Y13" s="28" t="s">
        <v>18</v>
      </c>
      <c r="Z13" s="28" t="s">
        <v>22</v>
      </c>
      <c r="AA13" s="28" t="s">
        <v>10</v>
      </c>
      <c r="AB13" s="28" t="s">
        <v>4</v>
      </c>
      <c r="AC13" s="28" t="s">
        <v>18</v>
      </c>
      <c r="AD13" s="28" t="s">
        <v>10</v>
      </c>
      <c r="AE13" s="28" t="s">
        <v>22</v>
      </c>
      <c r="AF13" s="28" t="s">
        <v>4</v>
      </c>
      <c r="AG13" s="28" t="s">
        <v>4</v>
      </c>
      <c r="AH13" s="28" t="s">
        <v>8</v>
      </c>
      <c r="AI13" s="28" t="s">
        <v>22</v>
      </c>
      <c r="AJ13" s="28" t="s">
        <v>4</v>
      </c>
      <c r="AK13" s="28" t="s">
        <v>4</v>
      </c>
      <c r="AL13" s="28" t="s">
        <v>22</v>
      </c>
      <c r="AM13" s="28" t="s">
        <v>10</v>
      </c>
      <c r="AN13" s="28" t="s">
        <v>4</v>
      </c>
      <c r="AO13" s="28" t="s">
        <v>4</v>
      </c>
      <c r="AP13" s="28" t="s">
        <v>8</v>
      </c>
      <c r="AQ13" s="28" t="s">
        <v>10</v>
      </c>
      <c r="AR13" s="28" t="s">
        <v>4</v>
      </c>
      <c r="AS13" s="28" t="s">
        <v>18</v>
      </c>
      <c r="AT13" s="28" t="s">
        <v>18</v>
      </c>
      <c r="AU13" s="28" t="s">
        <v>10</v>
      </c>
      <c r="AV13" s="28" t="s">
        <v>8</v>
      </c>
      <c r="AW13" s="28" t="s">
        <v>22</v>
      </c>
      <c r="AX13" s="28" t="s">
        <v>18</v>
      </c>
      <c r="AY13" s="28" t="s">
        <v>18</v>
      </c>
      <c r="AZ13" s="28" t="s">
        <v>5</v>
      </c>
      <c r="BA13" s="28" t="s">
        <v>5</v>
      </c>
      <c r="BB13" s="28" t="s">
        <v>10</v>
      </c>
      <c r="BC13" s="28" t="s">
        <v>22</v>
      </c>
      <c r="BD13" s="28" t="s">
        <v>4</v>
      </c>
      <c r="BE13" s="28" t="s">
        <v>4</v>
      </c>
      <c r="BF13" s="28" t="s">
        <v>18</v>
      </c>
      <c r="BG13" s="28" t="s">
        <v>18</v>
      </c>
      <c r="BH13" s="28" t="s">
        <v>4</v>
      </c>
      <c r="BI13" s="28" t="s">
        <v>4</v>
      </c>
      <c r="BJ13" s="28" t="s">
        <v>18</v>
      </c>
      <c r="BK13" s="28" t="s">
        <v>22</v>
      </c>
      <c r="BL13" s="28" t="s">
        <v>4</v>
      </c>
      <c r="BM13" s="28" t="s">
        <v>18</v>
      </c>
      <c r="BN13" s="28" t="s">
        <v>8</v>
      </c>
      <c r="BO13" s="28" t="s">
        <v>5</v>
      </c>
      <c r="BP13" s="28" t="s">
        <v>4</v>
      </c>
      <c r="BQ13" s="28" t="s">
        <v>4</v>
      </c>
      <c r="BR13" s="28" t="s">
        <v>8</v>
      </c>
      <c r="BS13" s="28" t="s">
        <v>18</v>
      </c>
    </row>
    <row r="14" spans="1:71" x14ac:dyDescent="0.3">
      <c r="A14" s="93"/>
      <c r="B14" s="93"/>
      <c r="C14" s="26">
        <v>44736.9375</v>
      </c>
      <c r="D14" s="37">
        <f t="shared" si="14"/>
        <v>0.20833333333575865</v>
      </c>
      <c r="E14" s="38">
        <f t="shared" si="12"/>
        <v>3.4791666666642413</v>
      </c>
      <c r="F14" s="5">
        <f t="shared" si="13"/>
        <v>3.4791666666642413</v>
      </c>
      <c r="G14" s="1">
        <f t="shared" si="0"/>
        <v>16</v>
      </c>
      <c r="H14" s="1">
        <f t="shared" si="1"/>
        <v>2</v>
      </c>
      <c r="I14" s="1">
        <f t="shared" si="2"/>
        <v>1</v>
      </c>
      <c r="J14" s="1">
        <f t="shared" si="3"/>
        <v>7</v>
      </c>
      <c r="K14" s="1">
        <f t="shared" si="4"/>
        <v>0</v>
      </c>
      <c r="L14" s="1">
        <f t="shared" si="5"/>
        <v>0</v>
      </c>
      <c r="M14" s="1">
        <f t="shared" si="6"/>
        <v>0</v>
      </c>
      <c r="O14" s="1">
        <f t="shared" si="7"/>
        <v>2</v>
      </c>
      <c r="P14" s="1">
        <f t="shared" si="8"/>
        <v>13</v>
      </c>
      <c r="Q14" s="1">
        <f t="shared" si="9"/>
        <v>10</v>
      </c>
      <c r="R14" s="1">
        <f t="shared" si="10"/>
        <v>1</v>
      </c>
      <c r="S14" s="1">
        <f t="shared" si="11"/>
        <v>0</v>
      </c>
      <c r="T14" s="28" t="s">
        <v>17</v>
      </c>
      <c r="U14" s="28" t="s">
        <v>17</v>
      </c>
      <c r="V14" s="28" t="s">
        <v>18</v>
      </c>
      <c r="W14" s="28" t="s">
        <v>22</v>
      </c>
      <c r="X14" s="28" t="s">
        <v>4</v>
      </c>
      <c r="Y14" s="28" t="s">
        <v>18</v>
      </c>
      <c r="Z14" s="28" t="s">
        <v>22</v>
      </c>
      <c r="AA14" s="28" t="s">
        <v>29</v>
      </c>
      <c r="AB14" s="28" t="s">
        <v>4</v>
      </c>
      <c r="AC14" s="28" t="s">
        <v>18</v>
      </c>
      <c r="AD14" s="28" t="s">
        <v>10</v>
      </c>
      <c r="AE14" s="28" t="s">
        <v>22</v>
      </c>
      <c r="AF14" s="28" t="s">
        <v>4</v>
      </c>
      <c r="AG14" s="28" t="s">
        <v>4</v>
      </c>
      <c r="AH14" s="28" t="s">
        <v>8</v>
      </c>
      <c r="AI14" s="28" t="s">
        <v>22</v>
      </c>
      <c r="AJ14" s="28" t="s">
        <v>4</v>
      </c>
      <c r="AK14" s="28" t="s">
        <v>4</v>
      </c>
      <c r="AL14" s="28" t="s">
        <v>22</v>
      </c>
      <c r="AM14" s="28" t="s">
        <v>10</v>
      </c>
      <c r="AN14" s="28" t="s">
        <v>4</v>
      </c>
      <c r="AO14" s="28" t="s">
        <v>4</v>
      </c>
      <c r="AP14" s="28" t="s">
        <v>10</v>
      </c>
      <c r="AQ14" s="28" t="s">
        <v>10</v>
      </c>
      <c r="AR14" s="28" t="s">
        <v>4</v>
      </c>
      <c r="AS14" s="28" t="s">
        <v>18</v>
      </c>
      <c r="AT14" s="28" t="s">
        <v>18</v>
      </c>
      <c r="AU14" s="28" t="s">
        <v>10</v>
      </c>
      <c r="AV14" s="28" t="s">
        <v>10</v>
      </c>
      <c r="AW14" s="28" t="s">
        <v>22</v>
      </c>
      <c r="AX14" s="28" t="s">
        <v>18</v>
      </c>
      <c r="AY14" s="28" t="s">
        <v>18</v>
      </c>
      <c r="AZ14" s="28" t="s">
        <v>5</v>
      </c>
      <c r="BA14" s="28" t="s">
        <v>18</v>
      </c>
      <c r="BB14" s="28" t="s">
        <v>10</v>
      </c>
      <c r="BC14" s="28" t="s">
        <v>22</v>
      </c>
      <c r="BD14" s="28" t="s">
        <v>4</v>
      </c>
      <c r="BE14" s="28" t="s">
        <v>4</v>
      </c>
      <c r="BF14" s="28" t="s">
        <v>18</v>
      </c>
      <c r="BG14" s="28" t="s">
        <v>18</v>
      </c>
      <c r="BH14" s="28" t="s">
        <v>4</v>
      </c>
      <c r="BI14" s="28" t="s">
        <v>4</v>
      </c>
      <c r="BJ14" s="28" t="s">
        <v>18</v>
      </c>
      <c r="BK14" s="28" t="s">
        <v>22</v>
      </c>
      <c r="BL14" s="28" t="s">
        <v>4</v>
      </c>
      <c r="BM14" s="28" t="s">
        <v>18</v>
      </c>
      <c r="BN14" s="28" t="s">
        <v>22</v>
      </c>
      <c r="BO14" s="28" t="s">
        <v>5</v>
      </c>
      <c r="BP14" s="28" t="s">
        <v>4</v>
      </c>
      <c r="BQ14" s="28" t="s">
        <v>4</v>
      </c>
      <c r="BR14" s="28" t="s">
        <v>22</v>
      </c>
      <c r="BS14" s="28" t="s">
        <v>18</v>
      </c>
    </row>
    <row r="15" spans="1:71" x14ac:dyDescent="0.3">
      <c r="A15" s="93">
        <f t="shared" ref="A15:B15" si="17">A12+1</f>
        <v>176</v>
      </c>
      <c r="B15" s="93">
        <f t="shared" si="17"/>
        <v>5</v>
      </c>
      <c r="C15" s="26">
        <v>44737.4375</v>
      </c>
      <c r="D15" s="37">
        <f t="shared" si="14"/>
        <v>0.5</v>
      </c>
      <c r="E15" s="38">
        <f t="shared" si="12"/>
        <v>3.9791666666642413</v>
      </c>
      <c r="F15" s="5">
        <f t="shared" si="13"/>
        <v>3.9791666666642413</v>
      </c>
      <c r="G15" s="1">
        <f t="shared" si="0"/>
        <v>3</v>
      </c>
      <c r="H15" s="1">
        <f t="shared" si="1"/>
        <v>0</v>
      </c>
      <c r="I15" s="1">
        <f t="shared" si="2"/>
        <v>0</v>
      </c>
      <c r="J15" s="1">
        <f t="shared" si="3"/>
        <v>6</v>
      </c>
      <c r="K15" s="1">
        <f t="shared" si="4"/>
        <v>0</v>
      </c>
      <c r="L15" s="1">
        <f t="shared" si="5"/>
        <v>0</v>
      </c>
      <c r="M15" s="1">
        <f t="shared" si="6"/>
        <v>0</v>
      </c>
      <c r="O15" s="1">
        <f t="shared" si="7"/>
        <v>15</v>
      </c>
      <c r="P15" s="1">
        <f t="shared" si="8"/>
        <v>15</v>
      </c>
      <c r="Q15" s="1">
        <f t="shared" si="9"/>
        <v>11</v>
      </c>
      <c r="R15" s="1">
        <f t="shared" si="10"/>
        <v>2</v>
      </c>
      <c r="S15" s="1">
        <f t="shared" si="11"/>
        <v>0</v>
      </c>
      <c r="T15" s="28" t="s">
        <v>17</v>
      </c>
      <c r="U15" s="28" t="s">
        <v>17</v>
      </c>
      <c r="V15" s="28" t="s">
        <v>18</v>
      </c>
      <c r="W15" s="28" t="s">
        <v>22</v>
      </c>
      <c r="X15" s="28" t="s">
        <v>17</v>
      </c>
      <c r="Y15" s="28" t="s">
        <v>18</v>
      </c>
      <c r="Z15" s="28" t="s">
        <v>22</v>
      </c>
      <c r="AA15" s="28" t="s">
        <v>29</v>
      </c>
      <c r="AB15" s="28" t="s">
        <v>17</v>
      </c>
      <c r="AC15" s="28" t="s">
        <v>18</v>
      </c>
      <c r="AD15" s="28" t="s">
        <v>29</v>
      </c>
      <c r="AE15" s="28" t="s">
        <v>22</v>
      </c>
      <c r="AF15" s="28" t="s">
        <v>4</v>
      </c>
      <c r="AG15" s="28" t="s">
        <v>4</v>
      </c>
      <c r="AH15" s="28" t="s">
        <v>22</v>
      </c>
      <c r="AI15" s="28" t="s">
        <v>22</v>
      </c>
      <c r="AJ15" s="28" t="s">
        <v>17</v>
      </c>
      <c r="AK15" s="28" t="s">
        <v>17</v>
      </c>
      <c r="AL15" s="28" t="s">
        <v>22</v>
      </c>
      <c r="AM15" s="28" t="s">
        <v>10</v>
      </c>
      <c r="AN15" s="28" t="s">
        <v>17</v>
      </c>
      <c r="AO15" s="28" t="s">
        <v>17</v>
      </c>
      <c r="AP15" s="28" t="s">
        <v>10</v>
      </c>
      <c r="AQ15" s="28" t="s">
        <v>10</v>
      </c>
      <c r="AR15" s="28" t="s">
        <v>4</v>
      </c>
      <c r="AS15" s="28" t="s">
        <v>18</v>
      </c>
      <c r="AT15" s="28" t="s">
        <v>18</v>
      </c>
      <c r="AU15" s="28" t="s">
        <v>10</v>
      </c>
      <c r="AV15" s="28" t="s">
        <v>10</v>
      </c>
      <c r="AW15" s="28" t="s">
        <v>22</v>
      </c>
      <c r="AX15" s="28" t="s">
        <v>18</v>
      </c>
      <c r="AY15" s="28" t="s">
        <v>18</v>
      </c>
      <c r="AZ15" s="28" t="s">
        <v>18</v>
      </c>
      <c r="BA15" s="28" t="s">
        <v>18</v>
      </c>
      <c r="BB15" s="28" t="s">
        <v>10</v>
      </c>
      <c r="BC15" s="28" t="s">
        <v>22</v>
      </c>
      <c r="BD15" s="28" t="s">
        <v>17</v>
      </c>
      <c r="BE15" s="28" t="s">
        <v>17</v>
      </c>
      <c r="BF15" s="28" t="s">
        <v>18</v>
      </c>
      <c r="BG15" s="28" t="s">
        <v>18</v>
      </c>
      <c r="BH15" s="28" t="s">
        <v>17</v>
      </c>
      <c r="BI15" s="28" t="s">
        <v>17</v>
      </c>
      <c r="BJ15" s="28" t="s">
        <v>18</v>
      </c>
      <c r="BK15" s="28" t="s">
        <v>22</v>
      </c>
      <c r="BL15" s="28" t="s">
        <v>17</v>
      </c>
      <c r="BM15" s="28" t="s">
        <v>18</v>
      </c>
      <c r="BN15" s="28" t="s">
        <v>22</v>
      </c>
      <c r="BO15" s="28" t="s">
        <v>18</v>
      </c>
      <c r="BP15" s="28" t="s">
        <v>17</v>
      </c>
      <c r="BQ15" s="28" t="s">
        <v>17</v>
      </c>
      <c r="BR15" s="28" t="s">
        <v>22</v>
      </c>
      <c r="BS15" s="28" t="s">
        <v>18</v>
      </c>
    </row>
    <row r="16" spans="1:71" x14ac:dyDescent="0.3">
      <c r="A16" s="93"/>
      <c r="B16" s="93"/>
      <c r="C16" s="26">
        <v>44737.75</v>
      </c>
      <c r="D16" s="37">
        <f t="shared" si="14"/>
        <v>0.3125</v>
      </c>
      <c r="E16" s="38">
        <f t="shared" si="12"/>
        <v>4.2916666666642413</v>
      </c>
      <c r="F16" s="5">
        <f t="shared" si="13"/>
        <v>4.2916666666642413</v>
      </c>
      <c r="G16" s="1">
        <f t="shared" si="0"/>
        <v>3</v>
      </c>
      <c r="H16" s="1">
        <f t="shared" si="1"/>
        <v>0</v>
      </c>
      <c r="I16" s="1">
        <f t="shared" si="2"/>
        <v>0</v>
      </c>
      <c r="J16" s="1">
        <f t="shared" si="3"/>
        <v>5</v>
      </c>
      <c r="K16" s="1">
        <f t="shared" si="4"/>
        <v>0</v>
      </c>
      <c r="L16" s="1">
        <f t="shared" si="5"/>
        <v>0</v>
      </c>
      <c r="M16" s="1">
        <f t="shared" si="6"/>
        <v>0</v>
      </c>
      <c r="O16" s="1">
        <f t="shared" si="7"/>
        <v>15</v>
      </c>
      <c r="P16" s="1">
        <f t="shared" si="8"/>
        <v>15</v>
      </c>
      <c r="Q16" s="1">
        <f t="shared" si="9"/>
        <v>11</v>
      </c>
      <c r="R16" s="1">
        <f t="shared" si="10"/>
        <v>3</v>
      </c>
      <c r="S16" s="1">
        <f t="shared" si="11"/>
        <v>0</v>
      </c>
      <c r="T16" s="28" t="s">
        <v>17</v>
      </c>
      <c r="U16" s="28" t="s">
        <v>17</v>
      </c>
      <c r="V16" s="28" t="s">
        <v>18</v>
      </c>
      <c r="W16" s="28" t="s">
        <v>22</v>
      </c>
      <c r="X16" s="28" t="s">
        <v>17</v>
      </c>
      <c r="Y16" s="28" t="s">
        <v>18</v>
      </c>
      <c r="Z16" s="28" t="s">
        <v>22</v>
      </c>
      <c r="AA16" s="28" t="s">
        <v>29</v>
      </c>
      <c r="AB16" s="28" t="s">
        <v>17</v>
      </c>
      <c r="AC16" s="28" t="s">
        <v>18</v>
      </c>
      <c r="AD16" s="28" t="s">
        <v>29</v>
      </c>
      <c r="AE16" s="28" t="s">
        <v>22</v>
      </c>
      <c r="AF16" s="28" t="s">
        <v>4</v>
      </c>
      <c r="AG16" s="28" t="s">
        <v>4</v>
      </c>
      <c r="AH16" s="28" t="s">
        <v>22</v>
      </c>
      <c r="AI16" s="28" t="s">
        <v>22</v>
      </c>
      <c r="AJ16" s="28" t="s">
        <v>17</v>
      </c>
      <c r="AK16" s="28" t="s">
        <v>17</v>
      </c>
      <c r="AL16" s="28" t="s">
        <v>22</v>
      </c>
      <c r="AM16" s="28" t="s">
        <v>10</v>
      </c>
      <c r="AN16" s="28" t="s">
        <v>17</v>
      </c>
      <c r="AO16" s="28" t="s">
        <v>17</v>
      </c>
      <c r="AP16" s="28" t="s">
        <v>10</v>
      </c>
      <c r="AQ16" s="28" t="s">
        <v>10</v>
      </c>
      <c r="AR16" s="28" t="s">
        <v>4</v>
      </c>
      <c r="AS16" s="28" t="s">
        <v>18</v>
      </c>
      <c r="AT16" s="28" t="s">
        <v>18</v>
      </c>
      <c r="AU16" s="28" t="s">
        <v>10</v>
      </c>
      <c r="AV16" s="28" t="s">
        <v>10</v>
      </c>
      <c r="AW16" s="28" t="s">
        <v>22</v>
      </c>
      <c r="AX16" s="28" t="s">
        <v>18</v>
      </c>
      <c r="AY16" s="28" t="s">
        <v>18</v>
      </c>
      <c r="AZ16" s="28" t="s">
        <v>18</v>
      </c>
      <c r="BA16" s="28" t="s">
        <v>18</v>
      </c>
      <c r="BB16" s="28" t="s">
        <v>29</v>
      </c>
      <c r="BC16" s="28" t="s">
        <v>22</v>
      </c>
      <c r="BD16" s="28" t="s">
        <v>17</v>
      </c>
      <c r="BE16" s="28" t="s">
        <v>17</v>
      </c>
      <c r="BF16" s="28" t="s">
        <v>18</v>
      </c>
      <c r="BG16" s="28" t="s">
        <v>18</v>
      </c>
      <c r="BH16" s="28" t="s">
        <v>17</v>
      </c>
      <c r="BI16" s="28" t="s">
        <v>17</v>
      </c>
      <c r="BJ16" s="28" t="s">
        <v>18</v>
      </c>
      <c r="BK16" s="28" t="s">
        <v>22</v>
      </c>
      <c r="BL16" s="28" t="s">
        <v>17</v>
      </c>
      <c r="BM16" s="28" t="s">
        <v>18</v>
      </c>
      <c r="BN16" s="28" t="s">
        <v>22</v>
      </c>
      <c r="BO16" s="28" t="s">
        <v>18</v>
      </c>
      <c r="BP16" s="28" t="s">
        <v>17</v>
      </c>
      <c r="BQ16" s="28" t="s">
        <v>17</v>
      </c>
      <c r="BR16" s="28" t="s">
        <v>22</v>
      </c>
      <c r="BS16" s="28" t="s">
        <v>18</v>
      </c>
    </row>
    <row r="17" spans="1:71" x14ac:dyDescent="0.3">
      <c r="A17" s="93"/>
      <c r="B17" s="93"/>
      <c r="C17" s="26">
        <v>44737.958333333336</v>
      </c>
      <c r="D17" s="37">
        <f t="shared" si="14"/>
        <v>0.20833333333575865</v>
      </c>
      <c r="E17" s="38">
        <f t="shared" si="12"/>
        <v>4.5</v>
      </c>
      <c r="F17" s="5">
        <f t="shared" si="13"/>
        <v>4.5</v>
      </c>
      <c r="G17" s="1">
        <f t="shared" si="0"/>
        <v>3</v>
      </c>
      <c r="H17" s="1">
        <f t="shared" si="1"/>
        <v>0</v>
      </c>
      <c r="I17" s="1">
        <f t="shared" si="2"/>
        <v>0</v>
      </c>
      <c r="J17" s="1">
        <f t="shared" si="3"/>
        <v>5</v>
      </c>
      <c r="K17" s="1">
        <f t="shared" si="4"/>
        <v>0</v>
      </c>
      <c r="L17" s="1">
        <f t="shared" si="5"/>
        <v>0</v>
      </c>
      <c r="M17" s="1">
        <f t="shared" si="6"/>
        <v>0</v>
      </c>
      <c r="O17" s="1">
        <f t="shared" si="7"/>
        <v>15</v>
      </c>
      <c r="P17" s="1">
        <f t="shared" si="8"/>
        <v>15</v>
      </c>
      <c r="Q17" s="1">
        <f t="shared" si="9"/>
        <v>11</v>
      </c>
      <c r="R17" s="1">
        <f t="shared" si="10"/>
        <v>3</v>
      </c>
      <c r="S17" s="1">
        <f t="shared" si="11"/>
        <v>0</v>
      </c>
      <c r="T17" s="28" t="s">
        <v>17</v>
      </c>
      <c r="U17" s="28" t="s">
        <v>17</v>
      </c>
      <c r="V17" s="28" t="s">
        <v>18</v>
      </c>
      <c r="W17" s="28" t="s">
        <v>22</v>
      </c>
      <c r="X17" s="28" t="s">
        <v>17</v>
      </c>
      <c r="Y17" s="28" t="s">
        <v>18</v>
      </c>
      <c r="Z17" s="28" t="s">
        <v>22</v>
      </c>
      <c r="AA17" s="28" t="s">
        <v>29</v>
      </c>
      <c r="AB17" s="28" t="s">
        <v>17</v>
      </c>
      <c r="AC17" s="28" t="s">
        <v>18</v>
      </c>
      <c r="AD17" s="28" t="s">
        <v>29</v>
      </c>
      <c r="AE17" s="28" t="s">
        <v>22</v>
      </c>
      <c r="AF17" s="28" t="s">
        <v>4</v>
      </c>
      <c r="AG17" s="28" t="s">
        <v>4</v>
      </c>
      <c r="AH17" s="28" t="s">
        <v>22</v>
      </c>
      <c r="AI17" s="28" t="s">
        <v>22</v>
      </c>
      <c r="AJ17" s="28" t="s">
        <v>17</v>
      </c>
      <c r="AK17" s="28" t="s">
        <v>17</v>
      </c>
      <c r="AL17" s="28" t="s">
        <v>22</v>
      </c>
      <c r="AM17" s="28" t="s">
        <v>10</v>
      </c>
      <c r="AN17" s="28" t="s">
        <v>17</v>
      </c>
      <c r="AO17" s="28" t="s">
        <v>17</v>
      </c>
      <c r="AP17" s="28" t="s">
        <v>10</v>
      </c>
      <c r="AQ17" s="28" t="s">
        <v>10</v>
      </c>
      <c r="AR17" s="28" t="s">
        <v>4</v>
      </c>
      <c r="AS17" s="28" t="s">
        <v>18</v>
      </c>
      <c r="AT17" s="28" t="s">
        <v>18</v>
      </c>
      <c r="AU17" s="28" t="s">
        <v>10</v>
      </c>
      <c r="AV17" s="28" t="s">
        <v>10</v>
      </c>
      <c r="AW17" s="28" t="s">
        <v>22</v>
      </c>
      <c r="AX17" s="28" t="s">
        <v>18</v>
      </c>
      <c r="AY17" s="28" t="s">
        <v>18</v>
      </c>
      <c r="AZ17" s="28" t="s">
        <v>18</v>
      </c>
      <c r="BA17" s="28" t="s">
        <v>18</v>
      </c>
      <c r="BB17" s="28" t="s">
        <v>29</v>
      </c>
      <c r="BC17" s="28" t="s">
        <v>22</v>
      </c>
      <c r="BD17" s="28" t="s">
        <v>17</v>
      </c>
      <c r="BE17" s="28" t="s">
        <v>17</v>
      </c>
      <c r="BF17" s="28" t="s">
        <v>18</v>
      </c>
      <c r="BG17" s="28" t="s">
        <v>18</v>
      </c>
      <c r="BH17" s="28" t="s">
        <v>17</v>
      </c>
      <c r="BI17" s="28" t="s">
        <v>17</v>
      </c>
      <c r="BJ17" s="28" t="s">
        <v>18</v>
      </c>
      <c r="BK17" s="28" t="s">
        <v>22</v>
      </c>
      <c r="BL17" s="28" t="s">
        <v>17</v>
      </c>
      <c r="BM17" s="28" t="s">
        <v>18</v>
      </c>
      <c r="BN17" s="28" t="s">
        <v>22</v>
      </c>
      <c r="BO17" s="28" t="s">
        <v>18</v>
      </c>
      <c r="BP17" s="28" t="s">
        <v>17</v>
      </c>
      <c r="BQ17" s="28" t="s">
        <v>17</v>
      </c>
      <c r="BR17" s="28" t="s">
        <v>22</v>
      </c>
      <c r="BS17" s="28" t="s">
        <v>18</v>
      </c>
    </row>
    <row r="18" spans="1:71" x14ac:dyDescent="0.3">
      <c r="A18" s="93">
        <f t="shared" ref="A18:B18" si="18">A15+1</f>
        <v>177</v>
      </c>
      <c r="B18" s="93">
        <f t="shared" si="18"/>
        <v>6</v>
      </c>
      <c r="C18" s="26">
        <v>44738.458333333336</v>
      </c>
      <c r="D18" s="37">
        <f t="shared" si="14"/>
        <v>0.5</v>
      </c>
      <c r="E18" s="38">
        <f t="shared" si="12"/>
        <v>5</v>
      </c>
      <c r="F18" s="5">
        <f t="shared" si="13"/>
        <v>5</v>
      </c>
      <c r="G18" s="1">
        <f t="shared" si="0"/>
        <v>1</v>
      </c>
      <c r="H18" s="1">
        <f t="shared" si="1"/>
        <v>0</v>
      </c>
      <c r="I18" s="1">
        <f t="shared" si="2"/>
        <v>0</v>
      </c>
      <c r="J18" s="1">
        <f t="shared" si="3"/>
        <v>4</v>
      </c>
      <c r="K18" s="1">
        <f t="shared" si="4"/>
        <v>0</v>
      </c>
      <c r="L18" s="1">
        <f t="shared" si="5"/>
        <v>0</v>
      </c>
      <c r="M18" s="1">
        <f t="shared" si="6"/>
        <v>0</v>
      </c>
      <c r="O18" s="1">
        <f t="shared" si="7"/>
        <v>17</v>
      </c>
      <c r="P18" s="1">
        <f t="shared" si="8"/>
        <v>15</v>
      </c>
      <c r="Q18" s="1">
        <f t="shared" si="9"/>
        <v>11</v>
      </c>
      <c r="R18" s="1">
        <f t="shared" si="10"/>
        <v>4</v>
      </c>
      <c r="S18" s="1">
        <f t="shared" si="11"/>
        <v>0</v>
      </c>
      <c r="T18" s="28" t="s">
        <v>17</v>
      </c>
      <c r="U18" s="28" t="s">
        <v>17</v>
      </c>
      <c r="V18" s="28" t="s">
        <v>18</v>
      </c>
      <c r="W18" s="28" t="s">
        <v>22</v>
      </c>
      <c r="X18" s="28" t="s">
        <v>17</v>
      </c>
      <c r="Y18" s="28" t="s">
        <v>18</v>
      </c>
      <c r="Z18" s="28" t="s">
        <v>22</v>
      </c>
      <c r="AA18" s="28" t="s">
        <v>29</v>
      </c>
      <c r="AB18" s="28" t="s">
        <v>17</v>
      </c>
      <c r="AC18" s="28" t="s">
        <v>18</v>
      </c>
      <c r="AD18" s="28" t="s">
        <v>29</v>
      </c>
      <c r="AE18" s="28" t="s">
        <v>22</v>
      </c>
      <c r="AF18" s="28" t="s">
        <v>17</v>
      </c>
      <c r="AG18" s="28" t="s">
        <v>17</v>
      </c>
      <c r="AH18" s="28" t="s">
        <v>22</v>
      </c>
      <c r="AI18" s="28" t="s">
        <v>22</v>
      </c>
      <c r="AJ18" s="28" t="s">
        <v>17</v>
      </c>
      <c r="AK18" s="28" t="s">
        <v>17</v>
      </c>
      <c r="AL18" s="28" t="s">
        <v>22</v>
      </c>
      <c r="AM18" s="28" t="s">
        <v>10</v>
      </c>
      <c r="AN18" s="28" t="s">
        <v>17</v>
      </c>
      <c r="AO18" s="28" t="s">
        <v>17</v>
      </c>
      <c r="AP18" s="28" t="s">
        <v>10</v>
      </c>
      <c r="AQ18" s="28" t="s">
        <v>29</v>
      </c>
      <c r="AR18" s="28" t="s">
        <v>4</v>
      </c>
      <c r="AS18" s="28" t="s">
        <v>18</v>
      </c>
      <c r="AT18" s="28" t="s">
        <v>18</v>
      </c>
      <c r="AU18" s="28" t="s">
        <v>10</v>
      </c>
      <c r="AV18" s="28" t="s">
        <v>10</v>
      </c>
      <c r="AW18" s="28" t="s">
        <v>22</v>
      </c>
      <c r="AX18" s="28" t="s">
        <v>18</v>
      </c>
      <c r="AY18" s="28" t="s">
        <v>18</v>
      </c>
      <c r="AZ18" s="28" t="s">
        <v>18</v>
      </c>
      <c r="BA18" s="28" t="s">
        <v>18</v>
      </c>
      <c r="BB18" s="28" t="s">
        <v>29</v>
      </c>
      <c r="BC18" s="28" t="s">
        <v>22</v>
      </c>
      <c r="BD18" s="28" t="s">
        <v>17</v>
      </c>
      <c r="BE18" s="28" t="s">
        <v>17</v>
      </c>
      <c r="BF18" s="28" t="s">
        <v>18</v>
      </c>
      <c r="BG18" s="28" t="s">
        <v>18</v>
      </c>
      <c r="BH18" s="28" t="s">
        <v>17</v>
      </c>
      <c r="BI18" s="28" t="s">
        <v>17</v>
      </c>
      <c r="BJ18" s="28" t="s">
        <v>18</v>
      </c>
      <c r="BK18" s="28" t="s">
        <v>22</v>
      </c>
      <c r="BL18" s="28" t="s">
        <v>17</v>
      </c>
      <c r="BM18" s="28" t="s">
        <v>18</v>
      </c>
      <c r="BN18" s="28" t="s">
        <v>22</v>
      </c>
      <c r="BO18" s="28" t="s">
        <v>18</v>
      </c>
      <c r="BP18" s="28" t="s">
        <v>17</v>
      </c>
      <c r="BQ18" s="28" t="s">
        <v>17</v>
      </c>
      <c r="BR18" s="28" t="s">
        <v>22</v>
      </c>
      <c r="BS18" s="28" t="s">
        <v>18</v>
      </c>
    </row>
    <row r="19" spans="1:71" x14ac:dyDescent="0.3">
      <c r="A19" s="93"/>
      <c r="B19" s="93"/>
      <c r="C19" s="26">
        <v>44738.75</v>
      </c>
      <c r="D19" s="37">
        <f t="shared" si="14"/>
        <v>0.29166666666424135</v>
      </c>
      <c r="E19" s="38">
        <f t="shared" si="12"/>
        <v>5.2916666666642413</v>
      </c>
      <c r="F19" s="5">
        <f t="shared" si="13"/>
        <v>5.2916666666642413</v>
      </c>
      <c r="G19" s="1">
        <f t="shared" si="0"/>
        <v>1</v>
      </c>
      <c r="H19" s="1">
        <f t="shared" si="1"/>
        <v>0</v>
      </c>
      <c r="I19" s="1">
        <f t="shared" si="2"/>
        <v>0</v>
      </c>
      <c r="J19" s="1">
        <f t="shared" si="3"/>
        <v>3</v>
      </c>
      <c r="K19" s="1">
        <f t="shared" si="4"/>
        <v>1</v>
      </c>
      <c r="L19" s="1">
        <f t="shared" si="5"/>
        <v>0</v>
      </c>
      <c r="M19" s="1">
        <f t="shared" si="6"/>
        <v>0</v>
      </c>
      <c r="O19" s="1">
        <f t="shared" si="7"/>
        <v>17</v>
      </c>
      <c r="P19" s="1">
        <f t="shared" si="8"/>
        <v>15</v>
      </c>
      <c r="Q19" s="1">
        <f t="shared" si="9"/>
        <v>11</v>
      </c>
      <c r="R19" s="1">
        <f t="shared" si="10"/>
        <v>4</v>
      </c>
      <c r="S19" s="1">
        <f t="shared" si="11"/>
        <v>0</v>
      </c>
      <c r="T19" s="28" t="s">
        <v>17</v>
      </c>
      <c r="U19" s="28" t="s">
        <v>17</v>
      </c>
      <c r="V19" s="28" t="s">
        <v>18</v>
      </c>
      <c r="W19" s="28" t="s">
        <v>22</v>
      </c>
      <c r="X19" s="28" t="s">
        <v>17</v>
      </c>
      <c r="Y19" s="28" t="s">
        <v>18</v>
      </c>
      <c r="Z19" s="28" t="s">
        <v>22</v>
      </c>
      <c r="AA19" s="28" t="s">
        <v>29</v>
      </c>
      <c r="AB19" s="28" t="s">
        <v>17</v>
      </c>
      <c r="AC19" s="28" t="s">
        <v>18</v>
      </c>
      <c r="AD19" s="28" t="s">
        <v>29</v>
      </c>
      <c r="AE19" s="28" t="s">
        <v>22</v>
      </c>
      <c r="AF19" s="28" t="s">
        <v>17</v>
      </c>
      <c r="AG19" s="28" t="s">
        <v>17</v>
      </c>
      <c r="AH19" s="28" t="s">
        <v>22</v>
      </c>
      <c r="AI19" s="28" t="s">
        <v>22</v>
      </c>
      <c r="AJ19" s="28" t="s">
        <v>17</v>
      </c>
      <c r="AK19" s="28" t="s">
        <v>17</v>
      </c>
      <c r="AL19" s="28" t="s">
        <v>22</v>
      </c>
      <c r="AM19" s="28" t="s">
        <v>11</v>
      </c>
      <c r="AN19" s="28" t="s">
        <v>17</v>
      </c>
      <c r="AO19" s="28" t="s">
        <v>17</v>
      </c>
      <c r="AP19" s="28" t="s">
        <v>10</v>
      </c>
      <c r="AQ19" s="28" t="s">
        <v>29</v>
      </c>
      <c r="AR19" s="28" t="s">
        <v>4</v>
      </c>
      <c r="AS19" s="28" t="s">
        <v>18</v>
      </c>
      <c r="AT19" s="28" t="s">
        <v>18</v>
      </c>
      <c r="AU19" s="28" t="s">
        <v>10</v>
      </c>
      <c r="AV19" s="28" t="s">
        <v>10</v>
      </c>
      <c r="AW19" s="28" t="s">
        <v>22</v>
      </c>
      <c r="AX19" s="28" t="s">
        <v>18</v>
      </c>
      <c r="AY19" s="28" t="s">
        <v>18</v>
      </c>
      <c r="AZ19" s="28" t="s">
        <v>18</v>
      </c>
      <c r="BA19" s="28" t="s">
        <v>18</v>
      </c>
      <c r="BB19" s="28" t="s">
        <v>29</v>
      </c>
      <c r="BC19" s="28" t="s">
        <v>22</v>
      </c>
      <c r="BD19" s="28" t="s">
        <v>17</v>
      </c>
      <c r="BE19" s="28" t="s">
        <v>17</v>
      </c>
      <c r="BF19" s="28" t="s">
        <v>18</v>
      </c>
      <c r="BG19" s="28" t="s">
        <v>18</v>
      </c>
      <c r="BH19" s="28" t="s">
        <v>17</v>
      </c>
      <c r="BI19" s="28" t="s">
        <v>17</v>
      </c>
      <c r="BJ19" s="28" t="s">
        <v>18</v>
      </c>
      <c r="BK19" s="28" t="s">
        <v>22</v>
      </c>
      <c r="BL19" s="28" t="s">
        <v>17</v>
      </c>
      <c r="BM19" s="28" t="s">
        <v>18</v>
      </c>
      <c r="BN19" s="28" t="s">
        <v>22</v>
      </c>
      <c r="BO19" s="28" t="s">
        <v>18</v>
      </c>
      <c r="BP19" s="28" t="s">
        <v>17</v>
      </c>
      <c r="BQ19" s="28" t="s">
        <v>17</v>
      </c>
      <c r="BR19" s="28" t="s">
        <v>22</v>
      </c>
      <c r="BS19" s="28" t="s">
        <v>18</v>
      </c>
    </row>
    <row r="20" spans="1:71" x14ac:dyDescent="0.3">
      <c r="A20" s="93"/>
      <c r="B20" s="93"/>
      <c r="C20" s="26">
        <v>44738.958333333336</v>
      </c>
      <c r="D20" s="37">
        <f t="shared" si="14"/>
        <v>0.20833333333575865</v>
      </c>
      <c r="E20" s="38">
        <f t="shared" si="12"/>
        <v>5.5</v>
      </c>
      <c r="F20" s="5">
        <f t="shared" si="13"/>
        <v>5.5</v>
      </c>
      <c r="G20" s="1">
        <f t="shared" si="0"/>
        <v>1</v>
      </c>
      <c r="H20" s="1">
        <f t="shared" si="1"/>
        <v>0</v>
      </c>
      <c r="I20" s="1">
        <f t="shared" si="2"/>
        <v>0</v>
      </c>
      <c r="J20" s="1">
        <f t="shared" si="3"/>
        <v>1</v>
      </c>
      <c r="K20" s="1">
        <f t="shared" si="4"/>
        <v>1</v>
      </c>
      <c r="L20" s="1">
        <f t="shared" si="5"/>
        <v>0</v>
      </c>
      <c r="M20" s="1">
        <f t="shared" si="6"/>
        <v>0</v>
      </c>
      <c r="O20" s="1">
        <f t="shared" si="7"/>
        <v>17</v>
      </c>
      <c r="P20" s="1">
        <f t="shared" si="8"/>
        <v>15</v>
      </c>
      <c r="Q20" s="1">
        <f t="shared" si="9"/>
        <v>11</v>
      </c>
      <c r="R20" s="1">
        <f t="shared" si="10"/>
        <v>6</v>
      </c>
      <c r="S20" s="1">
        <f t="shared" si="11"/>
        <v>0</v>
      </c>
      <c r="T20" s="28" t="s">
        <v>17</v>
      </c>
      <c r="U20" s="28" t="s">
        <v>17</v>
      </c>
      <c r="V20" s="28" t="s">
        <v>18</v>
      </c>
      <c r="W20" s="28" t="s">
        <v>22</v>
      </c>
      <c r="X20" s="28" t="s">
        <v>17</v>
      </c>
      <c r="Y20" s="28" t="s">
        <v>18</v>
      </c>
      <c r="Z20" s="28" t="s">
        <v>22</v>
      </c>
      <c r="AA20" s="28" t="s">
        <v>29</v>
      </c>
      <c r="AB20" s="28" t="s">
        <v>17</v>
      </c>
      <c r="AC20" s="28" t="s">
        <v>18</v>
      </c>
      <c r="AD20" s="28" t="s">
        <v>29</v>
      </c>
      <c r="AE20" s="28" t="s">
        <v>22</v>
      </c>
      <c r="AF20" s="28" t="s">
        <v>17</v>
      </c>
      <c r="AG20" s="28" t="s">
        <v>17</v>
      </c>
      <c r="AH20" s="28" t="s">
        <v>22</v>
      </c>
      <c r="AI20" s="28" t="s">
        <v>22</v>
      </c>
      <c r="AJ20" s="28" t="s">
        <v>17</v>
      </c>
      <c r="AK20" s="28" t="s">
        <v>17</v>
      </c>
      <c r="AL20" s="28" t="s">
        <v>22</v>
      </c>
      <c r="AM20" s="28" t="s">
        <v>11</v>
      </c>
      <c r="AN20" s="28" t="s">
        <v>17</v>
      </c>
      <c r="AO20" s="28" t="s">
        <v>17</v>
      </c>
      <c r="AP20" s="28" t="s">
        <v>10</v>
      </c>
      <c r="AQ20" s="28" t="s">
        <v>29</v>
      </c>
      <c r="AR20" s="28" t="s">
        <v>4</v>
      </c>
      <c r="AS20" s="28" t="s">
        <v>18</v>
      </c>
      <c r="AT20" s="28" t="s">
        <v>18</v>
      </c>
      <c r="AU20" s="28" t="s">
        <v>29</v>
      </c>
      <c r="AV20" s="28" t="s">
        <v>29</v>
      </c>
      <c r="AW20" s="28" t="s">
        <v>22</v>
      </c>
      <c r="AX20" s="28" t="s">
        <v>18</v>
      </c>
      <c r="AY20" s="28" t="s">
        <v>18</v>
      </c>
      <c r="AZ20" s="28" t="s">
        <v>18</v>
      </c>
      <c r="BA20" s="28" t="s">
        <v>18</v>
      </c>
      <c r="BB20" s="28" t="s">
        <v>29</v>
      </c>
      <c r="BC20" s="28" t="s">
        <v>22</v>
      </c>
      <c r="BD20" s="28" t="s">
        <v>17</v>
      </c>
      <c r="BE20" s="28" t="s">
        <v>17</v>
      </c>
      <c r="BF20" s="28" t="s">
        <v>18</v>
      </c>
      <c r="BG20" s="28" t="s">
        <v>18</v>
      </c>
      <c r="BH20" s="28" t="s">
        <v>17</v>
      </c>
      <c r="BI20" s="28" t="s">
        <v>17</v>
      </c>
      <c r="BJ20" s="28" t="s">
        <v>18</v>
      </c>
      <c r="BK20" s="28" t="s">
        <v>22</v>
      </c>
      <c r="BL20" s="28" t="s">
        <v>17</v>
      </c>
      <c r="BM20" s="28" t="s">
        <v>18</v>
      </c>
      <c r="BN20" s="28" t="s">
        <v>22</v>
      </c>
      <c r="BO20" s="28" t="s">
        <v>18</v>
      </c>
      <c r="BP20" s="28" t="s">
        <v>17</v>
      </c>
      <c r="BQ20" s="28" t="s">
        <v>17</v>
      </c>
      <c r="BR20" s="28" t="s">
        <v>22</v>
      </c>
      <c r="BS20" s="28" t="s">
        <v>18</v>
      </c>
    </row>
    <row r="21" spans="1:71" x14ac:dyDescent="0.3">
      <c r="A21" s="93">
        <f t="shared" ref="A21:B21" si="19">A18+1</f>
        <v>178</v>
      </c>
      <c r="B21" s="93">
        <f t="shared" si="19"/>
        <v>7</v>
      </c>
      <c r="C21" s="26">
        <v>44739.458333333336</v>
      </c>
      <c r="D21" s="37">
        <f t="shared" si="14"/>
        <v>0.5</v>
      </c>
      <c r="E21" s="38">
        <f t="shared" si="12"/>
        <v>6</v>
      </c>
      <c r="F21" s="5">
        <f t="shared" si="13"/>
        <v>6</v>
      </c>
      <c r="G21" s="1">
        <f t="shared" si="0"/>
        <v>0</v>
      </c>
      <c r="H21" s="1">
        <f t="shared" si="1"/>
        <v>0</v>
      </c>
      <c r="I21" s="1">
        <f t="shared" si="2"/>
        <v>0</v>
      </c>
      <c r="J21" s="1">
        <f t="shared" si="3"/>
        <v>1</v>
      </c>
      <c r="K21" s="1">
        <f t="shared" si="4"/>
        <v>1</v>
      </c>
      <c r="L21" s="1">
        <f t="shared" si="5"/>
        <v>0</v>
      </c>
      <c r="M21" s="1">
        <f t="shared" si="6"/>
        <v>0</v>
      </c>
      <c r="O21" s="1">
        <f t="shared" si="7"/>
        <v>18</v>
      </c>
      <c r="P21" s="1">
        <f t="shared" si="8"/>
        <v>15</v>
      </c>
      <c r="Q21" s="1">
        <f t="shared" si="9"/>
        <v>11</v>
      </c>
      <c r="R21" s="1">
        <f t="shared" si="10"/>
        <v>6</v>
      </c>
      <c r="S21" s="1">
        <f t="shared" si="11"/>
        <v>0</v>
      </c>
      <c r="T21" s="28" t="s">
        <v>17</v>
      </c>
      <c r="U21" s="28" t="s">
        <v>17</v>
      </c>
      <c r="V21" s="28" t="s">
        <v>18</v>
      </c>
      <c r="W21" s="28" t="s">
        <v>22</v>
      </c>
      <c r="X21" s="28" t="s">
        <v>17</v>
      </c>
      <c r="Y21" s="28" t="s">
        <v>18</v>
      </c>
      <c r="Z21" s="28" t="s">
        <v>22</v>
      </c>
      <c r="AA21" s="28" t="s">
        <v>29</v>
      </c>
      <c r="AB21" s="28" t="s">
        <v>17</v>
      </c>
      <c r="AC21" s="28" t="s">
        <v>18</v>
      </c>
      <c r="AD21" s="28" t="s">
        <v>29</v>
      </c>
      <c r="AE21" s="28" t="s">
        <v>22</v>
      </c>
      <c r="AF21" s="28" t="s">
        <v>17</v>
      </c>
      <c r="AG21" s="28" t="s">
        <v>17</v>
      </c>
      <c r="AH21" s="28" t="s">
        <v>22</v>
      </c>
      <c r="AI21" s="28" t="s">
        <v>22</v>
      </c>
      <c r="AJ21" s="28" t="s">
        <v>17</v>
      </c>
      <c r="AK21" s="28" t="s">
        <v>17</v>
      </c>
      <c r="AL21" s="28" t="s">
        <v>22</v>
      </c>
      <c r="AM21" s="28" t="s">
        <v>11</v>
      </c>
      <c r="AN21" s="28" t="s">
        <v>17</v>
      </c>
      <c r="AO21" s="28" t="s">
        <v>17</v>
      </c>
      <c r="AP21" s="28" t="s">
        <v>10</v>
      </c>
      <c r="AQ21" s="28" t="s">
        <v>29</v>
      </c>
      <c r="AR21" s="28" t="s">
        <v>17</v>
      </c>
      <c r="AS21" s="28" t="s">
        <v>18</v>
      </c>
      <c r="AT21" s="28" t="s">
        <v>18</v>
      </c>
      <c r="AU21" s="28" t="s">
        <v>29</v>
      </c>
      <c r="AV21" s="28" t="s">
        <v>29</v>
      </c>
      <c r="AW21" s="28" t="s">
        <v>22</v>
      </c>
      <c r="AX21" s="28" t="s">
        <v>18</v>
      </c>
      <c r="AY21" s="28" t="s">
        <v>18</v>
      </c>
      <c r="AZ21" s="28" t="s">
        <v>18</v>
      </c>
      <c r="BA21" s="28" t="s">
        <v>18</v>
      </c>
      <c r="BB21" s="28" t="s">
        <v>29</v>
      </c>
      <c r="BC21" s="28" t="s">
        <v>22</v>
      </c>
      <c r="BD21" s="28" t="s">
        <v>17</v>
      </c>
      <c r="BE21" s="28" t="s">
        <v>17</v>
      </c>
      <c r="BF21" s="28" t="s">
        <v>18</v>
      </c>
      <c r="BG21" s="28" t="s">
        <v>18</v>
      </c>
      <c r="BH21" s="28" t="s">
        <v>17</v>
      </c>
      <c r="BI21" s="28" t="s">
        <v>17</v>
      </c>
      <c r="BJ21" s="28" t="s">
        <v>18</v>
      </c>
      <c r="BK21" s="28" t="s">
        <v>22</v>
      </c>
      <c r="BL21" s="28" t="s">
        <v>17</v>
      </c>
      <c r="BM21" s="28" t="s">
        <v>18</v>
      </c>
      <c r="BN21" s="28" t="s">
        <v>22</v>
      </c>
      <c r="BO21" s="28" t="s">
        <v>18</v>
      </c>
      <c r="BP21" s="28" t="s">
        <v>17</v>
      </c>
      <c r="BQ21" s="28" t="s">
        <v>17</v>
      </c>
      <c r="BR21" s="28" t="s">
        <v>22</v>
      </c>
      <c r="BS21" s="28" t="s">
        <v>18</v>
      </c>
    </row>
    <row r="22" spans="1:71" x14ac:dyDescent="0.3">
      <c r="A22" s="93"/>
      <c r="B22" s="93"/>
      <c r="C22" s="26">
        <v>44739.729166666664</v>
      </c>
      <c r="D22" s="37">
        <f t="shared" si="14"/>
        <v>0.27083333332848269</v>
      </c>
      <c r="E22" s="38">
        <f t="shared" si="12"/>
        <v>6.2708333333284827</v>
      </c>
      <c r="F22" s="5">
        <f t="shared" si="13"/>
        <v>6.2708333333284827</v>
      </c>
      <c r="G22" s="1">
        <f t="shared" si="0"/>
        <v>0</v>
      </c>
      <c r="H22" s="1">
        <f t="shared" si="1"/>
        <v>0</v>
      </c>
      <c r="I22" s="1">
        <f t="shared" si="2"/>
        <v>0</v>
      </c>
      <c r="J22" s="1">
        <f t="shared" si="3"/>
        <v>1</v>
      </c>
      <c r="K22" s="1">
        <f t="shared" si="4"/>
        <v>1</v>
      </c>
      <c r="L22" s="1">
        <f t="shared" si="5"/>
        <v>0</v>
      </c>
      <c r="M22" s="1">
        <f t="shared" si="6"/>
        <v>0</v>
      </c>
      <c r="O22" s="1">
        <f t="shared" si="7"/>
        <v>18</v>
      </c>
      <c r="P22" s="1">
        <f t="shared" si="8"/>
        <v>15</v>
      </c>
      <c r="Q22" s="1">
        <f t="shared" si="9"/>
        <v>11</v>
      </c>
      <c r="R22" s="1">
        <f t="shared" si="10"/>
        <v>6</v>
      </c>
      <c r="S22" s="1">
        <f t="shared" si="11"/>
        <v>0</v>
      </c>
      <c r="T22" s="28" t="s">
        <v>17</v>
      </c>
      <c r="U22" s="28" t="s">
        <v>17</v>
      </c>
      <c r="V22" s="28" t="s">
        <v>18</v>
      </c>
      <c r="W22" s="28" t="s">
        <v>22</v>
      </c>
      <c r="X22" s="28" t="s">
        <v>17</v>
      </c>
      <c r="Y22" s="28" t="s">
        <v>18</v>
      </c>
      <c r="Z22" s="28" t="s">
        <v>22</v>
      </c>
      <c r="AA22" s="28" t="s">
        <v>29</v>
      </c>
      <c r="AB22" s="28" t="s">
        <v>17</v>
      </c>
      <c r="AC22" s="28" t="s">
        <v>18</v>
      </c>
      <c r="AD22" s="28" t="s">
        <v>29</v>
      </c>
      <c r="AE22" s="28" t="s">
        <v>22</v>
      </c>
      <c r="AF22" s="28" t="s">
        <v>17</v>
      </c>
      <c r="AG22" s="28" t="s">
        <v>17</v>
      </c>
      <c r="AH22" s="28" t="s">
        <v>22</v>
      </c>
      <c r="AI22" s="28" t="s">
        <v>22</v>
      </c>
      <c r="AJ22" s="28" t="s">
        <v>17</v>
      </c>
      <c r="AK22" s="28" t="s">
        <v>17</v>
      </c>
      <c r="AL22" s="28" t="s">
        <v>22</v>
      </c>
      <c r="AM22" s="28" t="s">
        <v>11</v>
      </c>
      <c r="AN22" s="28" t="s">
        <v>17</v>
      </c>
      <c r="AO22" s="28" t="s">
        <v>17</v>
      </c>
      <c r="AP22" s="28" t="s">
        <v>10</v>
      </c>
      <c r="AQ22" s="28" t="s">
        <v>29</v>
      </c>
      <c r="AR22" s="28" t="s">
        <v>17</v>
      </c>
      <c r="AS22" s="28" t="s">
        <v>18</v>
      </c>
      <c r="AT22" s="28" t="s">
        <v>18</v>
      </c>
      <c r="AU22" s="28" t="s">
        <v>29</v>
      </c>
      <c r="AV22" s="28" t="s">
        <v>29</v>
      </c>
      <c r="AW22" s="28" t="s">
        <v>22</v>
      </c>
      <c r="AX22" s="28" t="s">
        <v>18</v>
      </c>
      <c r="AY22" s="28" t="s">
        <v>18</v>
      </c>
      <c r="AZ22" s="28" t="s">
        <v>18</v>
      </c>
      <c r="BA22" s="28" t="s">
        <v>18</v>
      </c>
      <c r="BB22" s="28" t="s">
        <v>29</v>
      </c>
      <c r="BC22" s="28" t="s">
        <v>22</v>
      </c>
      <c r="BD22" s="28" t="s">
        <v>17</v>
      </c>
      <c r="BE22" s="28" t="s">
        <v>17</v>
      </c>
      <c r="BF22" s="28" t="s">
        <v>18</v>
      </c>
      <c r="BG22" s="28" t="s">
        <v>18</v>
      </c>
      <c r="BH22" s="28" t="s">
        <v>17</v>
      </c>
      <c r="BI22" s="28" t="s">
        <v>17</v>
      </c>
      <c r="BJ22" s="28" t="s">
        <v>18</v>
      </c>
      <c r="BK22" s="28" t="s">
        <v>22</v>
      </c>
      <c r="BL22" s="28" t="s">
        <v>17</v>
      </c>
      <c r="BM22" s="28" t="s">
        <v>18</v>
      </c>
      <c r="BN22" s="28" t="s">
        <v>22</v>
      </c>
      <c r="BO22" s="28" t="s">
        <v>18</v>
      </c>
      <c r="BP22" s="28" t="s">
        <v>17</v>
      </c>
      <c r="BQ22" s="28" t="s">
        <v>17</v>
      </c>
      <c r="BR22" s="28" t="s">
        <v>22</v>
      </c>
      <c r="BS22" s="28" t="s">
        <v>18</v>
      </c>
    </row>
    <row r="23" spans="1:71" x14ac:dyDescent="0.3">
      <c r="A23" s="93"/>
      <c r="B23" s="93"/>
      <c r="C23" s="26">
        <v>44739.958333333336</v>
      </c>
      <c r="D23" s="37">
        <f t="shared" si="14"/>
        <v>0.22916666667151731</v>
      </c>
      <c r="E23" s="38">
        <f t="shared" si="12"/>
        <v>6.5</v>
      </c>
      <c r="F23" s="5">
        <f t="shared" si="13"/>
        <v>6.5</v>
      </c>
      <c r="G23" s="1">
        <f t="shared" si="0"/>
        <v>0</v>
      </c>
      <c r="H23" s="1">
        <f t="shared" si="1"/>
        <v>0</v>
      </c>
      <c r="I23" s="1">
        <f t="shared" si="2"/>
        <v>0</v>
      </c>
      <c r="J23" s="1">
        <f t="shared" si="3"/>
        <v>0</v>
      </c>
      <c r="K23" s="1">
        <f t="shared" si="4"/>
        <v>2</v>
      </c>
      <c r="L23" s="1">
        <f t="shared" si="5"/>
        <v>0</v>
      </c>
      <c r="M23" s="1">
        <f t="shared" si="6"/>
        <v>0</v>
      </c>
      <c r="O23" s="1">
        <f t="shared" si="7"/>
        <v>18</v>
      </c>
      <c r="P23" s="1">
        <f t="shared" si="8"/>
        <v>15</v>
      </c>
      <c r="Q23" s="1">
        <f t="shared" si="9"/>
        <v>11</v>
      </c>
      <c r="R23" s="1">
        <f t="shared" si="10"/>
        <v>6</v>
      </c>
      <c r="S23" s="1">
        <f t="shared" si="11"/>
        <v>0</v>
      </c>
      <c r="T23" s="28" t="s">
        <v>17</v>
      </c>
      <c r="U23" s="28" t="s">
        <v>17</v>
      </c>
      <c r="V23" s="28" t="s">
        <v>18</v>
      </c>
      <c r="W23" s="28" t="s">
        <v>22</v>
      </c>
      <c r="X23" s="28" t="s">
        <v>17</v>
      </c>
      <c r="Y23" s="28" t="s">
        <v>18</v>
      </c>
      <c r="Z23" s="28" t="s">
        <v>22</v>
      </c>
      <c r="AA23" s="28" t="s">
        <v>29</v>
      </c>
      <c r="AB23" s="28" t="s">
        <v>17</v>
      </c>
      <c r="AC23" s="28" t="s">
        <v>18</v>
      </c>
      <c r="AD23" s="28" t="s">
        <v>29</v>
      </c>
      <c r="AE23" s="28" t="s">
        <v>22</v>
      </c>
      <c r="AF23" s="28" t="s">
        <v>17</v>
      </c>
      <c r="AG23" s="28" t="s">
        <v>17</v>
      </c>
      <c r="AH23" s="28" t="s">
        <v>22</v>
      </c>
      <c r="AI23" s="28" t="s">
        <v>22</v>
      </c>
      <c r="AJ23" s="28" t="s">
        <v>17</v>
      </c>
      <c r="AK23" s="28" t="s">
        <v>17</v>
      </c>
      <c r="AL23" s="28" t="s">
        <v>22</v>
      </c>
      <c r="AM23" s="28" t="s">
        <v>11</v>
      </c>
      <c r="AN23" s="28" t="s">
        <v>17</v>
      </c>
      <c r="AO23" s="28" t="s">
        <v>17</v>
      </c>
      <c r="AP23" s="28" t="s">
        <v>11</v>
      </c>
      <c r="AQ23" s="28" t="s">
        <v>29</v>
      </c>
      <c r="AR23" s="28" t="s">
        <v>17</v>
      </c>
      <c r="AS23" s="28" t="s">
        <v>18</v>
      </c>
      <c r="AT23" s="28" t="s">
        <v>18</v>
      </c>
      <c r="AU23" s="28" t="s">
        <v>29</v>
      </c>
      <c r="AV23" s="28" t="s">
        <v>29</v>
      </c>
      <c r="AW23" s="28" t="s">
        <v>22</v>
      </c>
      <c r="AX23" s="28" t="s">
        <v>18</v>
      </c>
      <c r="AY23" s="28" t="s">
        <v>18</v>
      </c>
      <c r="AZ23" s="28" t="s">
        <v>18</v>
      </c>
      <c r="BA23" s="28" t="s">
        <v>18</v>
      </c>
      <c r="BB23" s="28" t="s">
        <v>29</v>
      </c>
      <c r="BC23" s="28" t="s">
        <v>22</v>
      </c>
      <c r="BD23" s="28" t="s">
        <v>17</v>
      </c>
      <c r="BE23" s="28" t="s">
        <v>17</v>
      </c>
      <c r="BF23" s="28" t="s">
        <v>18</v>
      </c>
      <c r="BG23" s="28" t="s">
        <v>18</v>
      </c>
      <c r="BH23" s="28" t="s">
        <v>17</v>
      </c>
      <c r="BI23" s="28" t="s">
        <v>17</v>
      </c>
      <c r="BJ23" s="28" t="s">
        <v>18</v>
      </c>
      <c r="BK23" s="28" t="s">
        <v>22</v>
      </c>
      <c r="BL23" s="28" t="s">
        <v>17</v>
      </c>
      <c r="BM23" s="28" t="s">
        <v>18</v>
      </c>
      <c r="BN23" s="28" t="s">
        <v>22</v>
      </c>
      <c r="BO23" s="28" t="s">
        <v>18</v>
      </c>
      <c r="BP23" s="28" t="s">
        <v>17</v>
      </c>
      <c r="BQ23" s="28" t="s">
        <v>17</v>
      </c>
      <c r="BR23" s="28" t="s">
        <v>22</v>
      </c>
      <c r="BS23" s="28" t="s">
        <v>18</v>
      </c>
    </row>
    <row r="24" spans="1:71" x14ac:dyDescent="0.3">
      <c r="A24" s="93">
        <f t="shared" ref="A24:B24" si="20">A21+1</f>
        <v>179</v>
      </c>
      <c r="B24" s="93">
        <f t="shared" si="20"/>
        <v>8</v>
      </c>
      <c r="C24" s="26">
        <v>44740.458333333336</v>
      </c>
      <c r="D24" s="37">
        <f t="shared" si="14"/>
        <v>0.5</v>
      </c>
      <c r="E24" s="38">
        <f t="shared" si="12"/>
        <v>7</v>
      </c>
      <c r="F24" s="5">
        <f t="shared" si="13"/>
        <v>7</v>
      </c>
      <c r="G24" s="1">
        <f t="shared" si="0"/>
        <v>0</v>
      </c>
      <c r="H24" s="1">
        <f t="shared" si="1"/>
        <v>0</v>
      </c>
      <c r="I24" s="1">
        <f t="shared" si="2"/>
        <v>0</v>
      </c>
      <c r="J24" s="1">
        <f t="shared" si="3"/>
        <v>0</v>
      </c>
      <c r="K24" s="1">
        <f t="shared" si="4"/>
        <v>2</v>
      </c>
      <c r="L24" s="1">
        <f t="shared" si="5"/>
        <v>0</v>
      </c>
      <c r="M24" s="1">
        <f t="shared" si="6"/>
        <v>0</v>
      </c>
      <c r="O24" s="1">
        <f t="shared" si="7"/>
        <v>18</v>
      </c>
      <c r="P24" s="1">
        <f t="shared" si="8"/>
        <v>15</v>
      </c>
      <c r="Q24" s="1">
        <f t="shared" si="9"/>
        <v>11</v>
      </c>
      <c r="R24" s="1">
        <f t="shared" si="10"/>
        <v>6</v>
      </c>
      <c r="S24" s="1">
        <f t="shared" si="11"/>
        <v>0</v>
      </c>
      <c r="T24" s="28" t="s">
        <v>17</v>
      </c>
      <c r="U24" s="28" t="s">
        <v>17</v>
      </c>
      <c r="V24" s="28" t="s">
        <v>18</v>
      </c>
      <c r="W24" s="28" t="s">
        <v>22</v>
      </c>
      <c r="X24" s="28" t="s">
        <v>17</v>
      </c>
      <c r="Y24" s="28" t="s">
        <v>18</v>
      </c>
      <c r="Z24" s="28" t="s">
        <v>22</v>
      </c>
      <c r="AA24" s="28" t="s">
        <v>29</v>
      </c>
      <c r="AB24" s="28" t="s">
        <v>17</v>
      </c>
      <c r="AC24" s="28" t="s">
        <v>18</v>
      </c>
      <c r="AD24" s="28" t="s">
        <v>29</v>
      </c>
      <c r="AE24" s="28" t="s">
        <v>22</v>
      </c>
      <c r="AF24" s="28" t="s">
        <v>17</v>
      </c>
      <c r="AG24" s="28" t="s">
        <v>17</v>
      </c>
      <c r="AH24" s="28" t="s">
        <v>22</v>
      </c>
      <c r="AI24" s="28" t="s">
        <v>22</v>
      </c>
      <c r="AJ24" s="28" t="s">
        <v>17</v>
      </c>
      <c r="AK24" s="28" t="s">
        <v>17</v>
      </c>
      <c r="AL24" s="28" t="s">
        <v>22</v>
      </c>
      <c r="AM24" s="28" t="s">
        <v>11</v>
      </c>
      <c r="AN24" s="28" t="s">
        <v>17</v>
      </c>
      <c r="AO24" s="28" t="s">
        <v>17</v>
      </c>
      <c r="AP24" s="28" t="s">
        <v>11</v>
      </c>
      <c r="AQ24" s="28" t="s">
        <v>29</v>
      </c>
      <c r="AR24" s="28" t="s">
        <v>17</v>
      </c>
      <c r="AS24" s="28" t="s">
        <v>18</v>
      </c>
      <c r="AT24" s="28" t="s">
        <v>18</v>
      </c>
      <c r="AU24" s="28" t="s">
        <v>29</v>
      </c>
      <c r="AV24" s="28" t="s">
        <v>29</v>
      </c>
      <c r="AW24" s="28" t="s">
        <v>22</v>
      </c>
      <c r="AX24" s="28" t="s">
        <v>18</v>
      </c>
      <c r="AY24" s="28" t="s">
        <v>18</v>
      </c>
      <c r="AZ24" s="28" t="s">
        <v>18</v>
      </c>
      <c r="BA24" s="28" t="s">
        <v>18</v>
      </c>
      <c r="BB24" s="28" t="s">
        <v>29</v>
      </c>
      <c r="BC24" s="28" t="s">
        <v>22</v>
      </c>
      <c r="BD24" s="28" t="s">
        <v>17</v>
      </c>
      <c r="BE24" s="28" t="s">
        <v>17</v>
      </c>
      <c r="BF24" s="28" t="s">
        <v>18</v>
      </c>
      <c r="BG24" s="28" t="s">
        <v>18</v>
      </c>
      <c r="BH24" s="28" t="s">
        <v>17</v>
      </c>
      <c r="BI24" s="28" t="s">
        <v>17</v>
      </c>
      <c r="BJ24" s="28" t="s">
        <v>18</v>
      </c>
      <c r="BK24" s="28" t="s">
        <v>22</v>
      </c>
      <c r="BL24" s="28" t="s">
        <v>17</v>
      </c>
      <c r="BM24" s="28" t="s">
        <v>18</v>
      </c>
      <c r="BN24" s="28" t="s">
        <v>22</v>
      </c>
      <c r="BO24" s="28" t="s">
        <v>18</v>
      </c>
      <c r="BP24" s="28" t="s">
        <v>17</v>
      </c>
      <c r="BQ24" s="28" t="s">
        <v>17</v>
      </c>
      <c r="BR24" s="28" t="s">
        <v>22</v>
      </c>
      <c r="BS24" s="28" t="s">
        <v>18</v>
      </c>
    </row>
    <row r="25" spans="1:71" x14ac:dyDescent="0.3">
      <c r="A25" s="93"/>
      <c r="B25" s="93"/>
      <c r="C25" s="26">
        <v>44740.75</v>
      </c>
      <c r="D25" s="37">
        <f t="shared" si="14"/>
        <v>0.29166666666424135</v>
      </c>
      <c r="E25" s="38">
        <f t="shared" si="12"/>
        <v>7.2916666666642413</v>
      </c>
      <c r="F25" s="5">
        <f t="shared" si="13"/>
        <v>7.2916666666642413</v>
      </c>
      <c r="G25" s="1">
        <f t="shared" si="0"/>
        <v>0</v>
      </c>
      <c r="H25" s="1">
        <f t="shared" si="1"/>
        <v>0</v>
      </c>
      <c r="I25" s="1">
        <f t="shared" si="2"/>
        <v>0</v>
      </c>
      <c r="J25" s="1">
        <f t="shared" si="3"/>
        <v>0</v>
      </c>
      <c r="K25" s="1">
        <f t="shared" si="4"/>
        <v>2</v>
      </c>
      <c r="L25" s="1">
        <f t="shared" si="5"/>
        <v>0</v>
      </c>
      <c r="M25" s="1">
        <f t="shared" si="6"/>
        <v>0</v>
      </c>
      <c r="O25" s="1">
        <f t="shared" si="7"/>
        <v>18</v>
      </c>
      <c r="P25" s="1">
        <f t="shared" si="8"/>
        <v>15</v>
      </c>
      <c r="Q25" s="1">
        <f t="shared" si="9"/>
        <v>11</v>
      </c>
      <c r="R25" s="1">
        <f t="shared" si="10"/>
        <v>6</v>
      </c>
      <c r="S25" s="1">
        <f t="shared" si="11"/>
        <v>0</v>
      </c>
      <c r="T25" s="28" t="s">
        <v>17</v>
      </c>
      <c r="U25" s="28" t="s">
        <v>17</v>
      </c>
      <c r="V25" s="28" t="s">
        <v>18</v>
      </c>
      <c r="W25" s="28" t="s">
        <v>22</v>
      </c>
      <c r="X25" s="28" t="s">
        <v>17</v>
      </c>
      <c r="Y25" s="28" t="s">
        <v>18</v>
      </c>
      <c r="Z25" s="28" t="s">
        <v>22</v>
      </c>
      <c r="AA25" s="28" t="s">
        <v>29</v>
      </c>
      <c r="AB25" s="28" t="s">
        <v>17</v>
      </c>
      <c r="AC25" s="28" t="s">
        <v>18</v>
      </c>
      <c r="AD25" s="28" t="s">
        <v>29</v>
      </c>
      <c r="AE25" s="28" t="s">
        <v>22</v>
      </c>
      <c r="AF25" s="28" t="s">
        <v>17</v>
      </c>
      <c r="AG25" s="28" t="s">
        <v>17</v>
      </c>
      <c r="AH25" s="28" t="s">
        <v>22</v>
      </c>
      <c r="AI25" s="28" t="s">
        <v>22</v>
      </c>
      <c r="AJ25" s="28" t="s">
        <v>17</v>
      </c>
      <c r="AK25" s="28" t="s">
        <v>17</v>
      </c>
      <c r="AL25" s="28" t="s">
        <v>22</v>
      </c>
      <c r="AM25" s="28" t="s">
        <v>11</v>
      </c>
      <c r="AN25" s="28" t="s">
        <v>17</v>
      </c>
      <c r="AO25" s="28" t="s">
        <v>17</v>
      </c>
      <c r="AP25" s="28" t="s">
        <v>11</v>
      </c>
      <c r="AQ25" s="28" t="s">
        <v>29</v>
      </c>
      <c r="AR25" s="28" t="s">
        <v>17</v>
      </c>
      <c r="AS25" s="28" t="s">
        <v>18</v>
      </c>
      <c r="AT25" s="28" t="s">
        <v>18</v>
      </c>
      <c r="AU25" s="28" t="s">
        <v>29</v>
      </c>
      <c r="AV25" s="28" t="s">
        <v>29</v>
      </c>
      <c r="AW25" s="28" t="s">
        <v>22</v>
      </c>
      <c r="AX25" s="28" t="s">
        <v>18</v>
      </c>
      <c r="AY25" s="28" t="s">
        <v>18</v>
      </c>
      <c r="AZ25" s="28" t="s">
        <v>18</v>
      </c>
      <c r="BA25" s="28" t="s">
        <v>18</v>
      </c>
      <c r="BB25" s="28" t="s">
        <v>29</v>
      </c>
      <c r="BC25" s="28" t="s">
        <v>22</v>
      </c>
      <c r="BD25" s="28" t="s">
        <v>17</v>
      </c>
      <c r="BE25" s="28" t="s">
        <v>17</v>
      </c>
      <c r="BF25" s="28" t="s">
        <v>18</v>
      </c>
      <c r="BG25" s="28" t="s">
        <v>18</v>
      </c>
      <c r="BH25" s="28" t="s">
        <v>17</v>
      </c>
      <c r="BI25" s="28" t="s">
        <v>17</v>
      </c>
      <c r="BJ25" s="28" t="s">
        <v>18</v>
      </c>
      <c r="BK25" s="28" t="s">
        <v>22</v>
      </c>
      <c r="BL25" s="28" t="s">
        <v>17</v>
      </c>
      <c r="BM25" s="28" t="s">
        <v>18</v>
      </c>
      <c r="BN25" s="28" t="s">
        <v>22</v>
      </c>
      <c r="BO25" s="28" t="s">
        <v>18</v>
      </c>
      <c r="BP25" s="28" t="s">
        <v>17</v>
      </c>
      <c r="BQ25" s="28" t="s">
        <v>17</v>
      </c>
      <c r="BR25" s="28" t="s">
        <v>22</v>
      </c>
      <c r="BS25" s="28" t="s">
        <v>18</v>
      </c>
    </row>
    <row r="26" spans="1:71" x14ac:dyDescent="0.3">
      <c r="A26" s="93"/>
      <c r="B26" s="93"/>
      <c r="C26" s="26">
        <v>44740.958333333336</v>
      </c>
      <c r="D26" s="37">
        <f t="shared" si="14"/>
        <v>0.20833333333575865</v>
      </c>
      <c r="E26" s="38">
        <f t="shared" si="12"/>
        <v>7.5</v>
      </c>
      <c r="F26" s="5">
        <f t="shared" si="13"/>
        <v>7.5</v>
      </c>
      <c r="G26" s="1">
        <f t="shared" si="0"/>
        <v>0</v>
      </c>
      <c r="H26" s="1">
        <f t="shared" si="1"/>
        <v>0</v>
      </c>
      <c r="I26" s="1">
        <f t="shared" si="2"/>
        <v>0</v>
      </c>
      <c r="J26" s="1">
        <f t="shared" si="3"/>
        <v>0</v>
      </c>
      <c r="K26" s="1">
        <f t="shared" si="4"/>
        <v>2</v>
      </c>
      <c r="L26" s="1">
        <f t="shared" si="5"/>
        <v>0</v>
      </c>
      <c r="M26" s="1">
        <f t="shared" si="6"/>
        <v>0</v>
      </c>
      <c r="O26" s="1">
        <f t="shared" si="7"/>
        <v>18</v>
      </c>
      <c r="P26" s="1">
        <f t="shared" si="8"/>
        <v>15</v>
      </c>
      <c r="Q26" s="1">
        <f t="shared" si="9"/>
        <v>11</v>
      </c>
      <c r="R26" s="1">
        <f t="shared" si="10"/>
        <v>6</v>
      </c>
      <c r="S26" s="1">
        <f t="shared" si="11"/>
        <v>0</v>
      </c>
      <c r="T26" s="28" t="s">
        <v>17</v>
      </c>
      <c r="U26" s="28" t="s">
        <v>17</v>
      </c>
      <c r="V26" s="28" t="s">
        <v>18</v>
      </c>
      <c r="W26" s="28" t="s">
        <v>22</v>
      </c>
      <c r="X26" s="28" t="s">
        <v>17</v>
      </c>
      <c r="Y26" s="28" t="s">
        <v>18</v>
      </c>
      <c r="Z26" s="28" t="s">
        <v>22</v>
      </c>
      <c r="AA26" s="28" t="s">
        <v>29</v>
      </c>
      <c r="AB26" s="28" t="s">
        <v>17</v>
      </c>
      <c r="AC26" s="28" t="s">
        <v>18</v>
      </c>
      <c r="AD26" s="28" t="s">
        <v>29</v>
      </c>
      <c r="AE26" s="28" t="s">
        <v>22</v>
      </c>
      <c r="AF26" s="28" t="s">
        <v>17</v>
      </c>
      <c r="AG26" s="28" t="s">
        <v>17</v>
      </c>
      <c r="AH26" s="28" t="s">
        <v>22</v>
      </c>
      <c r="AI26" s="28" t="s">
        <v>22</v>
      </c>
      <c r="AJ26" s="28" t="s">
        <v>17</v>
      </c>
      <c r="AK26" s="28" t="s">
        <v>17</v>
      </c>
      <c r="AL26" s="28" t="s">
        <v>22</v>
      </c>
      <c r="AM26" s="28" t="s">
        <v>11</v>
      </c>
      <c r="AN26" s="28" t="s">
        <v>17</v>
      </c>
      <c r="AO26" s="28" t="s">
        <v>17</v>
      </c>
      <c r="AP26" s="28" t="s">
        <v>11</v>
      </c>
      <c r="AQ26" s="28" t="s">
        <v>29</v>
      </c>
      <c r="AR26" s="28" t="s">
        <v>17</v>
      </c>
      <c r="AS26" s="28" t="s">
        <v>18</v>
      </c>
      <c r="AT26" s="28" t="s">
        <v>18</v>
      </c>
      <c r="AU26" s="28" t="s">
        <v>29</v>
      </c>
      <c r="AV26" s="28" t="s">
        <v>29</v>
      </c>
      <c r="AW26" s="28" t="s">
        <v>22</v>
      </c>
      <c r="AX26" s="28" t="s">
        <v>18</v>
      </c>
      <c r="AY26" s="28" t="s">
        <v>18</v>
      </c>
      <c r="AZ26" s="28" t="s">
        <v>18</v>
      </c>
      <c r="BA26" s="28" t="s">
        <v>18</v>
      </c>
      <c r="BB26" s="28" t="s">
        <v>29</v>
      </c>
      <c r="BC26" s="28" t="s">
        <v>22</v>
      </c>
      <c r="BD26" s="28" t="s">
        <v>17</v>
      </c>
      <c r="BE26" s="28" t="s">
        <v>17</v>
      </c>
      <c r="BF26" s="28" t="s">
        <v>18</v>
      </c>
      <c r="BG26" s="28" t="s">
        <v>18</v>
      </c>
      <c r="BH26" s="28" t="s">
        <v>17</v>
      </c>
      <c r="BI26" s="28" t="s">
        <v>17</v>
      </c>
      <c r="BJ26" s="28" t="s">
        <v>18</v>
      </c>
      <c r="BK26" s="28" t="s">
        <v>22</v>
      </c>
      <c r="BL26" s="28" t="s">
        <v>17</v>
      </c>
      <c r="BM26" s="28" t="s">
        <v>18</v>
      </c>
      <c r="BN26" s="28" t="s">
        <v>22</v>
      </c>
      <c r="BO26" s="28" t="s">
        <v>18</v>
      </c>
      <c r="BP26" s="28" t="s">
        <v>17</v>
      </c>
      <c r="BQ26" s="28" t="s">
        <v>17</v>
      </c>
      <c r="BR26" s="28" t="s">
        <v>22</v>
      </c>
      <c r="BS26" s="28" t="s">
        <v>18</v>
      </c>
    </row>
    <row r="27" spans="1:71" x14ac:dyDescent="0.3">
      <c r="A27" s="93">
        <f t="shared" ref="A27:B27" si="21">A24+1</f>
        <v>180</v>
      </c>
      <c r="B27" s="93">
        <f t="shared" si="21"/>
        <v>9</v>
      </c>
      <c r="C27" s="26">
        <v>44741.458333333336</v>
      </c>
      <c r="D27" s="37">
        <f t="shared" si="14"/>
        <v>0.5</v>
      </c>
      <c r="E27" s="38">
        <f t="shared" si="12"/>
        <v>8</v>
      </c>
      <c r="F27" s="5">
        <f t="shared" si="13"/>
        <v>8</v>
      </c>
      <c r="G27" s="1">
        <f t="shared" si="0"/>
        <v>0</v>
      </c>
      <c r="H27" s="1">
        <f t="shared" si="1"/>
        <v>0</v>
      </c>
      <c r="I27" s="1">
        <f t="shared" si="2"/>
        <v>0</v>
      </c>
      <c r="J27" s="1">
        <f t="shared" si="3"/>
        <v>0</v>
      </c>
      <c r="K27" s="1">
        <f t="shared" si="4"/>
        <v>2</v>
      </c>
      <c r="L27" s="1">
        <f t="shared" si="5"/>
        <v>0</v>
      </c>
      <c r="M27" s="1">
        <f t="shared" si="6"/>
        <v>0</v>
      </c>
      <c r="O27" s="1">
        <f t="shared" si="7"/>
        <v>18</v>
      </c>
      <c r="P27" s="1">
        <f t="shared" si="8"/>
        <v>15</v>
      </c>
      <c r="Q27" s="1">
        <f t="shared" si="9"/>
        <v>11</v>
      </c>
      <c r="R27" s="1">
        <f t="shared" si="10"/>
        <v>6</v>
      </c>
      <c r="S27" s="1">
        <f t="shared" si="11"/>
        <v>0</v>
      </c>
      <c r="T27" s="28" t="s">
        <v>17</v>
      </c>
      <c r="U27" s="28" t="s">
        <v>17</v>
      </c>
      <c r="V27" s="28" t="s">
        <v>18</v>
      </c>
      <c r="W27" s="28" t="s">
        <v>22</v>
      </c>
      <c r="X27" s="28" t="s">
        <v>17</v>
      </c>
      <c r="Y27" s="28" t="s">
        <v>18</v>
      </c>
      <c r="Z27" s="28" t="s">
        <v>22</v>
      </c>
      <c r="AA27" s="28" t="s">
        <v>29</v>
      </c>
      <c r="AB27" s="28" t="s">
        <v>17</v>
      </c>
      <c r="AC27" s="28" t="s">
        <v>18</v>
      </c>
      <c r="AD27" s="28" t="s">
        <v>29</v>
      </c>
      <c r="AE27" s="28" t="s">
        <v>22</v>
      </c>
      <c r="AF27" s="28" t="s">
        <v>17</v>
      </c>
      <c r="AG27" s="28" t="s">
        <v>17</v>
      </c>
      <c r="AH27" s="28" t="s">
        <v>22</v>
      </c>
      <c r="AI27" s="28" t="s">
        <v>22</v>
      </c>
      <c r="AJ27" s="28" t="s">
        <v>17</v>
      </c>
      <c r="AK27" s="28" t="s">
        <v>17</v>
      </c>
      <c r="AL27" s="28" t="s">
        <v>22</v>
      </c>
      <c r="AM27" s="28" t="s">
        <v>11</v>
      </c>
      <c r="AN27" s="28" t="s">
        <v>17</v>
      </c>
      <c r="AO27" s="28" t="s">
        <v>17</v>
      </c>
      <c r="AP27" s="28" t="s">
        <v>11</v>
      </c>
      <c r="AQ27" s="28" t="s">
        <v>29</v>
      </c>
      <c r="AR27" s="28" t="s">
        <v>17</v>
      </c>
      <c r="AS27" s="28" t="s">
        <v>18</v>
      </c>
      <c r="AT27" s="28" t="s">
        <v>18</v>
      </c>
      <c r="AU27" s="28" t="s">
        <v>29</v>
      </c>
      <c r="AV27" s="28" t="s">
        <v>29</v>
      </c>
      <c r="AW27" s="28" t="s">
        <v>22</v>
      </c>
      <c r="AX27" s="28" t="s">
        <v>18</v>
      </c>
      <c r="AY27" s="28" t="s">
        <v>18</v>
      </c>
      <c r="AZ27" s="28" t="s">
        <v>18</v>
      </c>
      <c r="BA27" s="28" t="s">
        <v>18</v>
      </c>
      <c r="BB27" s="28" t="s">
        <v>29</v>
      </c>
      <c r="BC27" s="28" t="s">
        <v>22</v>
      </c>
      <c r="BD27" s="28" t="s">
        <v>17</v>
      </c>
      <c r="BE27" s="28" t="s">
        <v>17</v>
      </c>
      <c r="BF27" s="28" t="s">
        <v>18</v>
      </c>
      <c r="BG27" s="28" t="s">
        <v>18</v>
      </c>
      <c r="BH27" s="28" t="s">
        <v>17</v>
      </c>
      <c r="BI27" s="28" t="s">
        <v>17</v>
      </c>
      <c r="BJ27" s="28" t="s">
        <v>18</v>
      </c>
      <c r="BK27" s="28" t="s">
        <v>22</v>
      </c>
      <c r="BL27" s="28" t="s">
        <v>17</v>
      </c>
      <c r="BM27" s="28" t="s">
        <v>18</v>
      </c>
      <c r="BN27" s="28" t="s">
        <v>22</v>
      </c>
      <c r="BO27" s="28" t="s">
        <v>18</v>
      </c>
      <c r="BP27" s="28" t="s">
        <v>17</v>
      </c>
      <c r="BQ27" s="28" t="s">
        <v>17</v>
      </c>
      <c r="BR27" s="28" t="s">
        <v>22</v>
      </c>
      <c r="BS27" s="28" t="s">
        <v>18</v>
      </c>
    </row>
    <row r="28" spans="1:71" x14ac:dyDescent="0.3">
      <c r="A28" s="93"/>
      <c r="B28" s="93"/>
      <c r="C28" s="26">
        <v>44741.75</v>
      </c>
      <c r="D28" s="37">
        <f t="shared" si="14"/>
        <v>0.29166666666424135</v>
      </c>
      <c r="E28" s="38">
        <f t="shared" si="12"/>
        <v>8.2916666666642413</v>
      </c>
      <c r="F28" s="5">
        <f t="shared" si="13"/>
        <v>8.2916666666642413</v>
      </c>
      <c r="G28" s="1">
        <f t="shared" si="0"/>
        <v>0</v>
      </c>
      <c r="H28" s="1">
        <f t="shared" si="1"/>
        <v>0</v>
      </c>
      <c r="I28" s="1">
        <f t="shared" si="2"/>
        <v>0</v>
      </c>
      <c r="J28" s="1">
        <f t="shared" si="3"/>
        <v>0</v>
      </c>
      <c r="K28" s="1">
        <f t="shared" si="4"/>
        <v>2</v>
      </c>
      <c r="L28" s="1">
        <f t="shared" si="5"/>
        <v>0</v>
      </c>
      <c r="M28" s="1">
        <f t="shared" si="6"/>
        <v>0</v>
      </c>
      <c r="O28" s="1">
        <f t="shared" si="7"/>
        <v>18</v>
      </c>
      <c r="P28" s="1">
        <f t="shared" si="8"/>
        <v>15</v>
      </c>
      <c r="Q28" s="1">
        <f t="shared" si="9"/>
        <v>11</v>
      </c>
      <c r="R28" s="1">
        <f t="shared" si="10"/>
        <v>6</v>
      </c>
      <c r="S28" s="1">
        <f t="shared" si="11"/>
        <v>0</v>
      </c>
      <c r="T28" s="28" t="s">
        <v>17</v>
      </c>
      <c r="U28" s="28" t="s">
        <v>17</v>
      </c>
      <c r="V28" s="28" t="s">
        <v>18</v>
      </c>
      <c r="W28" s="28" t="s">
        <v>22</v>
      </c>
      <c r="X28" s="28" t="s">
        <v>17</v>
      </c>
      <c r="Y28" s="28" t="s">
        <v>18</v>
      </c>
      <c r="Z28" s="28" t="s">
        <v>22</v>
      </c>
      <c r="AA28" s="28" t="s">
        <v>29</v>
      </c>
      <c r="AB28" s="28" t="s">
        <v>17</v>
      </c>
      <c r="AC28" s="28" t="s">
        <v>18</v>
      </c>
      <c r="AD28" s="28" t="s">
        <v>29</v>
      </c>
      <c r="AE28" s="28" t="s">
        <v>22</v>
      </c>
      <c r="AF28" s="28" t="s">
        <v>17</v>
      </c>
      <c r="AG28" s="28" t="s">
        <v>17</v>
      </c>
      <c r="AH28" s="28" t="s">
        <v>22</v>
      </c>
      <c r="AI28" s="28" t="s">
        <v>22</v>
      </c>
      <c r="AJ28" s="28" t="s">
        <v>17</v>
      </c>
      <c r="AK28" s="28" t="s">
        <v>17</v>
      </c>
      <c r="AL28" s="28" t="s">
        <v>22</v>
      </c>
      <c r="AM28" s="28" t="s">
        <v>11</v>
      </c>
      <c r="AN28" s="28" t="s">
        <v>17</v>
      </c>
      <c r="AO28" s="28" t="s">
        <v>17</v>
      </c>
      <c r="AP28" s="28" t="s">
        <v>11</v>
      </c>
      <c r="AQ28" s="28" t="s">
        <v>29</v>
      </c>
      <c r="AR28" s="28" t="s">
        <v>17</v>
      </c>
      <c r="AS28" s="28" t="s">
        <v>18</v>
      </c>
      <c r="AT28" s="28" t="s">
        <v>18</v>
      </c>
      <c r="AU28" s="28" t="s">
        <v>29</v>
      </c>
      <c r="AV28" s="28" t="s">
        <v>29</v>
      </c>
      <c r="AW28" s="28" t="s">
        <v>22</v>
      </c>
      <c r="AX28" s="28" t="s">
        <v>18</v>
      </c>
      <c r="AY28" s="28" t="s">
        <v>18</v>
      </c>
      <c r="AZ28" s="28" t="s">
        <v>18</v>
      </c>
      <c r="BA28" s="28" t="s">
        <v>18</v>
      </c>
      <c r="BB28" s="28" t="s">
        <v>29</v>
      </c>
      <c r="BC28" s="28" t="s">
        <v>22</v>
      </c>
      <c r="BD28" s="28" t="s">
        <v>17</v>
      </c>
      <c r="BE28" s="28" t="s">
        <v>17</v>
      </c>
      <c r="BF28" s="28" t="s">
        <v>18</v>
      </c>
      <c r="BG28" s="28" t="s">
        <v>18</v>
      </c>
      <c r="BH28" s="28" t="s">
        <v>17</v>
      </c>
      <c r="BI28" s="28" t="s">
        <v>17</v>
      </c>
      <c r="BJ28" s="28" t="s">
        <v>18</v>
      </c>
      <c r="BK28" s="28" t="s">
        <v>22</v>
      </c>
      <c r="BL28" s="28" t="s">
        <v>17</v>
      </c>
      <c r="BM28" s="28" t="s">
        <v>18</v>
      </c>
      <c r="BN28" s="28" t="s">
        <v>22</v>
      </c>
      <c r="BO28" s="28" t="s">
        <v>18</v>
      </c>
      <c r="BP28" s="28" t="s">
        <v>17</v>
      </c>
      <c r="BQ28" s="28" t="s">
        <v>17</v>
      </c>
      <c r="BR28" s="28" t="s">
        <v>22</v>
      </c>
      <c r="BS28" s="28" t="s">
        <v>18</v>
      </c>
    </row>
    <row r="29" spans="1:71" x14ac:dyDescent="0.3">
      <c r="A29" s="93"/>
      <c r="B29" s="93"/>
      <c r="C29" s="26">
        <v>44741.958333333336</v>
      </c>
      <c r="D29" s="37">
        <f t="shared" si="14"/>
        <v>0.20833333333575865</v>
      </c>
      <c r="E29" s="38">
        <f t="shared" si="12"/>
        <v>8.5</v>
      </c>
      <c r="F29" s="5">
        <f t="shared" si="13"/>
        <v>8.5</v>
      </c>
      <c r="G29" s="1">
        <f t="shared" si="0"/>
        <v>0</v>
      </c>
      <c r="H29" s="1">
        <f t="shared" si="1"/>
        <v>0</v>
      </c>
      <c r="I29" s="1">
        <f t="shared" si="2"/>
        <v>0</v>
      </c>
      <c r="J29" s="1">
        <f t="shared" si="3"/>
        <v>0</v>
      </c>
      <c r="K29" s="1">
        <f t="shared" si="4"/>
        <v>2</v>
      </c>
      <c r="L29" s="1">
        <f t="shared" si="5"/>
        <v>0</v>
      </c>
      <c r="M29" s="1">
        <f t="shared" si="6"/>
        <v>0</v>
      </c>
      <c r="O29" s="1">
        <f t="shared" si="7"/>
        <v>18</v>
      </c>
      <c r="P29" s="1">
        <f t="shared" si="8"/>
        <v>15</v>
      </c>
      <c r="Q29" s="1">
        <f t="shared" si="9"/>
        <v>11</v>
      </c>
      <c r="R29" s="1">
        <f t="shared" si="10"/>
        <v>6</v>
      </c>
      <c r="S29" s="1">
        <f t="shared" si="11"/>
        <v>0</v>
      </c>
      <c r="T29" s="28" t="s">
        <v>17</v>
      </c>
      <c r="U29" s="28" t="s">
        <v>17</v>
      </c>
      <c r="V29" s="28" t="s">
        <v>18</v>
      </c>
      <c r="W29" s="28" t="s">
        <v>22</v>
      </c>
      <c r="X29" s="28" t="s">
        <v>17</v>
      </c>
      <c r="Y29" s="28" t="s">
        <v>18</v>
      </c>
      <c r="Z29" s="28" t="s">
        <v>22</v>
      </c>
      <c r="AA29" s="28" t="s">
        <v>29</v>
      </c>
      <c r="AB29" s="28" t="s">
        <v>17</v>
      </c>
      <c r="AC29" s="28" t="s">
        <v>18</v>
      </c>
      <c r="AD29" s="28" t="s">
        <v>29</v>
      </c>
      <c r="AE29" s="28" t="s">
        <v>22</v>
      </c>
      <c r="AF29" s="28" t="s">
        <v>17</v>
      </c>
      <c r="AG29" s="28" t="s">
        <v>17</v>
      </c>
      <c r="AH29" s="28" t="s">
        <v>22</v>
      </c>
      <c r="AI29" s="28" t="s">
        <v>22</v>
      </c>
      <c r="AJ29" s="28" t="s">
        <v>17</v>
      </c>
      <c r="AK29" s="28" t="s">
        <v>17</v>
      </c>
      <c r="AL29" s="28" t="s">
        <v>22</v>
      </c>
      <c r="AM29" s="28" t="s">
        <v>11</v>
      </c>
      <c r="AN29" s="28" t="s">
        <v>17</v>
      </c>
      <c r="AO29" s="28" t="s">
        <v>17</v>
      </c>
      <c r="AP29" s="28" t="s">
        <v>11</v>
      </c>
      <c r="AQ29" s="28" t="s">
        <v>29</v>
      </c>
      <c r="AR29" s="28" t="s">
        <v>17</v>
      </c>
      <c r="AS29" s="28" t="s">
        <v>18</v>
      </c>
      <c r="AT29" s="28" t="s">
        <v>18</v>
      </c>
      <c r="AU29" s="28" t="s">
        <v>29</v>
      </c>
      <c r="AV29" s="28" t="s">
        <v>29</v>
      </c>
      <c r="AW29" s="28" t="s">
        <v>22</v>
      </c>
      <c r="AX29" s="28" t="s">
        <v>18</v>
      </c>
      <c r="AY29" s="28" t="s">
        <v>18</v>
      </c>
      <c r="AZ29" s="28" t="s">
        <v>18</v>
      </c>
      <c r="BA29" s="28" t="s">
        <v>18</v>
      </c>
      <c r="BB29" s="28" t="s">
        <v>29</v>
      </c>
      <c r="BC29" s="28" t="s">
        <v>22</v>
      </c>
      <c r="BD29" s="28" t="s">
        <v>17</v>
      </c>
      <c r="BE29" s="28" t="s">
        <v>17</v>
      </c>
      <c r="BF29" s="28" t="s">
        <v>18</v>
      </c>
      <c r="BG29" s="28" t="s">
        <v>18</v>
      </c>
      <c r="BH29" s="28" t="s">
        <v>17</v>
      </c>
      <c r="BI29" s="28" t="s">
        <v>17</v>
      </c>
      <c r="BJ29" s="28" t="s">
        <v>18</v>
      </c>
      <c r="BK29" s="28" t="s">
        <v>22</v>
      </c>
      <c r="BL29" s="28" t="s">
        <v>17</v>
      </c>
      <c r="BM29" s="28" t="s">
        <v>18</v>
      </c>
      <c r="BN29" s="28" t="s">
        <v>22</v>
      </c>
      <c r="BO29" s="28" t="s">
        <v>18</v>
      </c>
      <c r="BP29" s="28" t="s">
        <v>17</v>
      </c>
      <c r="BQ29" s="28" t="s">
        <v>17</v>
      </c>
      <c r="BR29" s="28" t="s">
        <v>22</v>
      </c>
      <c r="BS29" s="28" t="s">
        <v>18</v>
      </c>
    </row>
    <row r="30" spans="1:71" x14ac:dyDescent="0.3">
      <c r="A30" s="93">
        <f t="shared" ref="A30:B30" si="22">A27+1</f>
        <v>181</v>
      </c>
      <c r="B30" s="93">
        <f t="shared" si="22"/>
        <v>10</v>
      </c>
      <c r="C30" s="26">
        <v>44742.458333333336</v>
      </c>
      <c r="D30" s="37">
        <f t="shared" si="14"/>
        <v>0.5</v>
      </c>
      <c r="E30" s="38">
        <f t="shared" si="12"/>
        <v>9</v>
      </c>
      <c r="F30" s="5">
        <f t="shared" si="13"/>
        <v>9</v>
      </c>
      <c r="G30" s="1">
        <f t="shared" si="0"/>
        <v>0</v>
      </c>
      <c r="H30" s="1">
        <f t="shared" si="1"/>
        <v>0</v>
      </c>
      <c r="I30" s="1">
        <f t="shared" si="2"/>
        <v>0</v>
      </c>
      <c r="J30" s="1">
        <f t="shared" si="3"/>
        <v>0</v>
      </c>
      <c r="K30" s="1">
        <f t="shared" si="4"/>
        <v>2</v>
      </c>
      <c r="L30" s="1">
        <f t="shared" si="5"/>
        <v>0</v>
      </c>
      <c r="M30" s="1">
        <f t="shared" si="6"/>
        <v>0</v>
      </c>
      <c r="O30" s="1">
        <f t="shared" si="7"/>
        <v>18</v>
      </c>
      <c r="P30" s="1">
        <f t="shared" si="8"/>
        <v>15</v>
      </c>
      <c r="Q30" s="1">
        <f t="shared" si="9"/>
        <v>11</v>
      </c>
      <c r="R30" s="1">
        <f t="shared" si="10"/>
        <v>6</v>
      </c>
      <c r="S30" s="1">
        <f t="shared" si="11"/>
        <v>0</v>
      </c>
      <c r="T30" s="28" t="s">
        <v>17</v>
      </c>
      <c r="U30" s="28" t="s">
        <v>17</v>
      </c>
      <c r="V30" s="28" t="s">
        <v>18</v>
      </c>
      <c r="W30" s="28" t="s">
        <v>22</v>
      </c>
      <c r="X30" s="28" t="s">
        <v>17</v>
      </c>
      <c r="Y30" s="28" t="s">
        <v>18</v>
      </c>
      <c r="Z30" s="28" t="s">
        <v>22</v>
      </c>
      <c r="AA30" s="28" t="s">
        <v>29</v>
      </c>
      <c r="AB30" s="28" t="s">
        <v>17</v>
      </c>
      <c r="AC30" s="28" t="s">
        <v>18</v>
      </c>
      <c r="AD30" s="28" t="s">
        <v>29</v>
      </c>
      <c r="AE30" s="28" t="s">
        <v>22</v>
      </c>
      <c r="AF30" s="28" t="s">
        <v>17</v>
      </c>
      <c r="AG30" s="28" t="s">
        <v>17</v>
      </c>
      <c r="AH30" s="28" t="s">
        <v>22</v>
      </c>
      <c r="AI30" s="28" t="s">
        <v>22</v>
      </c>
      <c r="AJ30" s="28" t="s">
        <v>17</v>
      </c>
      <c r="AK30" s="28" t="s">
        <v>17</v>
      </c>
      <c r="AL30" s="28" t="s">
        <v>22</v>
      </c>
      <c r="AM30" s="28" t="s">
        <v>11</v>
      </c>
      <c r="AN30" s="28" t="s">
        <v>17</v>
      </c>
      <c r="AO30" s="28" t="s">
        <v>17</v>
      </c>
      <c r="AP30" s="28" t="s">
        <v>11</v>
      </c>
      <c r="AQ30" s="28" t="s">
        <v>29</v>
      </c>
      <c r="AR30" s="28" t="s">
        <v>17</v>
      </c>
      <c r="AS30" s="28" t="s">
        <v>18</v>
      </c>
      <c r="AT30" s="28" t="s">
        <v>18</v>
      </c>
      <c r="AU30" s="28" t="s">
        <v>29</v>
      </c>
      <c r="AV30" s="28" t="s">
        <v>29</v>
      </c>
      <c r="AW30" s="28" t="s">
        <v>22</v>
      </c>
      <c r="AX30" s="28" t="s">
        <v>18</v>
      </c>
      <c r="AY30" s="28" t="s">
        <v>18</v>
      </c>
      <c r="AZ30" s="28" t="s">
        <v>18</v>
      </c>
      <c r="BA30" s="28" t="s">
        <v>18</v>
      </c>
      <c r="BB30" s="28" t="s">
        <v>29</v>
      </c>
      <c r="BC30" s="28" t="s">
        <v>22</v>
      </c>
      <c r="BD30" s="28" t="s">
        <v>17</v>
      </c>
      <c r="BE30" s="28" t="s">
        <v>17</v>
      </c>
      <c r="BF30" s="28" t="s">
        <v>18</v>
      </c>
      <c r="BG30" s="28" t="s">
        <v>18</v>
      </c>
      <c r="BH30" s="28" t="s">
        <v>17</v>
      </c>
      <c r="BI30" s="28" t="s">
        <v>17</v>
      </c>
      <c r="BJ30" s="28" t="s">
        <v>18</v>
      </c>
      <c r="BK30" s="28" t="s">
        <v>22</v>
      </c>
      <c r="BL30" s="28" t="s">
        <v>17</v>
      </c>
      <c r="BM30" s="28" t="s">
        <v>18</v>
      </c>
      <c r="BN30" s="28" t="s">
        <v>22</v>
      </c>
      <c r="BO30" s="28" t="s">
        <v>18</v>
      </c>
      <c r="BP30" s="28" t="s">
        <v>17</v>
      </c>
      <c r="BQ30" s="28" t="s">
        <v>17</v>
      </c>
      <c r="BR30" s="28" t="s">
        <v>22</v>
      </c>
      <c r="BS30" s="28" t="s">
        <v>18</v>
      </c>
    </row>
    <row r="31" spans="1:71" x14ac:dyDescent="0.3">
      <c r="A31" s="93"/>
      <c r="B31" s="93"/>
      <c r="C31" s="26">
        <v>44742.75</v>
      </c>
      <c r="D31" s="37">
        <f t="shared" si="14"/>
        <v>0.29166666666424135</v>
      </c>
      <c r="E31" s="38">
        <f t="shared" si="12"/>
        <v>9.2916666666642413</v>
      </c>
      <c r="F31" s="5">
        <f t="shared" si="13"/>
        <v>9.2916666666642413</v>
      </c>
      <c r="G31" s="1">
        <f t="shared" si="0"/>
        <v>0</v>
      </c>
      <c r="H31" s="1">
        <f t="shared" si="1"/>
        <v>0</v>
      </c>
      <c r="I31" s="1">
        <f t="shared" si="2"/>
        <v>0</v>
      </c>
      <c r="J31" s="1">
        <f t="shared" si="3"/>
        <v>0</v>
      </c>
      <c r="K31" s="1">
        <f t="shared" si="4"/>
        <v>2</v>
      </c>
      <c r="L31" s="1">
        <f t="shared" si="5"/>
        <v>0</v>
      </c>
      <c r="M31" s="1">
        <f t="shared" si="6"/>
        <v>0</v>
      </c>
      <c r="O31" s="1">
        <f t="shared" si="7"/>
        <v>18</v>
      </c>
      <c r="P31" s="1">
        <f t="shared" si="8"/>
        <v>15</v>
      </c>
      <c r="Q31" s="1">
        <f t="shared" si="9"/>
        <v>11</v>
      </c>
      <c r="R31" s="1">
        <f t="shared" si="10"/>
        <v>6</v>
      </c>
      <c r="S31" s="1">
        <f t="shared" si="11"/>
        <v>0</v>
      </c>
      <c r="T31" s="28" t="s">
        <v>17</v>
      </c>
      <c r="U31" s="28" t="s">
        <v>17</v>
      </c>
      <c r="V31" s="28" t="s">
        <v>18</v>
      </c>
      <c r="W31" s="28" t="s">
        <v>22</v>
      </c>
      <c r="X31" s="28" t="s">
        <v>17</v>
      </c>
      <c r="Y31" s="28" t="s">
        <v>18</v>
      </c>
      <c r="Z31" s="28" t="s">
        <v>22</v>
      </c>
      <c r="AA31" s="28" t="s">
        <v>29</v>
      </c>
      <c r="AB31" s="28" t="s">
        <v>17</v>
      </c>
      <c r="AC31" s="28" t="s">
        <v>18</v>
      </c>
      <c r="AD31" s="28" t="s">
        <v>29</v>
      </c>
      <c r="AE31" s="28" t="s">
        <v>22</v>
      </c>
      <c r="AF31" s="28" t="s">
        <v>17</v>
      </c>
      <c r="AG31" s="28" t="s">
        <v>17</v>
      </c>
      <c r="AH31" s="28" t="s">
        <v>22</v>
      </c>
      <c r="AI31" s="28" t="s">
        <v>22</v>
      </c>
      <c r="AJ31" s="28" t="s">
        <v>17</v>
      </c>
      <c r="AK31" s="28" t="s">
        <v>17</v>
      </c>
      <c r="AL31" s="28" t="s">
        <v>22</v>
      </c>
      <c r="AM31" s="28" t="s">
        <v>11</v>
      </c>
      <c r="AN31" s="28" t="s">
        <v>17</v>
      </c>
      <c r="AO31" s="28" t="s">
        <v>17</v>
      </c>
      <c r="AP31" s="28" t="s">
        <v>11</v>
      </c>
      <c r="AQ31" s="28" t="s">
        <v>29</v>
      </c>
      <c r="AR31" s="28" t="s">
        <v>17</v>
      </c>
      <c r="AS31" s="28" t="s">
        <v>18</v>
      </c>
      <c r="AT31" s="28" t="s">
        <v>18</v>
      </c>
      <c r="AU31" s="28" t="s">
        <v>29</v>
      </c>
      <c r="AV31" s="28" t="s">
        <v>29</v>
      </c>
      <c r="AW31" s="28" t="s">
        <v>22</v>
      </c>
      <c r="AX31" s="28" t="s">
        <v>18</v>
      </c>
      <c r="AY31" s="28" t="s">
        <v>18</v>
      </c>
      <c r="AZ31" s="28" t="s">
        <v>18</v>
      </c>
      <c r="BA31" s="28" t="s">
        <v>18</v>
      </c>
      <c r="BB31" s="28" t="s">
        <v>29</v>
      </c>
      <c r="BC31" s="28" t="s">
        <v>22</v>
      </c>
      <c r="BD31" s="28" t="s">
        <v>17</v>
      </c>
      <c r="BE31" s="28" t="s">
        <v>17</v>
      </c>
      <c r="BF31" s="28" t="s">
        <v>18</v>
      </c>
      <c r="BG31" s="28" t="s">
        <v>18</v>
      </c>
      <c r="BH31" s="28" t="s">
        <v>17</v>
      </c>
      <c r="BI31" s="28" t="s">
        <v>17</v>
      </c>
      <c r="BJ31" s="28" t="s">
        <v>18</v>
      </c>
      <c r="BK31" s="28" t="s">
        <v>22</v>
      </c>
      <c r="BL31" s="28" t="s">
        <v>17</v>
      </c>
      <c r="BM31" s="28" t="s">
        <v>18</v>
      </c>
      <c r="BN31" s="28" t="s">
        <v>22</v>
      </c>
      <c r="BO31" s="28" t="s">
        <v>18</v>
      </c>
      <c r="BP31" s="28" t="s">
        <v>17</v>
      </c>
      <c r="BQ31" s="28" t="s">
        <v>17</v>
      </c>
      <c r="BR31" s="28" t="s">
        <v>22</v>
      </c>
      <c r="BS31" s="28" t="s">
        <v>18</v>
      </c>
    </row>
    <row r="32" spans="1:71" x14ac:dyDescent="0.3">
      <c r="A32" s="93"/>
      <c r="B32" s="93"/>
      <c r="C32" s="26">
        <v>44742.958333333336</v>
      </c>
      <c r="D32" s="37">
        <f t="shared" si="14"/>
        <v>0.20833333333575865</v>
      </c>
      <c r="E32" s="38">
        <f t="shared" si="12"/>
        <v>9.5</v>
      </c>
      <c r="F32" s="5">
        <f t="shared" si="13"/>
        <v>9.5</v>
      </c>
      <c r="G32" s="1">
        <f t="shared" si="0"/>
        <v>0</v>
      </c>
      <c r="H32" s="1">
        <f t="shared" si="1"/>
        <v>0</v>
      </c>
      <c r="I32" s="1">
        <f t="shared" si="2"/>
        <v>0</v>
      </c>
      <c r="J32" s="1">
        <f t="shared" si="3"/>
        <v>0</v>
      </c>
      <c r="K32" s="1">
        <f t="shared" si="4"/>
        <v>2</v>
      </c>
      <c r="L32" s="1">
        <f t="shared" si="5"/>
        <v>0</v>
      </c>
      <c r="M32" s="1">
        <f t="shared" si="6"/>
        <v>0</v>
      </c>
      <c r="O32" s="1">
        <f t="shared" si="7"/>
        <v>18</v>
      </c>
      <c r="P32" s="1">
        <f t="shared" si="8"/>
        <v>15</v>
      </c>
      <c r="Q32" s="1">
        <f t="shared" si="9"/>
        <v>11</v>
      </c>
      <c r="R32" s="1">
        <f t="shared" si="10"/>
        <v>6</v>
      </c>
      <c r="S32" s="1">
        <f t="shared" si="11"/>
        <v>0</v>
      </c>
      <c r="T32" s="28" t="s">
        <v>17</v>
      </c>
      <c r="U32" s="28" t="s">
        <v>17</v>
      </c>
      <c r="V32" s="28" t="s">
        <v>18</v>
      </c>
      <c r="W32" s="28" t="s">
        <v>22</v>
      </c>
      <c r="X32" s="28" t="s">
        <v>17</v>
      </c>
      <c r="Y32" s="28" t="s">
        <v>18</v>
      </c>
      <c r="Z32" s="28" t="s">
        <v>22</v>
      </c>
      <c r="AA32" s="28" t="s">
        <v>29</v>
      </c>
      <c r="AB32" s="28" t="s">
        <v>17</v>
      </c>
      <c r="AC32" s="28" t="s">
        <v>18</v>
      </c>
      <c r="AD32" s="28" t="s">
        <v>29</v>
      </c>
      <c r="AE32" s="28" t="s">
        <v>22</v>
      </c>
      <c r="AF32" s="28" t="s">
        <v>17</v>
      </c>
      <c r="AG32" s="28" t="s">
        <v>17</v>
      </c>
      <c r="AH32" s="28" t="s">
        <v>22</v>
      </c>
      <c r="AI32" s="28" t="s">
        <v>22</v>
      </c>
      <c r="AJ32" s="28" t="s">
        <v>17</v>
      </c>
      <c r="AK32" s="28" t="s">
        <v>17</v>
      </c>
      <c r="AL32" s="28" t="s">
        <v>22</v>
      </c>
      <c r="AM32" s="28" t="s">
        <v>11</v>
      </c>
      <c r="AN32" s="28" t="s">
        <v>17</v>
      </c>
      <c r="AO32" s="28" t="s">
        <v>17</v>
      </c>
      <c r="AP32" s="28" t="s">
        <v>11</v>
      </c>
      <c r="AQ32" s="28" t="s">
        <v>29</v>
      </c>
      <c r="AR32" s="28" t="s">
        <v>17</v>
      </c>
      <c r="AS32" s="28" t="s">
        <v>18</v>
      </c>
      <c r="AT32" s="28" t="s">
        <v>18</v>
      </c>
      <c r="AU32" s="28" t="s">
        <v>29</v>
      </c>
      <c r="AV32" s="28" t="s">
        <v>29</v>
      </c>
      <c r="AW32" s="28" t="s">
        <v>22</v>
      </c>
      <c r="AX32" s="28" t="s">
        <v>18</v>
      </c>
      <c r="AY32" s="28" t="s">
        <v>18</v>
      </c>
      <c r="AZ32" s="28" t="s">
        <v>18</v>
      </c>
      <c r="BA32" s="28" t="s">
        <v>18</v>
      </c>
      <c r="BB32" s="28" t="s">
        <v>29</v>
      </c>
      <c r="BC32" s="28" t="s">
        <v>22</v>
      </c>
      <c r="BD32" s="28" t="s">
        <v>17</v>
      </c>
      <c r="BE32" s="28" t="s">
        <v>17</v>
      </c>
      <c r="BF32" s="28" t="s">
        <v>18</v>
      </c>
      <c r="BG32" s="28" t="s">
        <v>18</v>
      </c>
      <c r="BH32" s="28" t="s">
        <v>17</v>
      </c>
      <c r="BI32" s="28" t="s">
        <v>17</v>
      </c>
      <c r="BJ32" s="28" t="s">
        <v>18</v>
      </c>
      <c r="BK32" s="28" t="s">
        <v>22</v>
      </c>
      <c r="BL32" s="28" t="s">
        <v>17</v>
      </c>
      <c r="BM32" s="28" t="s">
        <v>18</v>
      </c>
      <c r="BN32" s="28" t="s">
        <v>22</v>
      </c>
      <c r="BO32" s="28" t="s">
        <v>18</v>
      </c>
      <c r="BP32" s="28" t="s">
        <v>17</v>
      </c>
      <c r="BQ32" s="28" t="s">
        <v>17</v>
      </c>
      <c r="BR32" s="28" t="s">
        <v>22</v>
      </c>
      <c r="BS32" s="28" t="s">
        <v>18</v>
      </c>
    </row>
    <row r="33" spans="1:71" x14ac:dyDescent="0.3">
      <c r="A33" s="93">
        <f t="shared" ref="A33:B33" si="23">A30+1</f>
        <v>182</v>
      </c>
      <c r="B33" s="93">
        <f t="shared" si="23"/>
        <v>11</v>
      </c>
      <c r="C33" s="26">
        <v>44743.458333333336</v>
      </c>
      <c r="D33" s="37">
        <f t="shared" si="14"/>
        <v>0.5</v>
      </c>
      <c r="E33" s="38">
        <f t="shared" si="12"/>
        <v>10</v>
      </c>
      <c r="F33" s="5">
        <f t="shared" si="13"/>
        <v>10</v>
      </c>
      <c r="G33" s="1">
        <f t="shared" si="0"/>
        <v>0</v>
      </c>
      <c r="H33" s="1">
        <f t="shared" si="1"/>
        <v>0</v>
      </c>
      <c r="I33" s="1">
        <f t="shared" si="2"/>
        <v>0</v>
      </c>
      <c r="J33" s="1">
        <f t="shared" si="3"/>
        <v>0</v>
      </c>
      <c r="K33" s="1">
        <f t="shared" si="4"/>
        <v>2</v>
      </c>
      <c r="L33" s="1">
        <f t="shared" si="5"/>
        <v>0</v>
      </c>
      <c r="M33" s="1">
        <f t="shared" si="6"/>
        <v>0</v>
      </c>
      <c r="O33" s="1">
        <f t="shared" si="7"/>
        <v>18</v>
      </c>
      <c r="P33" s="1">
        <f t="shared" si="8"/>
        <v>15</v>
      </c>
      <c r="Q33" s="1">
        <f t="shared" si="9"/>
        <v>11</v>
      </c>
      <c r="R33" s="1">
        <f t="shared" si="10"/>
        <v>6</v>
      </c>
      <c r="S33" s="1">
        <f t="shared" si="11"/>
        <v>0</v>
      </c>
      <c r="T33" s="28" t="s">
        <v>17</v>
      </c>
      <c r="U33" s="28" t="s">
        <v>17</v>
      </c>
      <c r="V33" s="28" t="s">
        <v>18</v>
      </c>
      <c r="W33" s="28" t="s">
        <v>22</v>
      </c>
      <c r="X33" s="28" t="s">
        <v>17</v>
      </c>
      <c r="Y33" s="28" t="s">
        <v>18</v>
      </c>
      <c r="Z33" s="28" t="s">
        <v>22</v>
      </c>
      <c r="AA33" s="28" t="s">
        <v>29</v>
      </c>
      <c r="AB33" s="28" t="s">
        <v>17</v>
      </c>
      <c r="AC33" s="28" t="s">
        <v>18</v>
      </c>
      <c r="AD33" s="28" t="s">
        <v>29</v>
      </c>
      <c r="AE33" s="28" t="s">
        <v>22</v>
      </c>
      <c r="AF33" s="28" t="s">
        <v>17</v>
      </c>
      <c r="AG33" s="28" t="s">
        <v>17</v>
      </c>
      <c r="AH33" s="28" t="s">
        <v>22</v>
      </c>
      <c r="AI33" s="28" t="s">
        <v>22</v>
      </c>
      <c r="AJ33" s="28" t="s">
        <v>17</v>
      </c>
      <c r="AK33" s="28" t="s">
        <v>17</v>
      </c>
      <c r="AL33" s="28" t="s">
        <v>22</v>
      </c>
      <c r="AM33" s="28" t="s">
        <v>11</v>
      </c>
      <c r="AN33" s="28" t="s">
        <v>17</v>
      </c>
      <c r="AO33" s="28" t="s">
        <v>17</v>
      </c>
      <c r="AP33" s="28" t="s">
        <v>11</v>
      </c>
      <c r="AQ33" s="28" t="s">
        <v>29</v>
      </c>
      <c r="AR33" s="28" t="s">
        <v>17</v>
      </c>
      <c r="AS33" s="28" t="s">
        <v>18</v>
      </c>
      <c r="AT33" s="28" t="s">
        <v>18</v>
      </c>
      <c r="AU33" s="28" t="s">
        <v>29</v>
      </c>
      <c r="AV33" s="28" t="s">
        <v>29</v>
      </c>
      <c r="AW33" s="28" t="s">
        <v>22</v>
      </c>
      <c r="AX33" s="28" t="s">
        <v>18</v>
      </c>
      <c r="AY33" s="28" t="s">
        <v>18</v>
      </c>
      <c r="AZ33" s="28" t="s">
        <v>18</v>
      </c>
      <c r="BA33" s="28" t="s">
        <v>18</v>
      </c>
      <c r="BB33" s="28" t="s">
        <v>29</v>
      </c>
      <c r="BC33" s="28" t="s">
        <v>22</v>
      </c>
      <c r="BD33" s="28" t="s">
        <v>17</v>
      </c>
      <c r="BE33" s="28" t="s">
        <v>17</v>
      </c>
      <c r="BF33" s="28" t="s">
        <v>18</v>
      </c>
      <c r="BG33" s="28" t="s">
        <v>18</v>
      </c>
      <c r="BH33" s="28" t="s">
        <v>17</v>
      </c>
      <c r="BI33" s="28" t="s">
        <v>17</v>
      </c>
      <c r="BJ33" s="28" t="s">
        <v>18</v>
      </c>
      <c r="BK33" s="28" t="s">
        <v>22</v>
      </c>
      <c r="BL33" s="28" t="s">
        <v>17</v>
      </c>
      <c r="BM33" s="28" t="s">
        <v>18</v>
      </c>
      <c r="BN33" s="28" t="s">
        <v>22</v>
      </c>
      <c r="BO33" s="28" t="s">
        <v>18</v>
      </c>
      <c r="BP33" s="28" t="s">
        <v>17</v>
      </c>
      <c r="BQ33" s="28" t="s">
        <v>17</v>
      </c>
      <c r="BR33" s="28" t="s">
        <v>22</v>
      </c>
      <c r="BS33" s="28" t="s">
        <v>18</v>
      </c>
    </row>
    <row r="34" spans="1:71" x14ac:dyDescent="0.3">
      <c r="A34" s="93"/>
      <c r="B34" s="93"/>
      <c r="C34" s="26">
        <v>44743.75</v>
      </c>
      <c r="D34" s="37">
        <f t="shared" si="14"/>
        <v>0.29166666666424135</v>
      </c>
      <c r="E34" s="38">
        <f t="shared" si="12"/>
        <v>10.291666666664241</v>
      </c>
      <c r="F34" s="5">
        <f t="shared" si="13"/>
        <v>10.291666666664241</v>
      </c>
      <c r="G34" s="1">
        <f t="shared" si="0"/>
        <v>0</v>
      </c>
      <c r="H34" s="1">
        <f t="shared" si="1"/>
        <v>0</v>
      </c>
      <c r="I34" s="1">
        <f t="shared" si="2"/>
        <v>0</v>
      </c>
      <c r="J34" s="1">
        <f t="shared" si="3"/>
        <v>0</v>
      </c>
      <c r="K34" s="1">
        <f t="shared" si="4"/>
        <v>2</v>
      </c>
      <c r="L34" s="1">
        <f t="shared" si="5"/>
        <v>0</v>
      </c>
      <c r="M34" s="1">
        <f t="shared" si="6"/>
        <v>0</v>
      </c>
      <c r="O34" s="1">
        <f t="shared" si="7"/>
        <v>18</v>
      </c>
      <c r="P34" s="1">
        <f t="shared" si="8"/>
        <v>15</v>
      </c>
      <c r="Q34" s="1">
        <f t="shared" si="9"/>
        <v>11</v>
      </c>
      <c r="R34" s="1">
        <f t="shared" si="10"/>
        <v>6</v>
      </c>
      <c r="S34" s="1">
        <f t="shared" si="11"/>
        <v>0</v>
      </c>
      <c r="T34" s="28" t="s">
        <v>17</v>
      </c>
      <c r="U34" s="28" t="s">
        <v>17</v>
      </c>
      <c r="V34" s="28" t="s">
        <v>18</v>
      </c>
      <c r="W34" s="28" t="s">
        <v>22</v>
      </c>
      <c r="X34" s="28" t="s">
        <v>17</v>
      </c>
      <c r="Y34" s="28" t="s">
        <v>18</v>
      </c>
      <c r="Z34" s="28" t="s">
        <v>22</v>
      </c>
      <c r="AA34" s="28" t="s">
        <v>29</v>
      </c>
      <c r="AB34" s="28" t="s">
        <v>17</v>
      </c>
      <c r="AC34" s="28" t="s">
        <v>18</v>
      </c>
      <c r="AD34" s="28" t="s">
        <v>29</v>
      </c>
      <c r="AE34" s="28" t="s">
        <v>22</v>
      </c>
      <c r="AF34" s="28" t="s">
        <v>17</v>
      </c>
      <c r="AG34" s="28" t="s">
        <v>17</v>
      </c>
      <c r="AH34" s="28" t="s">
        <v>22</v>
      </c>
      <c r="AI34" s="28" t="s">
        <v>22</v>
      </c>
      <c r="AJ34" s="28" t="s">
        <v>17</v>
      </c>
      <c r="AK34" s="28" t="s">
        <v>17</v>
      </c>
      <c r="AL34" s="28" t="s">
        <v>22</v>
      </c>
      <c r="AM34" s="28" t="s">
        <v>11</v>
      </c>
      <c r="AN34" s="28" t="s">
        <v>17</v>
      </c>
      <c r="AO34" s="28" t="s">
        <v>17</v>
      </c>
      <c r="AP34" s="28" t="s">
        <v>11</v>
      </c>
      <c r="AQ34" s="28" t="s">
        <v>29</v>
      </c>
      <c r="AR34" s="28" t="s">
        <v>17</v>
      </c>
      <c r="AS34" s="28" t="s">
        <v>18</v>
      </c>
      <c r="AT34" s="28" t="s">
        <v>18</v>
      </c>
      <c r="AU34" s="28" t="s">
        <v>29</v>
      </c>
      <c r="AV34" s="28" t="s">
        <v>29</v>
      </c>
      <c r="AW34" s="28" t="s">
        <v>22</v>
      </c>
      <c r="AX34" s="28" t="s">
        <v>18</v>
      </c>
      <c r="AY34" s="28" t="s">
        <v>18</v>
      </c>
      <c r="AZ34" s="28" t="s">
        <v>18</v>
      </c>
      <c r="BA34" s="28" t="s">
        <v>18</v>
      </c>
      <c r="BB34" s="28" t="s">
        <v>29</v>
      </c>
      <c r="BC34" s="28" t="s">
        <v>22</v>
      </c>
      <c r="BD34" s="28" t="s">
        <v>17</v>
      </c>
      <c r="BE34" s="28" t="s">
        <v>17</v>
      </c>
      <c r="BF34" s="28" t="s">
        <v>18</v>
      </c>
      <c r="BG34" s="28" t="s">
        <v>18</v>
      </c>
      <c r="BH34" s="28" t="s">
        <v>17</v>
      </c>
      <c r="BI34" s="28" t="s">
        <v>17</v>
      </c>
      <c r="BJ34" s="28" t="s">
        <v>18</v>
      </c>
      <c r="BK34" s="28" t="s">
        <v>22</v>
      </c>
      <c r="BL34" s="28" t="s">
        <v>17</v>
      </c>
      <c r="BM34" s="28" t="s">
        <v>18</v>
      </c>
      <c r="BN34" s="28" t="s">
        <v>22</v>
      </c>
      <c r="BO34" s="28" t="s">
        <v>18</v>
      </c>
      <c r="BP34" s="28" t="s">
        <v>17</v>
      </c>
      <c r="BQ34" s="28" t="s">
        <v>17</v>
      </c>
      <c r="BR34" s="28" t="s">
        <v>22</v>
      </c>
      <c r="BS34" s="28" t="s">
        <v>18</v>
      </c>
    </row>
    <row r="35" spans="1:71" x14ac:dyDescent="0.3">
      <c r="A35" s="93"/>
      <c r="B35" s="93"/>
      <c r="C35" s="26">
        <v>44743.958333333336</v>
      </c>
      <c r="D35" s="37">
        <f t="shared" si="14"/>
        <v>0.20833333333575865</v>
      </c>
      <c r="E35" s="38">
        <f t="shared" si="12"/>
        <v>10.5</v>
      </c>
      <c r="F35" s="5">
        <f t="shared" si="13"/>
        <v>10.5</v>
      </c>
      <c r="G35" s="1">
        <f t="shared" si="0"/>
        <v>0</v>
      </c>
      <c r="H35" s="1">
        <f t="shared" si="1"/>
        <v>0</v>
      </c>
      <c r="I35" s="1">
        <f t="shared" si="2"/>
        <v>0</v>
      </c>
      <c r="J35" s="1">
        <f t="shared" si="3"/>
        <v>0</v>
      </c>
      <c r="K35" s="1">
        <f t="shared" si="4"/>
        <v>2</v>
      </c>
      <c r="L35" s="1">
        <f t="shared" si="5"/>
        <v>0</v>
      </c>
      <c r="M35" s="1">
        <f t="shared" si="6"/>
        <v>0</v>
      </c>
      <c r="O35" s="1">
        <f t="shared" si="7"/>
        <v>18</v>
      </c>
      <c r="P35" s="1">
        <f t="shared" si="8"/>
        <v>15</v>
      </c>
      <c r="Q35" s="1">
        <f t="shared" si="9"/>
        <v>11</v>
      </c>
      <c r="R35" s="1">
        <f t="shared" si="10"/>
        <v>6</v>
      </c>
      <c r="S35" s="1">
        <f t="shared" si="11"/>
        <v>0</v>
      </c>
      <c r="T35" s="28" t="s">
        <v>17</v>
      </c>
      <c r="U35" s="28" t="s">
        <v>17</v>
      </c>
      <c r="V35" s="28" t="s">
        <v>18</v>
      </c>
      <c r="W35" s="28" t="s">
        <v>22</v>
      </c>
      <c r="X35" s="28" t="s">
        <v>17</v>
      </c>
      <c r="Y35" s="28" t="s">
        <v>18</v>
      </c>
      <c r="Z35" s="28" t="s">
        <v>22</v>
      </c>
      <c r="AA35" s="28" t="s">
        <v>29</v>
      </c>
      <c r="AB35" s="28" t="s">
        <v>17</v>
      </c>
      <c r="AC35" s="28" t="s">
        <v>18</v>
      </c>
      <c r="AD35" s="28" t="s">
        <v>29</v>
      </c>
      <c r="AE35" s="28" t="s">
        <v>22</v>
      </c>
      <c r="AF35" s="28" t="s">
        <v>17</v>
      </c>
      <c r="AG35" s="28" t="s">
        <v>17</v>
      </c>
      <c r="AH35" s="28" t="s">
        <v>22</v>
      </c>
      <c r="AI35" s="28" t="s">
        <v>22</v>
      </c>
      <c r="AJ35" s="28" t="s">
        <v>17</v>
      </c>
      <c r="AK35" s="28" t="s">
        <v>17</v>
      </c>
      <c r="AL35" s="28" t="s">
        <v>22</v>
      </c>
      <c r="AM35" s="28" t="s">
        <v>11</v>
      </c>
      <c r="AN35" s="28" t="s">
        <v>17</v>
      </c>
      <c r="AO35" s="28" t="s">
        <v>17</v>
      </c>
      <c r="AP35" s="28" t="s">
        <v>11</v>
      </c>
      <c r="AQ35" s="28" t="s">
        <v>29</v>
      </c>
      <c r="AR35" s="28" t="s">
        <v>17</v>
      </c>
      <c r="AS35" s="28" t="s">
        <v>18</v>
      </c>
      <c r="AT35" s="28" t="s">
        <v>18</v>
      </c>
      <c r="AU35" s="28" t="s">
        <v>29</v>
      </c>
      <c r="AV35" s="28" t="s">
        <v>29</v>
      </c>
      <c r="AW35" s="28" t="s">
        <v>22</v>
      </c>
      <c r="AX35" s="28" t="s">
        <v>18</v>
      </c>
      <c r="AY35" s="28" t="s">
        <v>18</v>
      </c>
      <c r="AZ35" s="28" t="s">
        <v>18</v>
      </c>
      <c r="BA35" s="28" t="s">
        <v>18</v>
      </c>
      <c r="BB35" s="28" t="s">
        <v>29</v>
      </c>
      <c r="BC35" s="28" t="s">
        <v>22</v>
      </c>
      <c r="BD35" s="28" t="s">
        <v>17</v>
      </c>
      <c r="BE35" s="28" t="s">
        <v>17</v>
      </c>
      <c r="BF35" s="28" t="s">
        <v>18</v>
      </c>
      <c r="BG35" s="28" t="s">
        <v>18</v>
      </c>
      <c r="BH35" s="28" t="s">
        <v>17</v>
      </c>
      <c r="BI35" s="28" t="s">
        <v>17</v>
      </c>
      <c r="BJ35" s="28" t="s">
        <v>18</v>
      </c>
      <c r="BK35" s="28" t="s">
        <v>22</v>
      </c>
      <c r="BL35" s="28" t="s">
        <v>17</v>
      </c>
      <c r="BM35" s="28" t="s">
        <v>18</v>
      </c>
      <c r="BN35" s="28" t="s">
        <v>22</v>
      </c>
      <c r="BO35" s="28" t="s">
        <v>18</v>
      </c>
      <c r="BP35" s="28" t="s">
        <v>17</v>
      </c>
      <c r="BQ35" s="28" t="s">
        <v>17</v>
      </c>
      <c r="BR35" s="28" t="s">
        <v>22</v>
      </c>
      <c r="BS35" s="28" t="s">
        <v>18</v>
      </c>
    </row>
    <row r="36" spans="1:71" x14ac:dyDescent="0.3">
      <c r="A36" s="93">
        <f t="shared" ref="A36:B36" si="24">A33+1</f>
        <v>183</v>
      </c>
      <c r="B36" s="93">
        <f t="shared" si="24"/>
        <v>12</v>
      </c>
      <c r="C36" s="26">
        <v>44744.458333333336</v>
      </c>
      <c r="D36" s="37">
        <f t="shared" si="14"/>
        <v>0.5</v>
      </c>
      <c r="E36" s="38">
        <f t="shared" si="12"/>
        <v>11</v>
      </c>
      <c r="F36" s="5">
        <f t="shared" si="13"/>
        <v>11</v>
      </c>
      <c r="G36" s="1">
        <f t="shared" si="0"/>
        <v>0</v>
      </c>
      <c r="H36" s="1">
        <f t="shared" si="1"/>
        <v>0</v>
      </c>
      <c r="I36" s="1">
        <f t="shared" si="2"/>
        <v>0</v>
      </c>
      <c r="J36" s="1">
        <f t="shared" si="3"/>
        <v>0</v>
      </c>
      <c r="K36" s="1">
        <f t="shared" si="4"/>
        <v>2</v>
      </c>
      <c r="L36" s="1">
        <f t="shared" si="5"/>
        <v>0</v>
      </c>
      <c r="M36" s="1">
        <f t="shared" si="6"/>
        <v>0</v>
      </c>
      <c r="O36" s="1">
        <f t="shared" si="7"/>
        <v>18</v>
      </c>
      <c r="P36" s="1">
        <f t="shared" si="8"/>
        <v>15</v>
      </c>
      <c r="Q36" s="1">
        <f t="shared" si="9"/>
        <v>11</v>
      </c>
      <c r="R36" s="1">
        <f t="shared" si="10"/>
        <v>6</v>
      </c>
      <c r="S36" s="1">
        <f t="shared" si="11"/>
        <v>0</v>
      </c>
      <c r="T36" s="28" t="s">
        <v>17</v>
      </c>
      <c r="U36" s="28" t="s">
        <v>17</v>
      </c>
      <c r="V36" s="28" t="s">
        <v>18</v>
      </c>
      <c r="W36" s="28" t="s">
        <v>22</v>
      </c>
      <c r="X36" s="28" t="s">
        <v>17</v>
      </c>
      <c r="Y36" s="28" t="s">
        <v>18</v>
      </c>
      <c r="Z36" s="28" t="s">
        <v>22</v>
      </c>
      <c r="AA36" s="28" t="s">
        <v>29</v>
      </c>
      <c r="AB36" s="28" t="s">
        <v>17</v>
      </c>
      <c r="AC36" s="28" t="s">
        <v>18</v>
      </c>
      <c r="AD36" s="28" t="s">
        <v>29</v>
      </c>
      <c r="AE36" s="28" t="s">
        <v>22</v>
      </c>
      <c r="AF36" s="28" t="s">
        <v>17</v>
      </c>
      <c r="AG36" s="28" t="s">
        <v>17</v>
      </c>
      <c r="AH36" s="28" t="s">
        <v>22</v>
      </c>
      <c r="AI36" s="28" t="s">
        <v>22</v>
      </c>
      <c r="AJ36" s="28" t="s">
        <v>17</v>
      </c>
      <c r="AK36" s="28" t="s">
        <v>17</v>
      </c>
      <c r="AL36" s="28" t="s">
        <v>22</v>
      </c>
      <c r="AM36" s="28" t="s">
        <v>11</v>
      </c>
      <c r="AN36" s="28" t="s">
        <v>17</v>
      </c>
      <c r="AO36" s="28" t="s">
        <v>17</v>
      </c>
      <c r="AP36" s="28" t="s">
        <v>11</v>
      </c>
      <c r="AQ36" s="28" t="s">
        <v>29</v>
      </c>
      <c r="AR36" s="28" t="s">
        <v>17</v>
      </c>
      <c r="AS36" s="28" t="s">
        <v>18</v>
      </c>
      <c r="AT36" s="28" t="s">
        <v>18</v>
      </c>
      <c r="AU36" s="28" t="s">
        <v>29</v>
      </c>
      <c r="AV36" s="28" t="s">
        <v>29</v>
      </c>
      <c r="AW36" s="28" t="s">
        <v>22</v>
      </c>
      <c r="AX36" s="28" t="s">
        <v>18</v>
      </c>
      <c r="AY36" s="28" t="s">
        <v>18</v>
      </c>
      <c r="AZ36" s="28" t="s">
        <v>18</v>
      </c>
      <c r="BA36" s="28" t="s">
        <v>18</v>
      </c>
      <c r="BB36" s="28" t="s">
        <v>29</v>
      </c>
      <c r="BC36" s="28" t="s">
        <v>22</v>
      </c>
      <c r="BD36" s="28" t="s">
        <v>17</v>
      </c>
      <c r="BE36" s="28" t="s">
        <v>17</v>
      </c>
      <c r="BF36" s="28" t="s">
        <v>18</v>
      </c>
      <c r="BG36" s="28" t="s">
        <v>18</v>
      </c>
      <c r="BH36" s="28" t="s">
        <v>17</v>
      </c>
      <c r="BI36" s="28" t="s">
        <v>17</v>
      </c>
      <c r="BJ36" s="28" t="s">
        <v>18</v>
      </c>
      <c r="BK36" s="28" t="s">
        <v>22</v>
      </c>
      <c r="BL36" s="28" t="s">
        <v>17</v>
      </c>
      <c r="BM36" s="28" t="s">
        <v>18</v>
      </c>
      <c r="BN36" s="28" t="s">
        <v>22</v>
      </c>
      <c r="BO36" s="28" t="s">
        <v>18</v>
      </c>
      <c r="BP36" s="28" t="s">
        <v>17</v>
      </c>
      <c r="BQ36" s="28" t="s">
        <v>17</v>
      </c>
      <c r="BR36" s="28" t="s">
        <v>22</v>
      </c>
      <c r="BS36" s="28" t="s">
        <v>18</v>
      </c>
    </row>
    <row r="37" spans="1:71" x14ac:dyDescent="0.3">
      <c r="A37" s="93"/>
      <c r="B37" s="93"/>
      <c r="C37" s="26">
        <v>44744.75</v>
      </c>
      <c r="D37" s="37">
        <f t="shared" si="14"/>
        <v>0.29166666666424135</v>
      </c>
      <c r="E37" s="38">
        <f t="shared" si="12"/>
        <v>11.291666666664241</v>
      </c>
      <c r="F37" s="5">
        <f t="shared" si="13"/>
        <v>11.291666666664241</v>
      </c>
      <c r="G37" s="1">
        <f t="shared" si="0"/>
        <v>0</v>
      </c>
      <c r="H37" s="1">
        <f t="shared" si="1"/>
        <v>0</v>
      </c>
      <c r="I37" s="1">
        <f t="shared" si="2"/>
        <v>0</v>
      </c>
      <c r="J37" s="1">
        <f t="shared" si="3"/>
        <v>0</v>
      </c>
      <c r="K37" s="1">
        <f t="shared" si="4"/>
        <v>2</v>
      </c>
      <c r="L37" s="1">
        <f t="shared" si="5"/>
        <v>0</v>
      </c>
      <c r="M37" s="1">
        <f t="shared" si="6"/>
        <v>0</v>
      </c>
      <c r="O37" s="1">
        <f t="shared" si="7"/>
        <v>18</v>
      </c>
      <c r="P37" s="1">
        <f t="shared" si="8"/>
        <v>15</v>
      </c>
      <c r="Q37" s="1">
        <f t="shared" si="9"/>
        <v>11</v>
      </c>
      <c r="R37" s="1">
        <f t="shared" si="10"/>
        <v>6</v>
      </c>
      <c r="S37" s="1">
        <f t="shared" si="11"/>
        <v>0</v>
      </c>
      <c r="T37" s="28" t="s">
        <v>17</v>
      </c>
      <c r="U37" s="28" t="s">
        <v>17</v>
      </c>
      <c r="V37" s="28" t="s">
        <v>18</v>
      </c>
      <c r="W37" s="28" t="s">
        <v>22</v>
      </c>
      <c r="X37" s="28" t="s">
        <v>17</v>
      </c>
      <c r="Y37" s="28" t="s">
        <v>18</v>
      </c>
      <c r="Z37" s="28" t="s">
        <v>22</v>
      </c>
      <c r="AA37" s="28" t="s">
        <v>29</v>
      </c>
      <c r="AB37" s="28" t="s">
        <v>17</v>
      </c>
      <c r="AC37" s="28" t="s">
        <v>18</v>
      </c>
      <c r="AD37" s="28" t="s">
        <v>29</v>
      </c>
      <c r="AE37" s="28" t="s">
        <v>22</v>
      </c>
      <c r="AF37" s="28" t="s">
        <v>17</v>
      </c>
      <c r="AG37" s="28" t="s">
        <v>17</v>
      </c>
      <c r="AH37" s="28" t="s">
        <v>22</v>
      </c>
      <c r="AI37" s="28" t="s">
        <v>22</v>
      </c>
      <c r="AJ37" s="28" t="s">
        <v>17</v>
      </c>
      <c r="AK37" s="28" t="s">
        <v>17</v>
      </c>
      <c r="AL37" s="28" t="s">
        <v>22</v>
      </c>
      <c r="AM37" s="28" t="s">
        <v>11</v>
      </c>
      <c r="AN37" s="28" t="s">
        <v>17</v>
      </c>
      <c r="AO37" s="28" t="s">
        <v>17</v>
      </c>
      <c r="AP37" s="28" t="s">
        <v>11</v>
      </c>
      <c r="AQ37" s="28" t="s">
        <v>29</v>
      </c>
      <c r="AR37" s="28" t="s">
        <v>17</v>
      </c>
      <c r="AS37" s="28" t="s">
        <v>18</v>
      </c>
      <c r="AT37" s="28" t="s">
        <v>18</v>
      </c>
      <c r="AU37" s="28" t="s">
        <v>29</v>
      </c>
      <c r="AV37" s="28" t="s">
        <v>29</v>
      </c>
      <c r="AW37" s="28" t="s">
        <v>22</v>
      </c>
      <c r="AX37" s="28" t="s">
        <v>18</v>
      </c>
      <c r="AY37" s="28" t="s">
        <v>18</v>
      </c>
      <c r="AZ37" s="28" t="s">
        <v>18</v>
      </c>
      <c r="BA37" s="28" t="s">
        <v>18</v>
      </c>
      <c r="BB37" s="28" t="s">
        <v>29</v>
      </c>
      <c r="BC37" s="28" t="s">
        <v>22</v>
      </c>
      <c r="BD37" s="28" t="s">
        <v>17</v>
      </c>
      <c r="BE37" s="28" t="s">
        <v>17</v>
      </c>
      <c r="BF37" s="28" t="s">
        <v>18</v>
      </c>
      <c r="BG37" s="28" t="s">
        <v>18</v>
      </c>
      <c r="BH37" s="28" t="s">
        <v>17</v>
      </c>
      <c r="BI37" s="28" t="s">
        <v>17</v>
      </c>
      <c r="BJ37" s="28" t="s">
        <v>18</v>
      </c>
      <c r="BK37" s="28" t="s">
        <v>22</v>
      </c>
      <c r="BL37" s="28" t="s">
        <v>17</v>
      </c>
      <c r="BM37" s="28" t="s">
        <v>18</v>
      </c>
      <c r="BN37" s="28" t="s">
        <v>22</v>
      </c>
      <c r="BO37" s="28" t="s">
        <v>18</v>
      </c>
      <c r="BP37" s="28" t="s">
        <v>17</v>
      </c>
      <c r="BQ37" s="28" t="s">
        <v>17</v>
      </c>
      <c r="BR37" s="28" t="s">
        <v>22</v>
      </c>
      <c r="BS37" s="28" t="s">
        <v>18</v>
      </c>
    </row>
    <row r="38" spans="1:71" x14ac:dyDescent="0.3">
      <c r="A38" s="93"/>
      <c r="B38" s="93"/>
      <c r="C38" s="26">
        <v>44744.958333333336</v>
      </c>
      <c r="D38" s="37">
        <f t="shared" si="14"/>
        <v>0.20833333333575865</v>
      </c>
      <c r="E38" s="38">
        <f t="shared" si="12"/>
        <v>11.5</v>
      </c>
      <c r="F38" s="5">
        <f t="shared" si="13"/>
        <v>11.5</v>
      </c>
      <c r="G38" s="1">
        <f t="shared" si="0"/>
        <v>0</v>
      </c>
      <c r="H38" s="1">
        <f t="shared" si="1"/>
        <v>0</v>
      </c>
      <c r="I38" s="1">
        <f t="shared" si="2"/>
        <v>0</v>
      </c>
      <c r="J38" s="1">
        <f t="shared" si="3"/>
        <v>0</v>
      </c>
      <c r="K38" s="1">
        <f t="shared" si="4"/>
        <v>2</v>
      </c>
      <c r="L38" s="1">
        <f t="shared" si="5"/>
        <v>0</v>
      </c>
      <c r="M38" s="1">
        <f t="shared" si="6"/>
        <v>0</v>
      </c>
      <c r="O38" s="1">
        <f t="shared" si="7"/>
        <v>18</v>
      </c>
      <c r="P38" s="1">
        <f t="shared" si="8"/>
        <v>15</v>
      </c>
      <c r="Q38" s="1">
        <f t="shared" si="9"/>
        <v>11</v>
      </c>
      <c r="R38" s="1">
        <f t="shared" si="10"/>
        <v>6</v>
      </c>
      <c r="S38" s="1">
        <f t="shared" si="11"/>
        <v>0</v>
      </c>
      <c r="T38" s="28" t="s">
        <v>17</v>
      </c>
      <c r="U38" s="28" t="s">
        <v>17</v>
      </c>
      <c r="V38" s="28" t="s">
        <v>18</v>
      </c>
      <c r="W38" s="28" t="s">
        <v>22</v>
      </c>
      <c r="X38" s="28" t="s">
        <v>17</v>
      </c>
      <c r="Y38" s="28" t="s">
        <v>18</v>
      </c>
      <c r="Z38" s="28" t="s">
        <v>22</v>
      </c>
      <c r="AA38" s="28" t="s">
        <v>29</v>
      </c>
      <c r="AB38" s="28" t="s">
        <v>17</v>
      </c>
      <c r="AC38" s="28" t="s">
        <v>18</v>
      </c>
      <c r="AD38" s="28" t="s">
        <v>29</v>
      </c>
      <c r="AE38" s="28" t="s">
        <v>22</v>
      </c>
      <c r="AF38" s="28" t="s">
        <v>17</v>
      </c>
      <c r="AG38" s="28" t="s">
        <v>17</v>
      </c>
      <c r="AH38" s="28" t="s">
        <v>22</v>
      </c>
      <c r="AI38" s="28" t="s">
        <v>22</v>
      </c>
      <c r="AJ38" s="28" t="s">
        <v>17</v>
      </c>
      <c r="AK38" s="28" t="s">
        <v>17</v>
      </c>
      <c r="AL38" s="28" t="s">
        <v>22</v>
      </c>
      <c r="AM38" s="28" t="s">
        <v>11</v>
      </c>
      <c r="AN38" s="28" t="s">
        <v>17</v>
      </c>
      <c r="AO38" s="28" t="s">
        <v>17</v>
      </c>
      <c r="AP38" s="28" t="s">
        <v>11</v>
      </c>
      <c r="AQ38" s="28" t="s">
        <v>29</v>
      </c>
      <c r="AR38" s="28" t="s">
        <v>17</v>
      </c>
      <c r="AS38" s="28" t="s">
        <v>18</v>
      </c>
      <c r="AT38" s="28" t="s">
        <v>18</v>
      </c>
      <c r="AU38" s="28" t="s">
        <v>29</v>
      </c>
      <c r="AV38" s="28" t="s">
        <v>29</v>
      </c>
      <c r="AW38" s="28" t="s">
        <v>22</v>
      </c>
      <c r="AX38" s="28" t="s">
        <v>18</v>
      </c>
      <c r="AY38" s="28" t="s">
        <v>18</v>
      </c>
      <c r="AZ38" s="28" t="s">
        <v>18</v>
      </c>
      <c r="BA38" s="28" t="s">
        <v>18</v>
      </c>
      <c r="BB38" s="28" t="s">
        <v>29</v>
      </c>
      <c r="BC38" s="28" t="s">
        <v>22</v>
      </c>
      <c r="BD38" s="28" t="s">
        <v>17</v>
      </c>
      <c r="BE38" s="28" t="s">
        <v>17</v>
      </c>
      <c r="BF38" s="28" t="s">
        <v>18</v>
      </c>
      <c r="BG38" s="28" t="s">
        <v>18</v>
      </c>
      <c r="BH38" s="28" t="s">
        <v>17</v>
      </c>
      <c r="BI38" s="28" t="s">
        <v>17</v>
      </c>
      <c r="BJ38" s="28" t="s">
        <v>18</v>
      </c>
      <c r="BK38" s="28" t="s">
        <v>22</v>
      </c>
      <c r="BL38" s="28" t="s">
        <v>17</v>
      </c>
      <c r="BM38" s="28" t="s">
        <v>18</v>
      </c>
      <c r="BN38" s="28" t="s">
        <v>22</v>
      </c>
      <c r="BO38" s="28" t="s">
        <v>18</v>
      </c>
      <c r="BP38" s="28" t="s">
        <v>17</v>
      </c>
      <c r="BQ38" s="28" t="s">
        <v>17</v>
      </c>
      <c r="BR38" s="28" t="s">
        <v>22</v>
      </c>
      <c r="BS38" s="28" t="s">
        <v>18</v>
      </c>
    </row>
    <row r="39" spans="1:71" x14ac:dyDescent="0.3">
      <c r="A39" s="93">
        <f t="shared" ref="A39:B39" si="25">A36+1</f>
        <v>184</v>
      </c>
      <c r="B39" s="93">
        <f t="shared" si="25"/>
        <v>13</v>
      </c>
      <c r="C39" s="26">
        <v>44745.458333333336</v>
      </c>
      <c r="D39" s="37">
        <f t="shared" si="14"/>
        <v>0.5</v>
      </c>
      <c r="E39" s="38">
        <f t="shared" si="12"/>
        <v>12</v>
      </c>
      <c r="F39" s="5">
        <f t="shared" si="13"/>
        <v>12</v>
      </c>
      <c r="G39" s="1">
        <f t="shared" si="0"/>
        <v>0</v>
      </c>
      <c r="H39" s="1">
        <f t="shared" si="1"/>
        <v>0</v>
      </c>
      <c r="I39" s="1">
        <f t="shared" si="2"/>
        <v>0</v>
      </c>
      <c r="J39" s="1">
        <f t="shared" si="3"/>
        <v>0</v>
      </c>
      <c r="K39" s="1">
        <f t="shared" si="4"/>
        <v>2</v>
      </c>
      <c r="L39" s="1">
        <f t="shared" si="5"/>
        <v>0</v>
      </c>
      <c r="M39" s="1">
        <f t="shared" si="6"/>
        <v>0</v>
      </c>
      <c r="O39" s="1">
        <f t="shared" si="7"/>
        <v>18</v>
      </c>
      <c r="P39" s="1">
        <f t="shared" si="8"/>
        <v>15</v>
      </c>
      <c r="Q39" s="1">
        <f t="shared" si="9"/>
        <v>11</v>
      </c>
      <c r="R39" s="1">
        <f t="shared" si="10"/>
        <v>6</v>
      </c>
      <c r="S39" s="1">
        <f t="shared" si="11"/>
        <v>0</v>
      </c>
      <c r="T39" s="28" t="s">
        <v>17</v>
      </c>
      <c r="U39" s="28" t="s">
        <v>17</v>
      </c>
      <c r="V39" s="28" t="s">
        <v>18</v>
      </c>
      <c r="W39" s="28" t="s">
        <v>22</v>
      </c>
      <c r="X39" s="28" t="s">
        <v>17</v>
      </c>
      <c r="Y39" s="28" t="s">
        <v>18</v>
      </c>
      <c r="Z39" s="28" t="s">
        <v>22</v>
      </c>
      <c r="AA39" s="28" t="s">
        <v>29</v>
      </c>
      <c r="AB39" s="28" t="s">
        <v>17</v>
      </c>
      <c r="AC39" s="28" t="s">
        <v>18</v>
      </c>
      <c r="AD39" s="28" t="s">
        <v>29</v>
      </c>
      <c r="AE39" s="28" t="s">
        <v>22</v>
      </c>
      <c r="AF39" s="28" t="s">
        <v>17</v>
      </c>
      <c r="AG39" s="28" t="s">
        <v>17</v>
      </c>
      <c r="AH39" s="28" t="s">
        <v>22</v>
      </c>
      <c r="AI39" s="28" t="s">
        <v>22</v>
      </c>
      <c r="AJ39" s="28" t="s">
        <v>17</v>
      </c>
      <c r="AK39" s="28" t="s">
        <v>17</v>
      </c>
      <c r="AL39" s="28" t="s">
        <v>22</v>
      </c>
      <c r="AM39" s="28" t="s">
        <v>11</v>
      </c>
      <c r="AN39" s="28" t="s">
        <v>17</v>
      </c>
      <c r="AO39" s="28" t="s">
        <v>17</v>
      </c>
      <c r="AP39" s="28" t="s">
        <v>11</v>
      </c>
      <c r="AQ39" s="28" t="s">
        <v>29</v>
      </c>
      <c r="AR39" s="28" t="s">
        <v>17</v>
      </c>
      <c r="AS39" s="28" t="s">
        <v>18</v>
      </c>
      <c r="AT39" s="28" t="s">
        <v>18</v>
      </c>
      <c r="AU39" s="28" t="s">
        <v>29</v>
      </c>
      <c r="AV39" s="28" t="s">
        <v>29</v>
      </c>
      <c r="AW39" s="28" t="s">
        <v>22</v>
      </c>
      <c r="AX39" s="28" t="s">
        <v>18</v>
      </c>
      <c r="AY39" s="28" t="s">
        <v>18</v>
      </c>
      <c r="AZ39" s="28" t="s">
        <v>18</v>
      </c>
      <c r="BA39" s="28" t="s">
        <v>18</v>
      </c>
      <c r="BB39" s="28" t="s">
        <v>29</v>
      </c>
      <c r="BC39" s="28" t="s">
        <v>22</v>
      </c>
      <c r="BD39" s="28" t="s">
        <v>17</v>
      </c>
      <c r="BE39" s="28" t="s">
        <v>17</v>
      </c>
      <c r="BF39" s="28" t="s">
        <v>18</v>
      </c>
      <c r="BG39" s="28" t="s">
        <v>18</v>
      </c>
      <c r="BH39" s="28" t="s">
        <v>17</v>
      </c>
      <c r="BI39" s="28" t="s">
        <v>17</v>
      </c>
      <c r="BJ39" s="28" t="s">
        <v>18</v>
      </c>
      <c r="BK39" s="28" t="s">
        <v>22</v>
      </c>
      <c r="BL39" s="28" t="s">
        <v>17</v>
      </c>
      <c r="BM39" s="28" t="s">
        <v>18</v>
      </c>
      <c r="BN39" s="28" t="s">
        <v>22</v>
      </c>
      <c r="BO39" s="28" t="s">
        <v>18</v>
      </c>
      <c r="BP39" s="28" t="s">
        <v>17</v>
      </c>
      <c r="BQ39" s="28" t="s">
        <v>17</v>
      </c>
      <c r="BR39" s="28" t="s">
        <v>22</v>
      </c>
      <c r="BS39" s="28" t="s">
        <v>18</v>
      </c>
    </row>
    <row r="40" spans="1:71" x14ac:dyDescent="0.3">
      <c r="A40" s="93"/>
      <c r="B40" s="93"/>
      <c r="C40" s="26">
        <v>44745.75</v>
      </c>
      <c r="D40" s="37">
        <f t="shared" si="14"/>
        <v>0.29166666666424135</v>
      </c>
      <c r="E40" s="38">
        <f t="shared" si="12"/>
        <v>12.291666666664241</v>
      </c>
      <c r="F40" s="5">
        <f t="shared" si="13"/>
        <v>12.291666666664241</v>
      </c>
      <c r="G40" s="1">
        <f t="shared" si="0"/>
        <v>0</v>
      </c>
      <c r="H40" s="1">
        <f t="shared" si="1"/>
        <v>0</v>
      </c>
      <c r="I40" s="1">
        <f t="shared" si="2"/>
        <v>0</v>
      </c>
      <c r="J40" s="1">
        <f t="shared" si="3"/>
        <v>0</v>
      </c>
      <c r="K40" s="1">
        <f t="shared" si="4"/>
        <v>2</v>
      </c>
      <c r="L40" s="1">
        <f t="shared" si="5"/>
        <v>0</v>
      </c>
      <c r="M40" s="1">
        <f t="shared" si="6"/>
        <v>0</v>
      </c>
      <c r="O40" s="1">
        <f t="shared" si="7"/>
        <v>18</v>
      </c>
      <c r="P40" s="1">
        <f t="shared" si="8"/>
        <v>15</v>
      </c>
      <c r="Q40" s="1">
        <f t="shared" si="9"/>
        <v>11</v>
      </c>
      <c r="R40" s="1">
        <f t="shared" si="10"/>
        <v>6</v>
      </c>
      <c r="S40" s="1">
        <f t="shared" si="11"/>
        <v>0</v>
      </c>
      <c r="T40" s="28" t="s">
        <v>17</v>
      </c>
      <c r="U40" s="28" t="s">
        <v>17</v>
      </c>
      <c r="V40" s="28" t="s">
        <v>18</v>
      </c>
      <c r="W40" s="28" t="s">
        <v>22</v>
      </c>
      <c r="X40" s="28" t="s">
        <v>17</v>
      </c>
      <c r="Y40" s="28" t="s">
        <v>18</v>
      </c>
      <c r="Z40" s="28" t="s">
        <v>22</v>
      </c>
      <c r="AA40" s="28" t="s">
        <v>29</v>
      </c>
      <c r="AB40" s="28" t="s">
        <v>17</v>
      </c>
      <c r="AC40" s="28" t="s">
        <v>18</v>
      </c>
      <c r="AD40" s="28" t="s">
        <v>29</v>
      </c>
      <c r="AE40" s="28" t="s">
        <v>22</v>
      </c>
      <c r="AF40" s="28" t="s">
        <v>17</v>
      </c>
      <c r="AG40" s="28" t="s">
        <v>17</v>
      </c>
      <c r="AH40" s="28" t="s">
        <v>22</v>
      </c>
      <c r="AI40" s="28" t="s">
        <v>22</v>
      </c>
      <c r="AJ40" s="28" t="s">
        <v>17</v>
      </c>
      <c r="AK40" s="28" t="s">
        <v>17</v>
      </c>
      <c r="AL40" s="28" t="s">
        <v>22</v>
      </c>
      <c r="AM40" s="28" t="s">
        <v>11</v>
      </c>
      <c r="AN40" s="28" t="s">
        <v>17</v>
      </c>
      <c r="AO40" s="28" t="s">
        <v>17</v>
      </c>
      <c r="AP40" s="28" t="s">
        <v>11</v>
      </c>
      <c r="AQ40" s="28" t="s">
        <v>29</v>
      </c>
      <c r="AR40" s="28" t="s">
        <v>17</v>
      </c>
      <c r="AS40" s="28" t="s">
        <v>18</v>
      </c>
      <c r="AT40" s="28" t="s">
        <v>18</v>
      </c>
      <c r="AU40" s="28" t="s">
        <v>29</v>
      </c>
      <c r="AV40" s="28" t="s">
        <v>29</v>
      </c>
      <c r="AW40" s="28" t="s">
        <v>22</v>
      </c>
      <c r="AX40" s="28" t="s">
        <v>18</v>
      </c>
      <c r="AY40" s="28" t="s">
        <v>18</v>
      </c>
      <c r="AZ40" s="28" t="s">
        <v>18</v>
      </c>
      <c r="BA40" s="28" t="s">
        <v>18</v>
      </c>
      <c r="BB40" s="28" t="s">
        <v>29</v>
      </c>
      <c r="BC40" s="28" t="s">
        <v>22</v>
      </c>
      <c r="BD40" s="28" t="s">
        <v>17</v>
      </c>
      <c r="BE40" s="28" t="s">
        <v>17</v>
      </c>
      <c r="BF40" s="28" t="s">
        <v>18</v>
      </c>
      <c r="BG40" s="28" t="s">
        <v>18</v>
      </c>
      <c r="BH40" s="28" t="s">
        <v>17</v>
      </c>
      <c r="BI40" s="28" t="s">
        <v>17</v>
      </c>
      <c r="BJ40" s="28" t="s">
        <v>18</v>
      </c>
      <c r="BK40" s="28" t="s">
        <v>22</v>
      </c>
      <c r="BL40" s="28" t="s">
        <v>17</v>
      </c>
      <c r="BM40" s="28" t="s">
        <v>18</v>
      </c>
      <c r="BN40" s="28" t="s">
        <v>22</v>
      </c>
      <c r="BO40" s="28" t="s">
        <v>18</v>
      </c>
      <c r="BP40" s="28" t="s">
        <v>17</v>
      </c>
      <c r="BQ40" s="28" t="s">
        <v>17</v>
      </c>
      <c r="BR40" s="28" t="s">
        <v>22</v>
      </c>
      <c r="BS40" s="28" t="s">
        <v>18</v>
      </c>
    </row>
    <row r="41" spans="1:71" x14ac:dyDescent="0.3">
      <c r="A41" s="93"/>
      <c r="B41" s="93"/>
      <c r="C41" s="26">
        <v>44745.958333333336</v>
      </c>
      <c r="D41" s="37">
        <f t="shared" si="14"/>
        <v>0.20833333333575865</v>
      </c>
      <c r="E41" s="38">
        <f t="shared" si="12"/>
        <v>12.5</v>
      </c>
      <c r="F41" s="5">
        <f t="shared" si="13"/>
        <v>12.5</v>
      </c>
      <c r="G41" s="1">
        <f t="shared" si="0"/>
        <v>0</v>
      </c>
      <c r="H41" s="1">
        <f t="shared" si="1"/>
        <v>0</v>
      </c>
      <c r="I41" s="1">
        <f t="shared" si="2"/>
        <v>0</v>
      </c>
      <c r="J41" s="1">
        <f t="shared" si="3"/>
        <v>0</v>
      </c>
      <c r="K41" s="1">
        <f t="shared" si="4"/>
        <v>2</v>
      </c>
      <c r="L41" s="1">
        <f t="shared" si="5"/>
        <v>0</v>
      </c>
      <c r="M41" s="1">
        <f t="shared" si="6"/>
        <v>0</v>
      </c>
      <c r="O41" s="1">
        <f t="shared" si="7"/>
        <v>18</v>
      </c>
      <c r="P41" s="1">
        <f t="shared" si="8"/>
        <v>15</v>
      </c>
      <c r="Q41" s="1">
        <f t="shared" si="9"/>
        <v>11</v>
      </c>
      <c r="R41" s="1">
        <f t="shared" si="10"/>
        <v>6</v>
      </c>
      <c r="S41" s="1">
        <f t="shared" si="11"/>
        <v>0</v>
      </c>
      <c r="T41" s="28" t="s">
        <v>17</v>
      </c>
      <c r="U41" s="28" t="s">
        <v>17</v>
      </c>
      <c r="V41" s="28" t="s">
        <v>18</v>
      </c>
      <c r="W41" s="28" t="s">
        <v>22</v>
      </c>
      <c r="X41" s="28" t="s">
        <v>17</v>
      </c>
      <c r="Y41" s="28" t="s">
        <v>18</v>
      </c>
      <c r="Z41" s="28" t="s">
        <v>22</v>
      </c>
      <c r="AA41" s="28" t="s">
        <v>29</v>
      </c>
      <c r="AB41" s="28" t="s">
        <v>17</v>
      </c>
      <c r="AC41" s="28" t="s">
        <v>18</v>
      </c>
      <c r="AD41" s="28" t="s">
        <v>29</v>
      </c>
      <c r="AE41" s="28" t="s">
        <v>22</v>
      </c>
      <c r="AF41" s="28" t="s">
        <v>17</v>
      </c>
      <c r="AG41" s="28" t="s">
        <v>17</v>
      </c>
      <c r="AH41" s="28" t="s">
        <v>22</v>
      </c>
      <c r="AI41" s="28" t="s">
        <v>22</v>
      </c>
      <c r="AJ41" s="28" t="s">
        <v>17</v>
      </c>
      <c r="AK41" s="28" t="s">
        <v>17</v>
      </c>
      <c r="AL41" s="28" t="s">
        <v>22</v>
      </c>
      <c r="AM41" s="28" t="s">
        <v>11</v>
      </c>
      <c r="AN41" s="28" t="s">
        <v>17</v>
      </c>
      <c r="AO41" s="28" t="s">
        <v>17</v>
      </c>
      <c r="AP41" s="28" t="s">
        <v>11</v>
      </c>
      <c r="AQ41" s="28" t="s">
        <v>29</v>
      </c>
      <c r="AR41" s="28" t="s">
        <v>17</v>
      </c>
      <c r="AS41" s="28" t="s">
        <v>18</v>
      </c>
      <c r="AT41" s="28" t="s">
        <v>18</v>
      </c>
      <c r="AU41" s="28" t="s">
        <v>29</v>
      </c>
      <c r="AV41" s="28" t="s">
        <v>29</v>
      </c>
      <c r="AW41" s="28" t="s">
        <v>22</v>
      </c>
      <c r="AX41" s="28" t="s">
        <v>18</v>
      </c>
      <c r="AY41" s="28" t="s">
        <v>18</v>
      </c>
      <c r="AZ41" s="28" t="s">
        <v>18</v>
      </c>
      <c r="BA41" s="28" t="s">
        <v>18</v>
      </c>
      <c r="BB41" s="28" t="s">
        <v>29</v>
      </c>
      <c r="BC41" s="28" t="s">
        <v>22</v>
      </c>
      <c r="BD41" s="28" t="s">
        <v>17</v>
      </c>
      <c r="BE41" s="28" t="s">
        <v>17</v>
      </c>
      <c r="BF41" s="28" t="s">
        <v>18</v>
      </c>
      <c r="BG41" s="28" t="s">
        <v>18</v>
      </c>
      <c r="BH41" s="28" t="s">
        <v>17</v>
      </c>
      <c r="BI41" s="28" t="s">
        <v>17</v>
      </c>
      <c r="BJ41" s="28" t="s">
        <v>18</v>
      </c>
      <c r="BK41" s="28" t="s">
        <v>22</v>
      </c>
      <c r="BL41" s="28" t="s">
        <v>17</v>
      </c>
      <c r="BM41" s="28" t="s">
        <v>18</v>
      </c>
      <c r="BN41" s="28" t="s">
        <v>22</v>
      </c>
      <c r="BO41" s="28" t="s">
        <v>18</v>
      </c>
      <c r="BP41" s="28" t="s">
        <v>17</v>
      </c>
      <c r="BQ41" s="28" t="s">
        <v>17</v>
      </c>
      <c r="BR41" s="28" t="s">
        <v>22</v>
      </c>
      <c r="BS41" s="28" t="s">
        <v>18</v>
      </c>
    </row>
    <row r="42" spans="1:71" x14ac:dyDescent="0.3">
      <c r="A42" s="93">
        <f t="shared" ref="A42:B42" si="26">A39+1</f>
        <v>185</v>
      </c>
      <c r="B42" s="93">
        <f t="shared" si="26"/>
        <v>14</v>
      </c>
      <c r="C42" s="26">
        <v>44746.458333333336</v>
      </c>
      <c r="D42" s="37">
        <f t="shared" si="14"/>
        <v>0.5</v>
      </c>
      <c r="E42" s="38">
        <f t="shared" si="12"/>
        <v>13</v>
      </c>
      <c r="F42" s="5">
        <f t="shared" si="13"/>
        <v>13</v>
      </c>
      <c r="G42" s="1">
        <f t="shared" si="0"/>
        <v>0</v>
      </c>
      <c r="H42" s="1">
        <f t="shared" si="1"/>
        <v>0</v>
      </c>
      <c r="I42" s="1">
        <f t="shared" si="2"/>
        <v>0</v>
      </c>
      <c r="J42" s="1">
        <f t="shared" si="3"/>
        <v>0</v>
      </c>
      <c r="K42" s="1">
        <f t="shared" si="4"/>
        <v>2</v>
      </c>
      <c r="L42" s="1">
        <f t="shared" si="5"/>
        <v>0</v>
      </c>
      <c r="M42" s="1">
        <f t="shared" si="6"/>
        <v>0</v>
      </c>
      <c r="O42" s="1">
        <f t="shared" si="7"/>
        <v>18</v>
      </c>
      <c r="P42" s="1">
        <f t="shared" si="8"/>
        <v>15</v>
      </c>
      <c r="Q42" s="1">
        <f t="shared" si="9"/>
        <v>11</v>
      </c>
      <c r="R42" s="1">
        <f t="shared" si="10"/>
        <v>6</v>
      </c>
      <c r="S42" s="1">
        <f t="shared" si="11"/>
        <v>0</v>
      </c>
      <c r="T42" s="28" t="s">
        <v>17</v>
      </c>
      <c r="U42" s="28" t="s">
        <v>17</v>
      </c>
      <c r="V42" s="28" t="s">
        <v>18</v>
      </c>
      <c r="W42" s="28" t="s">
        <v>22</v>
      </c>
      <c r="X42" s="28" t="s">
        <v>17</v>
      </c>
      <c r="Y42" s="28" t="s">
        <v>18</v>
      </c>
      <c r="Z42" s="28" t="s">
        <v>22</v>
      </c>
      <c r="AA42" s="28" t="s">
        <v>29</v>
      </c>
      <c r="AB42" s="28" t="s">
        <v>17</v>
      </c>
      <c r="AC42" s="28" t="s">
        <v>18</v>
      </c>
      <c r="AD42" s="28" t="s">
        <v>29</v>
      </c>
      <c r="AE42" s="28" t="s">
        <v>22</v>
      </c>
      <c r="AF42" s="28" t="s">
        <v>17</v>
      </c>
      <c r="AG42" s="28" t="s">
        <v>17</v>
      </c>
      <c r="AH42" s="28" t="s">
        <v>22</v>
      </c>
      <c r="AI42" s="28" t="s">
        <v>22</v>
      </c>
      <c r="AJ42" s="28" t="s">
        <v>17</v>
      </c>
      <c r="AK42" s="28" t="s">
        <v>17</v>
      </c>
      <c r="AL42" s="28" t="s">
        <v>22</v>
      </c>
      <c r="AM42" s="28" t="s">
        <v>11</v>
      </c>
      <c r="AN42" s="28" t="s">
        <v>17</v>
      </c>
      <c r="AO42" s="28" t="s">
        <v>17</v>
      </c>
      <c r="AP42" s="28" t="s">
        <v>11</v>
      </c>
      <c r="AQ42" s="28" t="s">
        <v>29</v>
      </c>
      <c r="AR42" s="28" t="s">
        <v>17</v>
      </c>
      <c r="AS42" s="28" t="s">
        <v>18</v>
      </c>
      <c r="AT42" s="28" t="s">
        <v>18</v>
      </c>
      <c r="AU42" s="28" t="s">
        <v>29</v>
      </c>
      <c r="AV42" s="28" t="s">
        <v>29</v>
      </c>
      <c r="AW42" s="28" t="s">
        <v>22</v>
      </c>
      <c r="AX42" s="28" t="s">
        <v>18</v>
      </c>
      <c r="AY42" s="28" t="s">
        <v>18</v>
      </c>
      <c r="AZ42" s="28" t="s">
        <v>18</v>
      </c>
      <c r="BA42" s="28" t="s">
        <v>18</v>
      </c>
      <c r="BB42" s="28" t="s">
        <v>29</v>
      </c>
      <c r="BC42" s="28" t="s">
        <v>22</v>
      </c>
      <c r="BD42" s="28" t="s">
        <v>17</v>
      </c>
      <c r="BE42" s="28" t="s">
        <v>17</v>
      </c>
      <c r="BF42" s="28" t="s">
        <v>18</v>
      </c>
      <c r="BG42" s="28" t="s">
        <v>18</v>
      </c>
      <c r="BH42" s="28" t="s">
        <v>17</v>
      </c>
      <c r="BI42" s="28" t="s">
        <v>17</v>
      </c>
      <c r="BJ42" s="28" t="s">
        <v>18</v>
      </c>
      <c r="BK42" s="28" t="s">
        <v>22</v>
      </c>
      <c r="BL42" s="28" t="s">
        <v>17</v>
      </c>
      <c r="BM42" s="28" t="s">
        <v>18</v>
      </c>
      <c r="BN42" s="28" t="s">
        <v>22</v>
      </c>
      <c r="BO42" s="28" t="s">
        <v>18</v>
      </c>
      <c r="BP42" s="28" t="s">
        <v>17</v>
      </c>
      <c r="BQ42" s="28" t="s">
        <v>17</v>
      </c>
      <c r="BR42" s="28" t="s">
        <v>22</v>
      </c>
      <c r="BS42" s="28" t="s">
        <v>18</v>
      </c>
    </row>
    <row r="43" spans="1:71" x14ac:dyDescent="0.3">
      <c r="A43" s="93"/>
      <c r="B43" s="93"/>
      <c r="C43" s="26">
        <v>44746.75</v>
      </c>
      <c r="D43" s="37">
        <f t="shared" si="14"/>
        <v>0.29166666666424135</v>
      </c>
      <c r="E43" s="38">
        <f t="shared" si="12"/>
        <v>13.291666666664241</v>
      </c>
      <c r="F43" s="5">
        <f t="shared" si="13"/>
        <v>13.291666666664241</v>
      </c>
      <c r="G43" s="1">
        <f t="shared" si="0"/>
        <v>0</v>
      </c>
      <c r="H43" s="1">
        <f t="shared" si="1"/>
        <v>0</v>
      </c>
      <c r="I43" s="1">
        <f t="shared" si="2"/>
        <v>0</v>
      </c>
      <c r="J43" s="1">
        <f t="shared" si="3"/>
        <v>0</v>
      </c>
      <c r="K43" s="1">
        <f t="shared" si="4"/>
        <v>2</v>
      </c>
      <c r="L43" s="1">
        <f t="shared" si="5"/>
        <v>0</v>
      </c>
      <c r="M43" s="1">
        <f t="shared" si="6"/>
        <v>0</v>
      </c>
      <c r="O43" s="1">
        <f t="shared" si="7"/>
        <v>18</v>
      </c>
      <c r="P43" s="1">
        <f t="shared" si="8"/>
        <v>15</v>
      </c>
      <c r="Q43" s="1">
        <f t="shared" si="9"/>
        <v>11</v>
      </c>
      <c r="R43" s="1">
        <f t="shared" si="10"/>
        <v>6</v>
      </c>
      <c r="S43" s="1">
        <f t="shared" si="11"/>
        <v>0</v>
      </c>
      <c r="T43" s="28" t="s">
        <v>17</v>
      </c>
      <c r="U43" s="28" t="s">
        <v>17</v>
      </c>
      <c r="V43" s="28" t="s">
        <v>18</v>
      </c>
      <c r="W43" s="28" t="s">
        <v>22</v>
      </c>
      <c r="X43" s="28" t="s">
        <v>17</v>
      </c>
      <c r="Y43" s="28" t="s">
        <v>18</v>
      </c>
      <c r="Z43" s="28" t="s">
        <v>22</v>
      </c>
      <c r="AA43" s="28" t="s">
        <v>29</v>
      </c>
      <c r="AB43" s="28" t="s">
        <v>17</v>
      </c>
      <c r="AC43" s="28" t="s">
        <v>18</v>
      </c>
      <c r="AD43" s="28" t="s">
        <v>29</v>
      </c>
      <c r="AE43" s="28" t="s">
        <v>22</v>
      </c>
      <c r="AF43" s="28" t="s">
        <v>17</v>
      </c>
      <c r="AG43" s="28" t="s">
        <v>17</v>
      </c>
      <c r="AH43" s="28" t="s">
        <v>22</v>
      </c>
      <c r="AI43" s="28" t="s">
        <v>22</v>
      </c>
      <c r="AJ43" s="28" t="s">
        <v>17</v>
      </c>
      <c r="AK43" s="28" t="s">
        <v>17</v>
      </c>
      <c r="AL43" s="28" t="s">
        <v>22</v>
      </c>
      <c r="AM43" s="28" t="s">
        <v>11</v>
      </c>
      <c r="AN43" s="28" t="s">
        <v>17</v>
      </c>
      <c r="AO43" s="28" t="s">
        <v>17</v>
      </c>
      <c r="AP43" s="28" t="s">
        <v>11</v>
      </c>
      <c r="AQ43" s="28" t="s">
        <v>29</v>
      </c>
      <c r="AR43" s="28" t="s">
        <v>17</v>
      </c>
      <c r="AS43" s="28" t="s">
        <v>18</v>
      </c>
      <c r="AT43" s="28" t="s">
        <v>18</v>
      </c>
      <c r="AU43" s="28" t="s">
        <v>29</v>
      </c>
      <c r="AV43" s="28" t="s">
        <v>29</v>
      </c>
      <c r="AW43" s="28" t="s">
        <v>22</v>
      </c>
      <c r="AX43" s="28" t="s">
        <v>18</v>
      </c>
      <c r="AY43" s="28" t="s">
        <v>18</v>
      </c>
      <c r="AZ43" s="28" t="s">
        <v>18</v>
      </c>
      <c r="BA43" s="28" t="s">
        <v>18</v>
      </c>
      <c r="BB43" s="28" t="s">
        <v>29</v>
      </c>
      <c r="BC43" s="28" t="s">
        <v>22</v>
      </c>
      <c r="BD43" s="28" t="s">
        <v>17</v>
      </c>
      <c r="BE43" s="28" t="s">
        <v>17</v>
      </c>
      <c r="BF43" s="28" t="s">
        <v>18</v>
      </c>
      <c r="BG43" s="28" t="s">
        <v>18</v>
      </c>
      <c r="BH43" s="28" t="s">
        <v>17</v>
      </c>
      <c r="BI43" s="28" t="s">
        <v>17</v>
      </c>
      <c r="BJ43" s="28" t="s">
        <v>18</v>
      </c>
      <c r="BK43" s="28" t="s">
        <v>22</v>
      </c>
      <c r="BL43" s="28" t="s">
        <v>17</v>
      </c>
      <c r="BM43" s="28" t="s">
        <v>18</v>
      </c>
      <c r="BN43" s="28" t="s">
        <v>22</v>
      </c>
      <c r="BO43" s="28" t="s">
        <v>18</v>
      </c>
      <c r="BP43" s="28" t="s">
        <v>17</v>
      </c>
      <c r="BQ43" s="28" t="s">
        <v>17</v>
      </c>
      <c r="BR43" s="28" t="s">
        <v>22</v>
      </c>
      <c r="BS43" s="28" t="s">
        <v>18</v>
      </c>
    </row>
    <row r="44" spans="1:71" x14ac:dyDescent="0.3">
      <c r="A44" s="93"/>
      <c r="B44" s="93"/>
      <c r="C44" s="26">
        <v>44746.958333333336</v>
      </c>
      <c r="D44" s="37">
        <f t="shared" si="14"/>
        <v>0.20833333333575865</v>
      </c>
      <c r="E44" s="38">
        <f t="shared" si="12"/>
        <v>13.5</v>
      </c>
      <c r="F44" s="5">
        <f t="shared" si="13"/>
        <v>13.5</v>
      </c>
      <c r="G44" s="1">
        <f t="shared" si="0"/>
        <v>0</v>
      </c>
      <c r="H44" s="1">
        <f t="shared" si="1"/>
        <v>0</v>
      </c>
      <c r="I44" s="1">
        <f t="shared" si="2"/>
        <v>0</v>
      </c>
      <c r="J44" s="1">
        <f t="shared" si="3"/>
        <v>0</v>
      </c>
      <c r="K44" s="1">
        <f t="shared" si="4"/>
        <v>2</v>
      </c>
      <c r="L44" s="1">
        <f t="shared" si="5"/>
        <v>0</v>
      </c>
      <c r="M44" s="1">
        <f t="shared" si="6"/>
        <v>0</v>
      </c>
      <c r="O44" s="1">
        <f t="shared" si="7"/>
        <v>18</v>
      </c>
      <c r="P44" s="1">
        <f t="shared" si="8"/>
        <v>15</v>
      </c>
      <c r="Q44" s="1">
        <f t="shared" si="9"/>
        <v>11</v>
      </c>
      <c r="R44" s="1">
        <f t="shared" si="10"/>
        <v>6</v>
      </c>
      <c r="S44" s="1">
        <f t="shared" si="11"/>
        <v>0</v>
      </c>
      <c r="T44" s="28" t="s">
        <v>17</v>
      </c>
      <c r="U44" s="28" t="s">
        <v>17</v>
      </c>
      <c r="V44" s="28" t="s">
        <v>18</v>
      </c>
      <c r="W44" s="28" t="s">
        <v>22</v>
      </c>
      <c r="X44" s="28" t="s">
        <v>17</v>
      </c>
      <c r="Y44" s="28" t="s">
        <v>18</v>
      </c>
      <c r="Z44" s="28" t="s">
        <v>22</v>
      </c>
      <c r="AA44" s="28" t="s">
        <v>29</v>
      </c>
      <c r="AB44" s="28" t="s">
        <v>17</v>
      </c>
      <c r="AC44" s="28" t="s">
        <v>18</v>
      </c>
      <c r="AD44" s="28" t="s">
        <v>29</v>
      </c>
      <c r="AE44" s="28" t="s">
        <v>22</v>
      </c>
      <c r="AF44" s="28" t="s">
        <v>17</v>
      </c>
      <c r="AG44" s="28" t="s">
        <v>17</v>
      </c>
      <c r="AH44" s="28" t="s">
        <v>22</v>
      </c>
      <c r="AI44" s="28" t="s">
        <v>22</v>
      </c>
      <c r="AJ44" s="28" t="s">
        <v>17</v>
      </c>
      <c r="AK44" s="28" t="s">
        <v>17</v>
      </c>
      <c r="AL44" s="28" t="s">
        <v>22</v>
      </c>
      <c r="AM44" s="28" t="s">
        <v>11</v>
      </c>
      <c r="AN44" s="28" t="s">
        <v>17</v>
      </c>
      <c r="AO44" s="28" t="s">
        <v>17</v>
      </c>
      <c r="AP44" s="28" t="s">
        <v>11</v>
      </c>
      <c r="AQ44" s="28" t="s">
        <v>29</v>
      </c>
      <c r="AR44" s="28" t="s">
        <v>17</v>
      </c>
      <c r="AS44" s="28" t="s">
        <v>18</v>
      </c>
      <c r="AT44" s="28" t="s">
        <v>18</v>
      </c>
      <c r="AU44" s="28" t="s">
        <v>29</v>
      </c>
      <c r="AV44" s="28" t="s">
        <v>29</v>
      </c>
      <c r="AW44" s="28" t="s">
        <v>22</v>
      </c>
      <c r="AX44" s="28" t="s">
        <v>18</v>
      </c>
      <c r="AY44" s="28" t="s">
        <v>18</v>
      </c>
      <c r="AZ44" s="28" t="s">
        <v>18</v>
      </c>
      <c r="BA44" s="28" t="s">
        <v>18</v>
      </c>
      <c r="BB44" s="28" t="s">
        <v>29</v>
      </c>
      <c r="BC44" s="28" t="s">
        <v>22</v>
      </c>
      <c r="BD44" s="28" t="s">
        <v>17</v>
      </c>
      <c r="BE44" s="28" t="s">
        <v>17</v>
      </c>
      <c r="BF44" s="28" t="s">
        <v>18</v>
      </c>
      <c r="BG44" s="28" t="s">
        <v>18</v>
      </c>
      <c r="BH44" s="28" t="s">
        <v>17</v>
      </c>
      <c r="BI44" s="28" t="s">
        <v>17</v>
      </c>
      <c r="BJ44" s="28" t="s">
        <v>18</v>
      </c>
      <c r="BK44" s="28" t="s">
        <v>22</v>
      </c>
      <c r="BL44" s="28" t="s">
        <v>17</v>
      </c>
      <c r="BM44" s="28" t="s">
        <v>18</v>
      </c>
      <c r="BN44" s="28" t="s">
        <v>22</v>
      </c>
      <c r="BO44" s="28" t="s">
        <v>18</v>
      </c>
      <c r="BP44" s="28" t="s">
        <v>17</v>
      </c>
      <c r="BQ44" s="28" t="s">
        <v>17</v>
      </c>
      <c r="BR44" s="28" t="s">
        <v>22</v>
      </c>
      <c r="BS44" s="28" t="s">
        <v>18</v>
      </c>
    </row>
    <row r="45" spans="1:71" x14ac:dyDescent="0.3">
      <c r="A45" s="93">
        <f t="shared" ref="A45:B45" si="27">A42+1</f>
        <v>186</v>
      </c>
      <c r="B45" s="93">
        <f t="shared" si="27"/>
        <v>15</v>
      </c>
      <c r="C45" s="26">
        <v>44747.458333333336</v>
      </c>
      <c r="D45" s="37">
        <f t="shared" si="14"/>
        <v>0.5</v>
      </c>
      <c r="E45" s="38">
        <f t="shared" si="12"/>
        <v>14</v>
      </c>
      <c r="F45" s="5">
        <f t="shared" si="13"/>
        <v>14</v>
      </c>
      <c r="G45" s="1">
        <f t="shared" si="0"/>
        <v>0</v>
      </c>
      <c r="H45" s="1">
        <f t="shared" si="1"/>
        <v>0</v>
      </c>
      <c r="I45" s="1">
        <f t="shared" si="2"/>
        <v>0</v>
      </c>
      <c r="J45" s="1">
        <f t="shared" si="3"/>
        <v>0</v>
      </c>
      <c r="K45" s="1">
        <f t="shared" si="4"/>
        <v>2</v>
      </c>
      <c r="L45" s="1">
        <f t="shared" si="5"/>
        <v>0</v>
      </c>
      <c r="M45" s="1">
        <f t="shared" si="6"/>
        <v>0</v>
      </c>
      <c r="O45" s="1">
        <f t="shared" si="7"/>
        <v>18</v>
      </c>
      <c r="P45" s="1">
        <f t="shared" si="8"/>
        <v>15</v>
      </c>
      <c r="Q45" s="1">
        <f t="shared" si="9"/>
        <v>11</v>
      </c>
      <c r="R45" s="1">
        <f t="shared" si="10"/>
        <v>6</v>
      </c>
      <c r="S45" s="1">
        <f t="shared" si="11"/>
        <v>0</v>
      </c>
      <c r="T45" s="28" t="s">
        <v>17</v>
      </c>
      <c r="U45" s="28" t="s">
        <v>17</v>
      </c>
      <c r="V45" s="28" t="s">
        <v>18</v>
      </c>
      <c r="W45" s="28" t="s">
        <v>22</v>
      </c>
      <c r="X45" s="28" t="s">
        <v>17</v>
      </c>
      <c r="Y45" s="28" t="s">
        <v>18</v>
      </c>
      <c r="Z45" s="28" t="s">
        <v>22</v>
      </c>
      <c r="AA45" s="28" t="s">
        <v>29</v>
      </c>
      <c r="AB45" s="28" t="s">
        <v>17</v>
      </c>
      <c r="AC45" s="28" t="s">
        <v>18</v>
      </c>
      <c r="AD45" s="28" t="s">
        <v>29</v>
      </c>
      <c r="AE45" s="28" t="s">
        <v>22</v>
      </c>
      <c r="AF45" s="28" t="s">
        <v>17</v>
      </c>
      <c r="AG45" s="28" t="s">
        <v>17</v>
      </c>
      <c r="AH45" s="28" t="s">
        <v>22</v>
      </c>
      <c r="AI45" s="28" t="s">
        <v>22</v>
      </c>
      <c r="AJ45" s="28" t="s">
        <v>17</v>
      </c>
      <c r="AK45" s="28" t="s">
        <v>17</v>
      </c>
      <c r="AL45" s="28" t="s">
        <v>22</v>
      </c>
      <c r="AM45" s="28" t="s">
        <v>11</v>
      </c>
      <c r="AN45" s="28" t="s">
        <v>17</v>
      </c>
      <c r="AO45" s="28" t="s">
        <v>17</v>
      </c>
      <c r="AP45" s="28" t="s">
        <v>11</v>
      </c>
      <c r="AQ45" s="28" t="s">
        <v>29</v>
      </c>
      <c r="AR45" s="28" t="s">
        <v>17</v>
      </c>
      <c r="AS45" s="28" t="s">
        <v>18</v>
      </c>
      <c r="AT45" s="28" t="s">
        <v>18</v>
      </c>
      <c r="AU45" s="28" t="s">
        <v>29</v>
      </c>
      <c r="AV45" s="28" t="s">
        <v>29</v>
      </c>
      <c r="AW45" s="28" t="s">
        <v>22</v>
      </c>
      <c r="AX45" s="28" t="s">
        <v>18</v>
      </c>
      <c r="AY45" s="28" t="s">
        <v>18</v>
      </c>
      <c r="AZ45" s="28" t="s">
        <v>18</v>
      </c>
      <c r="BA45" s="28" t="s">
        <v>18</v>
      </c>
      <c r="BB45" s="28" t="s">
        <v>29</v>
      </c>
      <c r="BC45" s="28" t="s">
        <v>22</v>
      </c>
      <c r="BD45" s="28" t="s">
        <v>17</v>
      </c>
      <c r="BE45" s="28" t="s">
        <v>17</v>
      </c>
      <c r="BF45" s="28" t="s">
        <v>18</v>
      </c>
      <c r="BG45" s="28" t="s">
        <v>18</v>
      </c>
      <c r="BH45" s="28" t="s">
        <v>17</v>
      </c>
      <c r="BI45" s="28" t="s">
        <v>17</v>
      </c>
      <c r="BJ45" s="28" t="s">
        <v>18</v>
      </c>
      <c r="BK45" s="28" t="s">
        <v>22</v>
      </c>
      <c r="BL45" s="28" t="s">
        <v>17</v>
      </c>
      <c r="BM45" s="28" t="s">
        <v>18</v>
      </c>
      <c r="BN45" s="28" t="s">
        <v>22</v>
      </c>
      <c r="BO45" s="28" t="s">
        <v>18</v>
      </c>
      <c r="BP45" s="28" t="s">
        <v>17</v>
      </c>
      <c r="BQ45" s="28" t="s">
        <v>17</v>
      </c>
      <c r="BR45" s="28" t="s">
        <v>22</v>
      </c>
      <c r="BS45" s="28" t="s">
        <v>18</v>
      </c>
    </row>
    <row r="46" spans="1:71" x14ac:dyDescent="0.3">
      <c r="A46" s="93"/>
      <c r="B46" s="93"/>
      <c r="C46" s="26">
        <v>44747.75</v>
      </c>
      <c r="D46" s="37">
        <f t="shared" si="14"/>
        <v>0.29166666666424135</v>
      </c>
      <c r="E46" s="38">
        <f t="shared" si="12"/>
        <v>14.291666666664241</v>
      </c>
      <c r="F46" s="5">
        <f t="shared" si="13"/>
        <v>14.291666666664241</v>
      </c>
      <c r="G46" s="1">
        <f t="shared" si="0"/>
        <v>0</v>
      </c>
      <c r="H46" s="1">
        <f t="shared" si="1"/>
        <v>0</v>
      </c>
      <c r="I46" s="1">
        <f t="shared" si="2"/>
        <v>0</v>
      </c>
      <c r="J46" s="1">
        <f t="shared" si="3"/>
        <v>0</v>
      </c>
      <c r="K46" s="1">
        <f t="shared" si="4"/>
        <v>2</v>
      </c>
      <c r="L46" s="1">
        <f t="shared" si="5"/>
        <v>0</v>
      </c>
      <c r="M46" s="1">
        <f t="shared" si="6"/>
        <v>0</v>
      </c>
      <c r="O46" s="1">
        <f t="shared" si="7"/>
        <v>18</v>
      </c>
      <c r="P46" s="1">
        <f t="shared" si="8"/>
        <v>15</v>
      </c>
      <c r="Q46" s="1">
        <f t="shared" si="9"/>
        <v>11</v>
      </c>
      <c r="R46" s="1">
        <f t="shared" si="10"/>
        <v>6</v>
      </c>
      <c r="S46" s="1">
        <f t="shared" si="11"/>
        <v>0</v>
      </c>
      <c r="T46" s="28" t="s">
        <v>17</v>
      </c>
      <c r="U46" s="28" t="s">
        <v>17</v>
      </c>
      <c r="V46" s="28" t="s">
        <v>18</v>
      </c>
      <c r="W46" s="28" t="s">
        <v>22</v>
      </c>
      <c r="X46" s="28" t="s">
        <v>17</v>
      </c>
      <c r="Y46" s="28" t="s">
        <v>18</v>
      </c>
      <c r="Z46" s="28" t="s">
        <v>22</v>
      </c>
      <c r="AA46" s="28" t="s">
        <v>29</v>
      </c>
      <c r="AB46" s="28" t="s">
        <v>17</v>
      </c>
      <c r="AC46" s="28" t="s">
        <v>18</v>
      </c>
      <c r="AD46" s="28" t="s">
        <v>29</v>
      </c>
      <c r="AE46" s="28" t="s">
        <v>22</v>
      </c>
      <c r="AF46" s="28" t="s">
        <v>17</v>
      </c>
      <c r="AG46" s="28" t="s">
        <v>17</v>
      </c>
      <c r="AH46" s="28" t="s">
        <v>22</v>
      </c>
      <c r="AI46" s="28" t="s">
        <v>22</v>
      </c>
      <c r="AJ46" s="28" t="s">
        <v>17</v>
      </c>
      <c r="AK46" s="28" t="s">
        <v>17</v>
      </c>
      <c r="AL46" s="28" t="s">
        <v>22</v>
      </c>
      <c r="AM46" s="28" t="s">
        <v>11</v>
      </c>
      <c r="AN46" s="28" t="s">
        <v>17</v>
      </c>
      <c r="AO46" s="28" t="s">
        <v>17</v>
      </c>
      <c r="AP46" s="28" t="s">
        <v>11</v>
      </c>
      <c r="AQ46" s="28" t="s">
        <v>29</v>
      </c>
      <c r="AR46" s="28" t="s">
        <v>17</v>
      </c>
      <c r="AS46" s="28" t="s">
        <v>18</v>
      </c>
      <c r="AT46" s="28" t="s">
        <v>18</v>
      </c>
      <c r="AU46" s="28" t="s">
        <v>29</v>
      </c>
      <c r="AV46" s="28" t="s">
        <v>29</v>
      </c>
      <c r="AW46" s="28" t="s">
        <v>22</v>
      </c>
      <c r="AX46" s="28" t="s">
        <v>18</v>
      </c>
      <c r="AY46" s="28" t="s">
        <v>18</v>
      </c>
      <c r="AZ46" s="28" t="s">
        <v>18</v>
      </c>
      <c r="BA46" s="28" t="s">
        <v>18</v>
      </c>
      <c r="BB46" s="28" t="s">
        <v>29</v>
      </c>
      <c r="BC46" s="28" t="s">
        <v>22</v>
      </c>
      <c r="BD46" s="28" t="s">
        <v>17</v>
      </c>
      <c r="BE46" s="28" t="s">
        <v>17</v>
      </c>
      <c r="BF46" s="28" t="s">
        <v>18</v>
      </c>
      <c r="BG46" s="28" t="s">
        <v>18</v>
      </c>
      <c r="BH46" s="28" t="s">
        <v>17</v>
      </c>
      <c r="BI46" s="28" t="s">
        <v>17</v>
      </c>
      <c r="BJ46" s="28" t="s">
        <v>18</v>
      </c>
      <c r="BK46" s="28" t="s">
        <v>22</v>
      </c>
      <c r="BL46" s="28" t="s">
        <v>17</v>
      </c>
      <c r="BM46" s="28" t="s">
        <v>18</v>
      </c>
      <c r="BN46" s="28" t="s">
        <v>22</v>
      </c>
      <c r="BO46" s="28" t="s">
        <v>18</v>
      </c>
      <c r="BP46" s="28" t="s">
        <v>17</v>
      </c>
      <c r="BQ46" s="28" t="s">
        <v>17</v>
      </c>
      <c r="BR46" s="28" t="s">
        <v>22</v>
      </c>
      <c r="BS46" s="28" t="s">
        <v>18</v>
      </c>
    </row>
    <row r="47" spans="1:71" x14ac:dyDescent="0.3">
      <c r="A47" s="93"/>
      <c r="B47" s="93"/>
      <c r="C47" s="26">
        <v>44747.958333333336</v>
      </c>
      <c r="D47" s="37">
        <f t="shared" si="14"/>
        <v>0.20833333333575865</v>
      </c>
      <c r="E47" s="38">
        <f t="shared" si="12"/>
        <v>14.5</v>
      </c>
      <c r="F47" s="5">
        <f t="shared" si="13"/>
        <v>14.5</v>
      </c>
      <c r="G47" s="1">
        <f t="shared" si="0"/>
        <v>0</v>
      </c>
      <c r="H47" s="1">
        <f t="shared" si="1"/>
        <v>0</v>
      </c>
      <c r="I47" s="1">
        <f t="shared" si="2"/>
        <v>0</v>
      </c>
      <c r="J47" s="1">
        <f t="shared" si="3"/>
        <v>0</v>
      </c>
      <c r="K47" s="1">
        <f t="shared" si="4"/>
        <v>2</v>
      </c>
      <c r="L47" s="1">
        <f t="shared" si="5"/>
        <v>0</v>
      </c>
      <c r="M47" s="1">
        <f t="shared" si="6"/>
        <v>0</v>
      </c>
      <c r="O47" s="1">
        <f t="shared" si="7"/>
        <v>18</v>
      </c>
      <c r="P47" s="1">
        <f t="shared" si="8"/>
        <v>15</v>
      </c>
      <c r="Q47" s="1">
        <f t="shared" si="9"/>
        <v>11</v>
      </c>
      <c r="R47" s="1">
        <f t="shared" si="10"/>
        <v>6</v>
      </c>
      <c r="S47" s="1">
        <f t="shared" si="11"/>
        <v>0</v>
      </c>
      <c r="T47" s="28" t="s">
        <v>17</v>
      </c>
      <c r="U47" s="28" t="s">
        <v>17</v>
      </c>
      <c r="V47" s="28" t="s">
        <v>18</v>
      </c>
      <c r="W47" s="28" t="s">
        <v>22</v>
      </c>
      <c r="X47" s="28" t="s">
        <v>17</v>
      </c>
      <c r="Y47" s="28" t="s">
        <v>18</v>
      </c>
      <c r="Z47" s="28" t="s">
        <v>22</v>
      </c>
      <c r="AA47" s="28" t="s">
        <v>29</v>
      </c>
      <c r="AB47" s="28" t="s">
        <v>17</v>
      </c>
      <c r="AC47" s="28" t="s">
        <v>18</v>
      </c>
      <c r="AD47" s="28" t="s">
        <v>29</v>
      </c>
      <c r="AE47" s="28" t="s">
        <v>22</v>
      </c>
      <c r="AF47" s="28" t="s">
        <v>17</v>
      </c>
      <c r="AG47" s="28" t="s">
        <v>17</v>
      </c>
      <c r="AH47" s="28" t="s">
        <v>22</v>
      </c>
      <c r="AI47" s="28" t="s">
        <v>22</v>
      </c>
      <c r="AJ47" s="28" t="s">
        <v>17</v>
      </c>
      <c r="AK47" s="28" t="s">
        <v>17</v>
      </c>
      <c r="AL47" s="28" t="s">
        <v>22</v>
      </c>
      <c r="AM47" s="28" t="s">
        <v>11</v>
      </c>
      <c r="AN47" s="28" t="s">
        <v>17</v>
      </c>
      <c r="AO47" s="28" t="s">
        <v>17</v>
      </c>
      <c r="AP47" s="28" t="s">
        <v>11</v>
      </c>
      <c r="AQ47" s="28" t="s">
        <v>29</v>
      </c>
      <c r="AR47" s="28" t="s">
        <v>17</v>
      </c>
      <c r="AS47" s="28" t="s">
        <v>18</v>
      </c>
      <c r="AT47" s="28" t="s">
        <v>18</v>
      </c>
      <c r="AU47" s="28" t="s">
        <v>29</v>
      </c>
      <c r="AV47" s="28" t="s">
        <v>29</v>
      </c>
      <c r="AW47" s="28" t="s">
        <v>22</v>
      </c>
      <c r="AX47" s="28" t="s">
        <v>18</v>
      </c>
      <c r="AY47" s="28" t="s">
        <v>18</v>
      </c>
      <c r="AZ47" s="28" t="s">
        <v>18</v>
      </c>
      <c r="BA47" s="28" t="s">
        <v>18</v>
      </c>
      <c r="BB47" s="28" t="s">
        <v>29</v>
      </c>
      <c r="BC47" s="28" t="s">
        <v>22</v>
      </c>
      <c r="BD47" s="28" t="s">
        <v>17</v>
      </c>
      <c r="BE47" s="28" t="s">
        <v>17</v>
      </c>
      <c r="BF47" s="28" t="s">
        <v>18</v>
      </c>
      <c r="BG47" s="28" t="s">
        <v>18</v>
      </c>
      <c r="BH47" s="28" t="s">
        <v>17</v>
      </c>
      <c r="BI47" s="28" t="s">
        <v>17</v>
      </c>
      <c r="BJ47" s="28" t="s">
        <v>18</v>
      </c>
      <c r="BK47" s="28" t="s">
        <v>22</v>
      </c>
      <c r="BL47" s="28" t="s">
        <v>17</v>
      </c>
      <c r="BM47" s="28" t="s">
        <v>18</v>
      </c>
      <c r="BN47" s="28" t="s">
        <v>22</v>
      </c>
      <c r="BO47" s="28" t="s">
        <v>18</v>
      </c>
      <c r="BP47" s="28" t="s">
        <v>17</v>
      </c>
      <c r="BQ47" s="28" t="s">
        <v>17</v>
      </c>
      <c r="BR47" s="28" t="s">
        <v>22</v>
      </c>
      <c r="BS47" s="28" t="s">
        <v>18</v>
      </c>
    </row>
    <row r="48" spans="1:71" x14ac:dyDescent="0.3">
      <c r="A48" s="93">
        <f t="shared" ref="A48:B48" si="28">A45+1</f>
        <v>187</v>
      </c>
      <c r="B48" s="93">
        <f t="shared" si="28"/>
        <v>16</v>
      </c>
      <c r="C48" s="26">
        <v>44748.458333333336</v>
      </c>
      <c r="D48" s="37">
        <f t="shared" si="14"/>
        <v>0.5</v>
      </c>
      <c r="E48" s="38">
        <f t="shared" si="12"/>
        <v>15</v>
      </c>
      <c r="F48" s="5">
        <f t="shared" si="13"/>
        <v>15</v>
      </c>
      <c r="G48" s="1">
        <f t="shared" si="0"/>
        <v>0</v>
      </c>
      <c r="H48" s="1">
        <f t="shared" si="1"/>
        <v>0</v>
      </c>
      <c r="I48" s="1">
        <f t="shared" si="2"/>
        <v>0</v>
      </c>
      <c r="J48" s="1">
        <f t="shared" si="3"/>
        <v>0</v>
      </c>
      <c r="K48" s="1">
        <f t="shared" si="4"/>
        <v>2</v>
      </c>
      <c r="L48" s="1">
        <f t="shared" si="5"/>
        <v>0</v>
      </c>
      <c r="M48" s="1">
        <f t="shared" si="6"/>
        <v>0</v>
      </c>
      <c r="O48" s="1">
        <f t="shared" si="7"/>
        <v>18</v>
      </c>
      <c r="P48" s="1">
        <f t="shared" si="8"/>
        <v>15</v>
      </c>
      <c r="Q48" s="1">
        <f t="shared" si="9"/>
        <v>11</v>
      </c>
      <c r="R48" s="1">
        <f t="shared" si="10"/>
        <v>6</v>
      </c>
      <c r="S48" s="1">
        <f t="shared" si="11"/>
        <v>0</v>
      </c>
      <c r="T48" s="28" t="s">
        <v>17</v>
      </c>
      <c r="U48" s="28" t="s">
        <v>17</v>
      </c>
      <c r="V48" s="28" t="s">
        <v>18</v>
      </c>
      <c r="W48" s="28" t="s">
        <v>22</v>
      </c>
      <c r="X48" s="28" t="s">
        <v>17</v>
      </c>
      <c r="Y48" s="28" t="s">
        <v>18</v>
      </c>
      <c r="Z48" s="28" t="s">
        <v>22</v>
      </c>
      <c r="AA48" s="28" t="s">
        <v>29</v>
      </c>
      <c r="AB48" s="28" t="s">
        <v>17</v>
      </c>
      <c r="AC48" s="28" t="s">
        <v>18</v>
      </c>
      <c r="AD48" s="28" t="s">
        <v>29</v>
      </c>
      <c r="AE48" s="28" t="s">
        <v>22</v>
      </c>
      <c r="AF48" s="28" t="s">
        <v>17</v>
      </c>
      <c r="AG48" s="28" t="s">
        <v>17</v>
      </c>
      <c r="AH48" s="28" t="s">
        <v>22</v>
      </c>
      <c r="AI48" s="28" t="s">
        <v>22</v>
      </c>
      <c r="AJ48" s="28" t="s">
        <v>17</v>
      </c>
      <c r="AK48" s="28" t="s">
        <v>17</v>
      </c>
      <c r="AL48" s="28" t="s">
        <v>22</v>
      </c>
      <c r="AM48" s="28" t="s">
        <v>11</v>
      </c>
      <c r="AN48" s="28" t="s">
        <v>17</v>
      </c>
      <c r="AO48" s="28" t="s">
        <v>17</v>
      </c>
      <c r="AP48" s="28" t="s">
        <v>11</v>
      </c>
      <c r="AQ48" s="28" t="s">
        <v>29</v>
      </c>
      <c r="AR48" s="28" t="s">
        <v>17</v>
      </c>
      <c r="AS48" s="28" t="s">
        <v>18</v>
      </c>
      <c r="AT48" s="28" t="s">
        <v>18</v>
      </c>
      <c r="AU48" s="28" t="s">
        <v>29</v>
      </c>
      <c r="AV48" s="28" t="s">
        <v>29</v>
      </c>
      <c r="AW48" s="28" t="s">
        <v>22</v>
      </c>
      <c r="AX48" s="28" t="s">
        <v>18</v>
      </c>
      <c r="AY48" s="28" t="s">
        <v>18</v>
      </c>
      <c r="AZ48" s="28" t="s">
        <v>18</v>
      </c>
      <c r="BA48" s="28" t="s">
        <v>18</v>
      </c>
      <c r="BB48" s="28" t="s">
        <v>29</v>
      </c>
      <c r="BC48" s="28" t="s">
        <v>22</v>
      </c>
      <c r="BD48" s="28" t="s">
        <v>17</v>
      </c>
      <c r="BE48" s="28" t="s">
        <v>17</v>
      </c>
      <c r="BF48" s="28" t="s">
        <v>18</v>
      </c>
      <c r="BG48" s="28" t="s">
        <v>18</v>
      </c>
      <c r="BH48" s="28" t="s">
        <v>17</v>
      </c>
      <c r="BI48" s="28" t="s">
        <v>17</v>
      </c>
      <c r="BJ48" s="28" t="s">
        <v>18</v>
      </c>
      <c r="BK48" s="28" t="s">
        <v>22</v>
      </c>
      <c r="BL48" s="28" t="s">
        <v>17</v>
      </c>
      <c r="BM48" s="28" t="s">
        <v>18</v>
      </c>
      <c r="BN48" s="28" t="s">
        <v>22</v>
      </c>
      <c r="BO48" s="28" t="s">
        <v>18</v>
      </c>
      <c r="BP48" s="28" t="s">
        <v>17</v>
      </c>
      <c r="BQ48" s="28" t="s">
        <v>17</v>
      </c>
      <c r="BR48" s="28" t="s">
        <v>22</v>
      </c>
      <c r="BS48" s="28" t="s">
        <v>18</v>
      </c>
    </row>
    <row r="49" spans="1:71" x14ac:dyDescent="0.3">
      <c r="A49" s="93"/>
      <c r="B49" s="93"/>
      <c r="C49" s="26">
        <v>44748.75</v>
      </c>
      <c r="D49" s="37">
        <f t="shared" si="14"/>
        <v>0.29166666666424135</v>
      </c>
      <c r="E49" s="38">
        <f t="shared" si="12"/>
        <v>15.291666666664241</v>
      </c>
      <c r="F49" s="5">
        <f t="shared" si="13"/>
        <v>15.291666666664241</v>
      </c>
      <c r="G49" s="1">
        <f t="shared" si="0"/>
        <v>0</v>
      </c>
      <c r="H49" s="1">
        <f t="shared" si="1"/>
        <v>0</v>
      </c>
      <c r="I49" s="1">
        <f t="shared" si="2"/>
        <v>0</v>
      </c>
      <c r="J49" s="1">
        <f t="shared" si="3"/>
        <v>0</v>
      </c>
      <c r="K49" s="1">
        <f t="shared" si="4"/>
        <v>0</v>
      </c>
      <c r="L49" s="1">
        <f t="shared" si="5"/>
        <v>0</v>
      </c>
      <c r="M49" s="1">
        <f t="shared" si="6"/>
        <v>0</v>
      </c>
      <c r="O49" s="1">
        <f t="shared" si="7"/>
        <v>18</v>
      </c>
      <c r="P49" s="1">
        <f t="shared" si="8"/>
        <v>15</v>
      </c>
      <c r="Q49" s="1">
        <f t="shared" si="9"/>
        <v>11</v>
      </c>
      <c r="R49" s="1">
        <f t="shared" si="10"/>
        <v>6</v>
      </c>
      <c r="S49" s="1">
        <f t="shared" si="11"/>
        <v>2</v>
      </c>
      <c r="T49" s="28" t="s">
        <v>17</v>
      </c>
      <c r="U49" s="28" t="s">
        <v>17</v>
      </c>
      <c r="V49" s="28" t="s">
        <v>18</v>
      </c>
      <c r="W49" s="28" t="s">
        <v>22</v>
      </c>
      <c r="X49" s="28" t="s">
        <v>17</v>
      </c>
      <c r="Y49" s="28" t="s">
        <v>18</v>
      </c>
      <c r="Z49" s="28" t="s">
        <v>22</v>
      </c>
      <c r="AA49" s="28" t="s">
        <v>29</v>
      </c>
      <c r="AB49" s="28" t="s">
        <v>17</v>
      </c>
      <c r="AC49" s="28" t="s">
        <v>18</v>
      </c>
      <c r="AD49" s="28" t="s">
        <v>29</v>
      </c>
      <c r="AE49" s="28" t="s">
        <v>22</v>
      </c>
      <c r="AF49" s="28" t="s">
        <v>17</v>
      </c>
      <c r="AG49" s="28" t="s">
        <v>17</v>
      </c>
      <c r="AH49" s="28" t="s">
        <v>22</v>
      </c>
      <c r="AI49" s="28" t="s">
        <v>22</v>
      </c>
      <c r="AJ49" s="28" t="s">
        <v>17</v>
      </c>
      <c r="AK49" s="28" t="s">
        <v>17</v>
      </c>
      <c r="AL49" s="28" t="s">
        <v>22</v>
      </c>
      <c r="AM49" s="28" t="s">
        <v>27</v>
      </c>
      <c r="AN49" s="28" t="s">
        <v>17</v>
      </c>
      <c r="AO49" s="28" t="s">
        <v>17</v>
      </c>
      <c r="AP49" s="28" t="s">
        <v>27</v>
      </c>
      <c r="AQ49" s="28" t="s">
        <v>29</v>
      </c>
      <c r="AR49" s="28" t="s">
        <v>17</v>
      </c>
      <c r="AS49" s="28" t="s">
        <v>18</v>
      </c>
      <c r="AT49" s="28" t="s">
        <v>18</v>
      </c>
      <c r="AU49" s="28" t="s">
        <v>29</v>
      </c>
      <c r="AV49" s="28" t="s">
        <v>29</v>
      </c>
      <c r="AW49" s="28" t="s">
        <v>22</v>
      </c>
      <c r="AX49" s="28" t="s">
        <v>18</v>
      </c>
      <c r="AY49" s="28" t="s">
        <v>18</v>
      </c>
      <c r="AZ49" s="28" t="s">
        <v>18</v>
      </c>
      <c r="BA49" s="28" t="s">
        <v>18</v>
      </c>
      <c r="BB49" s="28" t="s">
        <v>29</v>
      </c>
      <c r="BC49" s="28" t="s">
        <v>22</v>
      </c>
      <c r="BD49" s="28" t="s">
        <v>17</v>
      </c>
      <c r="BE49" s="28" t="s">
        <v>17</v>
      </c>
      <c r="BF49" s="28" t="s">
        <v>18</v>
      </c>
      <c r="BG49" s="28" t="s">
        <v>18</v>
      </c>
      <c r="BH49" s="28" t="s">
        <v>17</v>
      </c>
      <c r="BI49" s="28" t="s">
        <v>17</v>
      </c>
      <c r="BJ49" s="28" t="s">
        <v>18</v>
      </c>
      <c r="BK49" s="28" t="s">
        <v>22</v>
      </c>
      <c r="BL49" s="28" t="s">
        <v>17</v>
      </c>
      <c r="BM49" s="28" t="s">
        <v>18</v>
      </c>
      <c r="BN49" s="28" t="s">
        <v>22</v>
      </c>
      <c r="BO49" s="28" t="s">
        <v>18</v>
      </c>
      <c r="BP49" s="28" t="s">
        <v>17</v>
      </c>
      <c r="BQ49" s="28" t="s">
        <v>17</v>
      </c>
      <c r="BR49" s="28" t="s">
        <v>22</v>
      </c>
      <c r="BS49" s="28" t="s">
        <v>18</v>
      </c>
    </row>
    <row r="51" spans="1:71" x14ac:dyDescent="0.3">
      <c r="N51" s="5"/>
    </row>
    <row r="52" spans="1:71" x14ac:dyDescent="0.3">
      <c r="N52" s="5"/>
    </row>
    <row r="53" spans="1:71" x14ac:dyDescent="0.3">
      <c r="N53" s="5"/>
    </row>
    <row r="54" spans="1:71" x14ac:dyDescent="0.3">
      <c r="N54" s="5"/>
    </row>
    <row r="55" spans="1:71" x14ac:dyDescent="0.3">
      <c r="N55" s="5"/>
    </row>
    <row r="56" spans="1:71" x14ac:dyDescent="0.3">
      <c r="N56" s="5"/>
    </row>
    <row r="57" spans="1:71" x14ac:dyDescent="0.3">
      <c r="N57" s="5"/>
    </row>
    <row r="58" spans="1:71" x14ac:dyDescent="0.3">
      <c r="N58" s="5"/>
    </row>
    <row r="59" spans="1:71" x14ac:dyDescent="0.3">
      <c r="N59" s="5"/>
    </row>
    <row r="60" spans="1:71" x14ac:dyDescent="0.3">
      <c r="N60" s="5"/>
    </row>
    <row r="61" spans="1:71" x14ac:dyDescent="0.3">
      <c r="N61" s="5"/>
    </row>
    <row r="62" spans="1:71" x14ac:dyDescent="0.3">
      <c r="N62" s="5"/>
    </row>
    <row r="63" spans="1:71" x14ac:dyDescent="0.3">
      <c r="N63" s="5"/>
    </row>
    <row r="64" spans="1:71" x14ac:dyDescent="0.3">
      <c r="N64" s="5"/>
    </row>
    <row r="65" spans="14:14" x14ac:dyDescent="0.3">
      <c r="N65" s="5"/>
    </row>
    <row r="66" spans="14:14" x14ac:dyDescent="0.3">
      <c r="N66" s="5"/>
    </row>
    <row r="67" spans="14:14" x14ac:dyDescent="0.3">
      <c r="N67" s="5"/>
    </row>
    <row r="68" spans="14:14" x14ac:dyDescent="0.3">
      <c r="N68" s="5"/>
    </row>
    <row r="69" spans="14:14" x14ac:dyDescent="0.3">
      <c r="N69" s="5"/>
    </row>
    <row r="70" spans="14:14" x14ac:dyDescent="0.3">
      <c r="N70" s="5"/>
    </row>
    <row r="71" spans="14:14" x14ac:dyDescent="0.3">
      <c r="N71" s="5"/>
    </row>
    <row r="72" spans="14:14" x14ac:dyDescent="0.3">
      <c r="N72" s="5"/>
    </row>
    <row r="73" spans="14:14" x14ac:dyDescent="0.3">
      <c r="N73" s="5"/>
    </row>
    <row r="74" spans="14:14" x14ac:dyDescent="0.3">
      <c r="N74" s="5"/>
    </row>
    <row r="75" spans="14:14" x14ac:dyDescent="0.3">
      <c r="N75" s="5"/>
    </row>
    <row r="76" spans="14:14" x14ac:dyDescent="0.3">
      <c r="N76" s="5"/>
    </row>
    <row r="77" spans="14:14" x14ac:dyDescent="0.3">
      <c r="N77" s="5"/>
    </row>
    <row r="78" spans="14:14" x14ac:dyDescent="0.3">
      <c r="N78" s="5"/>
    </row>
    <row r="79" spans="14:14" x14ac:dyDescent="0.3">
      <c r="N79" s="5"/>
    </row>
    <row r="80" spans="14:14" x14ac:dyDescent="0.3">
      <c r="N80" s="5"/>
    </row>
    <row r="81" spans="14:14" x14ac:dyDescent="0.3">
      <c r="N81" s="5"/>
    </row>
    <row r="82" spans="14:14" x14ac:dyDescent="0.3">
      <c r="N82" s="5"/>
    </row>
    <row r="83" spans="14:14" x14ac:dyDescent="0.3">
      <c r="N83" s="5"/>
    </row>
    <row r="84" spans="14:14" x14ac:dyDescent="0.3">
      <c r="N84" s="5"/>
    </row>
    <row r="85" spans="14:14" x14ac:dyDescent="0.3">
      <c r="N85" s="5"/>
    </row>
    <row r="86" spans="14:14" x14ac:dyDescent="0.3">
      <c r="N86" s="5"/>
    </row>
    <row r="87" spans="14:14" x14ac:dyDescent="0.3">
      <c r="N87" s="5"/>
    </row>
    <row r="88" spans="14:14" x14ac:dyDescent="0.3">
      <c r="N88" s="5"/>
    </row>
    <row r="89" spans="14:14" x14ac:dyDescent="0.3">
      <c r="N89" s="5"/>
    </row>
    <row r="90" spans="14:14" x14ac:dyDescent="0.3">
      <c r="N90" s="5"/>
    </row>
    <row r="91" spans="14:14" x14ac:dyDescent="0.3">
      <c r="N91" s="5"/>
    </row>
    <row r="92" spans="14:14" x14ac:dyDescent="0.3">
      <c r="N92" s="5"/>
    </row>
    <row r="93" spans="14:14" x14ac:dyDescent="0.3">
      <c r="N93" s="5"/>
    </row>
    <row r="94" spans="14:14" x14ac:dyDescent="0.3">
      <c r="N94" s="5"/>
    </row>
    <row r="95" spans="14:14" x14ac:dyDescent="0.3">
      <c r="N95" s="5"/>
    </row>
    <row r="96" spans="14:14" x14ac:dyDescent="0.3">
      <c r="N96" s="5"/>
    </row>
    <row r="97" spans="14:16" x14ac:dyDescent="0.3">
      <c r="N97" s="5"/>
    </row>
    <row r="98" spans="14:16" x14ac:dyDescent="0.3">
      <c r="P98" s="60"/>
    </row>
    <row r="99" spans="14:16" x14ac:dyDescent="0.3">
      <c r="N99" s="5"/>
    </row>
    <row r="100" spans="14:16" x14ac:dyDescent="0.3">
      <c r="N100" s="5"/>
    </row>
    <row r="101" spans="14:16" x14ac:dyDescent="0.3">
      <c r="N101" s="5"/>
    </row>
    <row r="102" spans="14:16" x14ac:dyDescent="0.3">
      <c r="N102" s="5"/>
    </row>
    <row r="103" spans="14:16" x14ac:dyDescent="0.3">
      <c r="N103" s="5"/>
    </row>
    <row r="104" spans="14:16" x14ac:dyDescent="0.3">
      <c r="N104" s="5"/>
    </row>
    <row r="105" spans="14:16" x14ac:dyDescent="0.3">
      <c r="N105" s="5"/>
    </row>
    <row r="106" spans="14:16" x14ac:dyDescent="0.3">
      <c r="N106" s="5"/>
    </row>
    <row r="107" spans="14:16" x14ac:dyDescent="0.3">
      <c r="N107" s="5"/>
    </row>
    <row r="108" spans="14:16" x14ac:dyDescent="0.3">
      <c r="N108" s="5"/>
    </row>
    <row r="109" spans="14:16" x14ac:dyDescent="0.3">
      <c r="N109" s="5"/>
    </row>
    <row r="110" spans="14:16" x14ac:dyDescent="0.3">
      <c r="N110" s="5"/>
    </row>
    <row r="111" spans="14:16" x14ac:dyDescent="0.3">
      <c r="N111" s="5"/>
    </row>
    <row r="112" spans="14:16" x14ac:dyDescent="0.3">
      <c r="N112" s="5"/>
    </row>
    <row r="113" spans="14:14" x14ac:dyDescent="0.3">
      <c r="N113" s="5"/>
    </row>
    <row r="114" spans="14:14" x14ac:dyDescent="0.3">
      <c r="N114" s="5"/>
    </row>
    <row r="115" spans="14:14" x14ac:dyDescent="0.3">
      <c r="N115" s="5"/>
    </row>
    <row r="116" spans="14:14" x14ac:dyDescent="0.3">
      <c r="N116" s="5"/>
    </row>
    <row r="117" spans="14:14" x14ac:dyDescent="0.3">
      <c r="N117" s="5"/>
    </row>
    <row r="118" spans="14:14" x14ac:dyDescent="0.3">
      <c r="N118" s="5"/>
    </row>
    <row r="119" spans="14:14" x14ac:dyDescent="0.3">
      <c r="N119" s="5"/>
    </row>
    <row r="120" spans="14:14" x14ac:dyDescent="0.3">
      <c r="N120" s="5"/>
    </row>
    <row r="121" spans="14:14" x14ac:dyDescent="0.3">
      <c r="N121" s="5"/>
    </row>
    <row r="122" spans="14:14" x14ac:dyDescent="0.3">
      <c r="N122" s="5"/>
    </row>
    <row r="123" spans="14:14" x14ac:dyDescent="0.3">
      <c r="N123" s="5"/>
    </row>
    <row r="124" spans="14:14" x14ac:dyDescent="0.3">
      <c r="N124" s="5"/>
    </row>
    <row r="125" spans="14:14" x14ac:dyDescent="0.3">
      <c r="N125" s="5"/>
    </row>
    <row r="126" spans="14:14" x14ac:dyDescent="0.3">
      <c r="N126" s="5"/>
    </row>
    <row r="127" spans="14:14" x14ac:dyDescent="0.3">
      <c r="N127" s="5"/>
    </row>
    <row r="128" spans="14:14" x14ac:dyDescent="0.3">
      <c r="N128" s="5"/>
    </row>
    <row r="129" spans="14:14" x14ac:dyDescent="0.3">
      <c r="N129" s="5"/>
    </row>
    <row r="130" spans="14:14" x14ac:dyDescent="0.3">
      <c r="N130" s="5"/>
    </row>
    <row r="131" spans="14:14" x14ac:dyDescent="0.3">
      <c r="N131" s="5"/>
    </row>
    <row r="132" spans="14:14" x14ac:dyDescent="0.3">
      <c r="N132" s="5"/>
    </row>
    <row r="133" spans="14:14" x14ac:dyDescent="0.3">
      <c r="N133" s="5"/>
    </row>
    <row r="134" spans="14:14" x14ac:dyDescent="0.3">
      <c r="N134" s="5"/>
    </row>
    <row r="135" spans="14:14" x14ac:dyDescent="0.3">
      <c r="N135" s="5"/>
    </row>
    <row r="136" spans="14:14" x14ac:dyDescent="0.3">
      <c r="N136" s="5"/>
    </row>
    <row r="137" spans="14:14" x14ac:dyDescent="0.3">
      <c r="N137" s="5"/>
    </row>
    <row r="138" spans="14:14" x14ac:dyDescent="0.3">
      <c r="N138" s="5"/>
    </row>
    <row r="139" spans="14:14" x14ac:dyDescent="0.3">
      <c r="N139" s="5"/>
    </row>
    <row r="140" spans="14:14" x14ac:dyDescent="0.3">
      <c r="N140" s="5"/>
    </row>
    <row r="141" spans="14:14" x14ac:dyDescent="0.3">
      <c r="N141" s="5"/>
    </row>
    <row r="142" spans="14:14" x14ac:dyDescent="0.3">
      <c r="N142" s="5"/>
    </row>
    <row r="143" spans="14:14" x14ac:dyDescent="0.3">
      <c r="N143" s="5"/>
    </row>
    <row r="144" spans="14:14" x14ac:dyDescent="0.3">
      <c r="N144" s="5"/>
    </row>
    <row r="145" spans="14:14" x14ac:dyDescent="0.3">
      <c r="N145" s="5"/>
    </row>
  </sheetData>
  <mergeCells count="39">
    <mergeCell ref="A1:A2"/>
    <mergeCell ref="B1:B2"/>
    <mergeCell ref="C1:C2"/>
    <mergeCell ref="D1:D2"/>
    <mergeCell ref="E1:E2"/>
    <mergeCell ref="A3:A5"/>
    <mergeCell ref="B3:B5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A21:A23"/>
    <mergeCell ref="B21:B23"/>
    <mergeCell ref="A24:A26"/>
    <mergeCell ref="B24:B26"/>
    <mergeCell ref="A27:A29"/>
    <mergeCell ref="B27:B29"/>
    <mergeCell ref="A48:A49"/>
    <mergeCell ref="B48:B49"/>
    <mergeCell ref="O1:S1"/>
    <mergeCell ref="T1:BS2"/>
    <mergeCell ref="A39:A41"/>
    <mergeCell ref="B39:B41"/>
    <mergeCell ref="A42:A44"/>
    <mergeCell ref="B42:B44"/>
    <mergeCell ref="A45:A47"/>
    <mergeCell ref="B45:B47"/>
    <mergeCell ref="A30:A32"/>
    <mergeCell ref="B30:B32"/>
    <mergeCell ref="A33:A35"/>
    <mergeCell ref="B33:B35"/>
    <mergeCell ref="A36:A38"/>
    <mergeCell ref="B36:B38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519C-967F-4376-BE04-922E778010A5}">
  <dimension ref="A1:BQ100"/>
  <sheetViews>
    <sheetView zoomScale="85" zoomScaleNormal="85" workbookViewId="0">
      <selection activeCell="E8" sqref="E8"/>
    </sheetView>
  </sheetViews>
  <sheetFormatPr defaultRowHeight="14.4" x14ac:dyDescent="0.3"/>
  <cols>
    <col min="1" max="2" width="8.88671875" style="1"/>
    <col min="3" max="3" width="12.88671875" style="1" bestFit="1" customWidth="1"/>
    <col min="4" max="4" width="13.33203125" style="1" bestFit="1" customWidth="1"/>
    <col min="5" max="5" width="20.5546875" style="1" bestFit="1" customWidth="1"/>
    <col min="6" max="13" width="8.88671875" style="1"/>
    <col min="14" max="14" width="4.33203125" style="1" customWidth="1"/>
    <col min="15" max="16384" width="8.88671875" style="1"/>
  </cols>
  <sheetData>
    <row r="1" spans="1:69" x14ac:dyDescent="0.3">
      <c r="A1" s="93" t="s">
        <v>0</v>
      </c>
      <c r="B1" s="97" t="s">
        <v>31</v>
      </c>
      <c r="C1" s="98" t="s">
        <v>1</v>
      </c>
      <c r="D1" s="99" t="s">
        <v>23</v>
      </c>
      <c r="E1" s="99" t="s">
        <v>24</v>
      </c>
      <c r="F1" s="57" t="s">
        <v>25</v>
      </c>
      <c r="G1" s="56" t="s">
        <v>15</v>
      </c>
      <c r="H1" s="29"/>
      <c r="I1" s="29"/>
      <c r="J1" s="29"/>
      <c r="K1" s="29"/>
      <c r="L1" s="29"/>
      <c r="M1" s="29"/>
      <c r="N1" s="36"/>
      <c r="O1" s="89" t="s">
        <v>16</v>
      </c>
      <c r="P1" s="89"/>
      <c r="Q1" s="89"/>
      <c r="R1" s="89"/>
      <c r="S1" s="89"/>
      <c r="T1" s="96" t="s">
        <v>12</v>
      </c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</row>
    <row r="2" spans="1:69" x14ac:dyDescent="0.3">
      <c r="A2" s="93"/>
      <c r="B2" s="97"/>
      <c r="C2" s="98"/>
      <c r="D2" s="99"/>
      <c r="E2" s="99"/>
      <c r="F2" s="57"/>
      <c r="G2" s="24" t="s">
        <v>9</v>
      </c>
      <c r="H2" s="25" t="s">
        <v>5</v>
      </c>
      <c r="I2" s="16" t="s">
        <v>8</v>
      </c>
      <c r="J2" s="17" t="s">
        <v>10</v>
      </c>
      <c r="K2" s="18" t="s">
        <v>11</v>
      </c>
      <c r="L2" s="19" t="s">
        <v>13</v>
      </c>
      <c r="M2" s="20" t="s">
        <v>14</v>
      </c>
      <c r="N2" s="36"/>
      <c r="O2" s="24" t="s">
        <v>9</v>
      </c>
      <c r="P2" s="25" t="s">
        <v>5</v>
      </c>
      <c r="Q2" s="16" t="s">
        <v>8</v>
      </c>
      <c r="R2" s="17" t="s">
        <v>10</v>
      </c>
      <c r="S2" s="18" t="s">
        <v>11</v>
      </c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</row>
    <row r="3" spans="1:69" x14ac:dyDescent="0.3">
      <c r="A3" s="93">
        <v>160</v>
      </c>
      <c r="B3" s="93">
        <v>1</v>
      </c>
      <c r="C3" s="26">
        <v>44721.729166666664</v>
      </c>
      <c r="D3" s="37">
        <v>0</v>
      </c>
      <c r="E3" s="38">
        <v>0</v>
      </c>
      <c r="F3" s="5">
        <v>0</v>
      </c>
      <c r="G3" s="1">
        <f>COUNTIF($T3:$BQ3, "E")</f>
        <v>50</v>
      </c>
      <c r="H3" s="1">
        <f>COUNTIF($T3:$BQ3, "L1")</f>
        <v>0</v>
      </c>
      <c r="I3" s="1">
        <f>COUNTIF($T3:$BQ3, "L2")</f>
        <v>0</v>
      </c>
      <c r="J3" s="1">
        <f>COUNTIF($T3:$BQ3, "L3")</f>
        <v>0</v>
      </c>
      <c r="K3" s="1">
        <f>COUNTIF($T3:$BQ3, "P")</f>
        <v>0</v>
      </c>
      <c r="L3" s="1">
        <f>COUNTIF($T3:$BQ3, "AM")</f>
        <v>0</v>
      </c>
      <c r="M3" s="1">
        <f>COUNTIF($T3:$BQ3, "AF")</f>
        <v>0</v>
      </c>
      <c r="O3" s="1">
        <f>COUNTIF($T3:$BQ3, "E_D")</f>
        <v>0</v>
      </c>
      <c r="P3" s="1">
        <f>COUNTIF($T3:$BQ3, "L1_D")</f>
        <v>0</v>
      </c>
      <c r="Q3" s="1">
        <f>COUNTIF($T3:$BQ3, "L2_D")</f>
        <v>0</v>
      </c>
      <c r="R3" s="1">
        <f>COUNTIF($T3:$BQ3, "L3_D")</f>
        <v>0</v>
      </c>
      <c r="S3" s="1">
        <f>COUNTIF($T3:$BQ3, "P_D")</f>
        <v>0</v>
      </c>
      <c r="T3" s="28" t="s">
        <v>4</v>
      </c>
      <c r="U3" s="28" t="s">
        <v>4</v>
      </c>
      <c r="V3" s="28" t="s">
        <v>4</v>
      </c>
      <c r="W3" s="28" t="s">
        <v>4</v>
      </c>
      <c r="X3" s="28" t="s">
        <v>4</v>
      </c>
      <c r="Y3" s="28" t="s">
        <v>4</v>
      </c>
      <c r="Z3" s="28" t="s">
        <v>4</v>
      </c>
      <c r="AA3" s="28" t="s">
        <v>4</v>
      </c>
      <c r="AB3" s="28" t="s">
        <v>4</v>
      </c>
      <c r="AC3" s="28" t="s">
        <v>4</v>
      </c>
      <c r="AD3" s="28" t="s">
        <v>4</v>
      </c>
      <c r="AE3" s="28" t="s">
        <v>4</v>
      </c>
      <c r="AF3" s="28" t="s">
        <v>4</v>
      </c>
      <c r="AG3" s="28" t="s">
        <v>4</v>
      </c>
      <c r="AH3" s="28" t="s">
        <v>4</v>
      </c>
      <c r="AI3" s="28" t="s">
        <v>4</v>
      </c>
      <c r="AJ3" s="28" t="s">
        <v>4</v>
      </c>
      <c r="AK3" s="28" t="s">
        <v>4</v>
      </c>
      <c r="AL3" s="28" t="s">
        <v>4</v>
      </c>
      <c r="AM3" s="28" t="s">
        <v>4</v>
      </c>
      <c r="AN3" s="28" t="s">
        <v>4</v>
      </c>
      <c r="AO3" s="28" t="s">
        <v>4</v>
      </c>
      <c r="AP3" s="28" t="s">
        <v>4</v>
      </c>
      <c r="AQ3" s="28" t="s">
        <v>4</v>
      </c>
      <c r="AR3" s="28" t="s">
        <v>4</v>
      </c>
      <c r="AS3" s="28" t="s">
        <v>4</v>
      </c>
      <c r="AT3" s="28" t="s">
        <v>4</v>
      </c>
      <c r="AU3" s="28" t="s">
        <v>4</v>
      </c>
      <c r="AV3" s="28" t="s">
        <v>4</v>
      </c>
      <c r="AW3" s="28" t="s">
        <v>4</v>
      </c>
      <c r="AX3" s="28" t="s">
        <v>4</v>
      </c>
      <c r="AY3" s="28" t="s">
        <v>4</v>
      </c>
      <c r="AZ3" s="28" t="s">
        <v>4</v>
      </c>
      <c r="BA3" s="28" t="s">
        <v>4</v>
      </c>
      <c r="BB3" s="28" t="s">
        <v>4</v>
      </c>
      <c r="BC3" s="28" t="s">
        <v>4</v>
      </c>
      <c r="BD3" s="28" t="s">
        <v>4</v>
      </c>
      <c r="BE3" s="28" t="s">
        <v>4</v>
      </c>
      <c r="BF3" s="28" t="s">
        <v>4</v>
      </c>
      <c r="BG3" s="28" t="s">
        <v>4</v>
      </c>
      <c r="BH3" s="28" t="s">
        <v>4</v>
      </c>
      <c r="BI3" s="28" t="s">
        <v>4</v>
      </c>
      <c r="BJ3" s="28" t="s">
        <v>4</v>
      </c>
      <c r="BK3" s="28" t="s">
        <v>4</v>
      </c>
      <c r="BL3" s="28" t="s">
        <v>4</v>
      </c>
      <c r="BM3" s="28" t="s">
        <v>4</v>
      </c>
      <c r="BN3" s="28" t="s">
        <v>4</v>
      </c>
      <c r="BO3" s="28" t="s">
        <v>4</v>
      </c>
      <c r="BP3" s="28" t="s">
        <v>4</v>
      </c>
      <c r="BQ3" s="28" t="s">
        <v>4</v>
      </c>
    </row>
    <row r="4" spans="1:69" x14ac:dyDescent="0.3">
      <c r="A4" s="93"/>
      <c r="B4" s="93"/>
      <c r="C4" s="26">
        <v>44721.916666666664</v>
      </c>
      <c r="D4" s="37">
        <f>(C4-C3)</f>
        <v>0.1875</v>
      </c>
      <c r="E4" s="38">
        <f>E3+D4</f>
        <v>0.1875</v>
      </c>
      <c r="F4" s="5">
        <f>F3+D4</f>
        <v>0.1875</v>
      </c>
      <c r="G4" s="1">
        <f t="shared" ref="G4:G34" si="0">COUNTIF($T4:$BQ4, "E")</f>
        <v>36</v>
      </c>
      <c r="H4" s="1">
        <f t="shared" ref="H4:H34" si="1">COUNTIF($T4:$BQ4, "L1")</f>
        <v>14</v>
      </c>
      <c r="I4" s="1">
        <f t="shared" ref="I4:I34" si="2">COUNTIF($T4:$BQ4, "L2")</f>
        <v>0</v>
      </c>
      <c r="J4" s="1">
        <f t="shared" ref="J4:J34" si="3">COUNTIF($T4:$BQ4, "L3")</f>
        <v>0</v>
      </c>
      <c r="K4" s="1">
        <f t="shared" ref="K4:K34" si="4">COUNTIF($T4:$BQ4, "P")</f>
        <v>0</v>
      </c>
      <c r="L4" s="1">
        <f t="shared" ref="L4:L34" si="5">COUNTIF($T4:$BQ4, "AM")</f>
        <v>0</v>
      </c>
      <c r="M4" s="1">
        <f t="shared" ref="M4:M34" si="6">COUNTIF($T4:$BQ4, "AF")</f>
        <v>0</v>
      </c>
      <c r="O4" s="1">
        <f t="shared" ref="O4:O34" si="7">COUNTIF($T4:$BQ4, "E_D")</f>
        <v>0</v>
      </c>
      <c r="P4" s="1">
        <f t="shared" ref="P4:P34" si="8">COUNTIF($T4:$BQ4, "L1_D")</f>
        <v>0</v>
      </c>
      <c r="Q4" s="1">
        <f t="shared" ref="Q4:Q34" si="9">COUNTIF($T4:$BQ4, "L2_D")</f>
        <v>0</v>
      </c>
      <c r="R4" s="1">
        <f t="shared" ref="R4:R34" si="10">COUNTIF($T4:$BQ4, "L3_D")</f>
        <v>0</v>
      </c>
      <c r="S4" s="1">
        <f t="shared" ref="S4:S34" si="11">COUNTIF($T4:$BQ4, "P_D")</f>
        <v>0</v>
      </c>
      <c r="T4" s="28" t="s">
        <v>5</v>
      </c>
      <c r="U4" s="28" t="s">
        <v>4</v>
      </c>
      <c r="V4" s="28" t="s">
        <v>4</v>
      </c>
      <c r="W4" s="28" t="s">
        <v>4</v>
      </c>
      <c r="X4" s="28" t="s">
        <v>4</v>
      </c>
      <c r="Y4" s="28" t="s">
        <v>5</v>
      </c>
      <c r="Z4" s="28" t="s">
        <v>5</v>
      </c>
      <c r="AA4" s="28" t="s">
        <v>4</v>
      </c>
      <c r="AB4" s="28" t="s">
        <v>4</v>
      </c>
      <c r="AC4" s="28" t="s">
        <v>4</v>
      </c>
      <c r="AD4" s="28" t="s">
        <v>5</v>
      </c>
      <c r="AE4" s="28" t="s">
        <v>4</v>
      </c>
      <c r="AF4" s="28" t="s">
        <v>4</v>
      </c>
      <c r="AG4" s="28" t="s">
        <v>4</v>
      </c>
      <c r="AH4" s="28" t="s">
        <v>4</v>
      </c>
      <c r="AI4" s="28" t="s">
        <v>5</v>
      </c>
      <c r="AJ4" s="28" t="s">
        <v>5</v>
      </c>
      <c r="AK4" s="28" t="s">
        <v>4</v>
      </c>
      <c r="AL4" s="28" t="s">
        <v>4</v>
      </c>
      <c r="AM4" s="28" t="s">
        <v>4</v>
      </c>
      <c r="AN4" s="28" t="s">
        <v>4</v>
      </c>
      <c r="AO4" s="28" t="s">
        <v>4</v>
      </c>
      <c r="AP4" s="28" t="s">
        <v>4</v>
      </c>
      <c r="AQ4" s="28" t="s">
        <v>4</v>
      </c>
      <c r="AR4" s="28" t="s">
        <v>4</v>
      </c>
      <c r="AS4" s="28" t="s">
        <v>5</v>
      </c>
      <c r="AT4" s="28" t="s">
        <v>4</v>
      </c>
      <c r="AU4" s="28" t="s">
        <v>4</v>
      </c>
      <c r="AV4" s="28" t="s">
        <v>4</v>
      </c>
      <c r="AW4" s="28" t="s">
        <v>4</v>
      </c>
      <c r="AX4" s="28" t="s">
        <v>5</v>
      </c>
      <c r="AY4" s="28" t="s">
        <v>5</v>
      </c>
      <c r="AZ4" s="28" t="s">
        <v>4</v>
      </c>
      <c r="BA4" s="28" t="s">
        <v>4</v>
      </c>
      <c r="BB4" s="28" t="s">
        <v>4</v>
      </c>
      <c r="BC4" s="28" t="s">
        <v>5</v>
      </c>
      <c r="BD4" s="28" t="s">
        <v>5</v>
      </c>
      <c r="BE4" s="28" t="s">
        <v>4</v>
      </c>
      <c r="BF4" s="28" t="s">
        <v>4</v>
      </c>
      <c r="BG4" s="28" t="s">
        <v>4</v>
      </c>
      <c r="BH4" s="28" t="s">
        <v>5</v>
      </c>
      <c r="BI4" s="28" t="s">
        <v>5</v>
      </c>
      <c r="BJ4" s="28" t="s">
        <v>4</v>
      </c>
      <c r="BK4" s="28" t="s">
        <v>4</v>
      </c>
      <c r="BL4" s="28" t="s">
        <v>4</v>
      </c>
      <c r="BM4" s="28" t="s">
        <v>4</v>
      </c>
      <c r="BN4" s="28" t="s">
        <v>5</v>
      </c>
      <c r="BO4" s="28" t="s">
        <v>4</v>
      </c>
      <c r="BP4" s="28" t="s">
        <v>4</v>
      </c>
      <c r="BQ4" s="28" t="s">
        <v>4</v>
      </c>
    </row>
    <row r="5" spans="1:69" x14ac:dyDescent="0.3">
      <c r="A5" s="93">
        <v>161</v>
      </c>
      <c r="B5" s="93">
        <f>B3+1</f>
        <v>2</v>
      </c>
      <c r="C5" s="26">
        <v>44722.375</v>
      </c>
      <c r="D5" s="37">
        <f>(C5-C4)</f>
        <v>0.45833333333575865</v>
      </c>
      <c r="E5" s="38">
        <f t="shared" ref="E5:E34" si="12">E4+D5</f>
        <v>0.64583333333575865</v>
      </c>
      <c r="F5" s="5">
        <f>F4+D5</f>
        <v>0.64583333333575865</v>
      </c>
      <c r="G5" s="1">
        <f t="shared" si="0"/>
        <v>34</v>
      </c>
      <c r="H5" s="1">
        <f t="shared" si="1"/>
        <v>16</v>
      </c>
      <c r="I5" s="1">
        <f t="shared" si="2"/>
        <v>0</v>
      </c>
      <c r="J5" s="1">
        <f t="shared" si="3"/>
        <v>0</v>
      </c>
      <c r="K5" s="1">
        <f t="shared" si="4"/>
        <v>0</v>
      </c>
      <c r="L5" s="1">
        <f t="shared" si="5"/>
        <v>0</v>
      </c>
      <c r="M5" s="1">
        <f t="shared" si="6"/>
        <v>0</v>
      </c>
      <c r="O5" s="1">
        <f t="shared" si="7"/>
        <v>0</v>
      </c>
      <c r="P5" s="1">
        <f t="shared" si="8"/>
        <v>0</v>
      </c>
      <c r="Q5" s="1">
        <f t="shared" si="9"/>
        <v>0</v>
      </c>
      <c r="R5" s="1">
        <f t="shared" si="10"/>
        <v>0</v>
      </c>
      <c r="S5" s="1">
        <f t="shared" si="11"/>
        <v>0</v>
      </c>
      <c r="T5" s="28" t="s">
        <v>5</v>
      </c>
      <c r="U5" s="28" t="s">
        <v>5</v>
      </c>
      <c r="V5" s="28" t="s">
        <v>4</v>
      </c>
      <c r="W5" s="28" t="s">
        <v>4</v>
      </c>
      <c r="X5" s="28" t="s">
        <v>4</v>
      </c>
      <c r="Y5" s="28" t="s">
        <v>5</v>
      </c>
      <c r="Z5" s="28" t="s">
        <v>5</v>
      </c>
      <c r="AA5" s="28" t="s">
        <v>4</v>
      </c>
      <c r="AB5" s="28" t="s">
        <v>4</v>
      </c>
      <c r="AC5" s="28" t="s">
        <v>4</v>
      </c>
      <c r="AD5" s="28" t="s">
        <v>5</v>
      </c>
      <c r="AE5" s="28" t="s">
        <v>4</v>
      </c>
      <c r="AF5" s="28" t="s">
        <v>4</v>
      </c>
      <c r="AG5" s="28" t="s">
        <v>4</v>
      </c>
      <c r="AH5" s="28" t="s">
        <v>4</v>
      </c>
      <c r="AI5" s="28" t="s">
        <v>5</v>
      </c>
      <c r="AJ5" s="28" t="s">
        <v>5</v>
      </c>
      <c r="AK5" s="28" t="s">
        <v>4</v>
      </c>
      <c r="AL5" s="28" t="s">
        <v>4</v>
      </c>
      <c r="AM5" s="28" t="s">
        <v>4</v>
      </c>
      <c r="AN5" s="28" t="s">
        <v>4</v>
      </c>
      <c r="AO5" s="28" t="s">
        <v>4</v>
      </c>
      <c r="AP5" s="28" t="s">
        <v>4</v>
      </c>
      <c r="AQ5" s="28" t="s">
        <v>4</v>
      </c>
      <c r="AR5" s="28" t="s">
        <v>4</v>
      </c>
      <c r="AS5" s="28" t="s">
        <v>5</v>
      </c>
      <c r="AT5" s="28" t="s">
        <v>4</v>
      </c>
      <c r="AU5" s="28" t="s">
        <v>4</v>
      </c>
      <c r="AV5" s="28" t="s">
        <v>4</v>
      </c>
      <c r="AW5" s="28" t="s">
        <v>4</v>
      </c>
      <c r="AX5" s="28" t="s">
        <v>5</v>
      </c>
      <c r="AY5" s="28" t="s">
        <v>5</v>
      </c>
      <c r="AZ5" s="28" t="s">
        <v>4</v>
      </c>
      <c r="BA5" s="28" t="s">
        <v>4</v>
      </c>
      <c r="BB5" s="28" t="s">
        <v>4</v>
      </c>
      <c r="BC5" s="28" t="s">
        <v>5</v>
      </c>
      <c r="BD5" s="28" t="s">
        <v>5</v>
      </c>
      <c r="BE5" s="28" t="s">
        <v>4</v>
      </c>
      <c r="BF5" s="28" t="s">
        <v>4</v>
      </c>
      <c r="BG5" s="28" t="s">
        <v>4</v>
      </c>
      <c r="BH5" s="28" t="s">
        <v>5</v>
      </c>
      <c r="BI5" s="28" t="s">
        <v>5</v>
      </c>
      <c r="BJ5" s="28" t="s">
        <v>4</v>
      </c>
      <c r="BK5" s="28" t="s">
        <v>4</v>
      </c>
      <c r="BL5" s="28" t="s">
        <v>4</v>
      </c>
      <c r="BM5" s="28" t="s">
        <v>5</v>
      </c>
      <c r="BN5" s="28" t="s">
        <v>5</v>
      </c>
      <c r="BO5" s="28" t="s">
        <v>4</v>
      </c>
      <c r="BP5" s="28" t="s">
        <v>4</v>
      </c>
      <c r="BQ5" s="28" t="s">
        <v>4</v>
      </c>
    </row>
    <row r="6" spans="1:69" x14ac:dyDescent="0.3">
      <c r="A6" s="93"/>
      <c r="B6" s="93"/>
      <c r="C6" s="26">
        <v>44722.729166666664</v>
      </c>
      <c r="D6" s="37">
        <f t="shared" ref="D5:D34" si="13">(C6-C5)</f>
        <v>0.35416666666424135</v>
      </c>
      <c r="E6" s="38">
        <f t="shared" si="12"/>
        <v>1</v>
      </c>
      <c r="F6" s="5">
        <f t="shared" ref="F6:F34" si="14">F5+D6</f>
        <v>1</v>
      </c>
      <c r="G6" s="1">
        <f t="shared" si="0"/>
        <v>34</v>
      </c>
      <c r="H6" s="1">
        <f t="shared" si="1"/>
        <v>16</v>
      </c>
      <c r="I6" s="1">
        <f t="shared" si="2"/>
        <v>0</v>
      </c>
      <c r="J6" s="1">
        <f t="shared" si="3"/>
        <v>0</v>
      </c>
      <c r="K6" s="1">
        <f t="shared" si="4"/>
        <v>0</v>
      </c>
      <c r="L6" s="1">
        <f t="shared" si="5"/>
        <v>0</v>
      </c>
      <c r="M6" s="1">
        <f t="shared" si="6"/>
        <v>0</v>
      </c>
      <c r="O6" s="1">
        <f t="shared" si="7"/>
        <v>0</v>
      </c>
      <c r="P6" s="1">
        <f t="shared" si="8"/>
        <v>0</v>
      </c>
      <c r="Q6" s="1">
        <f t="shared" si="9"/>
        <v>0</v>
      </c>
      <c r="R6" s="1">
        <f t="shared" si="10"/>
        <v>0</v>
      </c>
      <c r="S6" s="1">
        <f t="shared" si="11"/>
        <v>0</v>
      </c>
      <c r="T6" s="28" t="s">
        <v>5</v>
      </c>
      <c r="U6" s="28" t="s">
        <v>5</v>
      </c>
      <c r="V6" s="28" t="s">
        <v>4</v>
      </c>
      <c r="W6" s="28" t="s">
        <v>4</v>
      </c>
      <c r="X6" s="28" t="s">
        <v>4</v>
      </c>
      <c r="Y6" s="28" t="s">
        <v>5</v>
      </c>
      <c r="Z6" s="28" t="s">
        <v>5</v>
      </c>
      <c r="AA6" s="28" t="s">
        <v>4</v>
      </c>
      <c r="AB6" s="28" t="s">
        <v>4</v>
      </c>
      <c r="AC6" s="28" t="s">
        <v>4</v>
      </c>
      <c r="AD6" s="28" t="s">
        <v>5</v>
      </c>
      <c r="AE6" s="28" t="s">
        <v>4</v>
      </c>
      <c r="AF6" s="28" t="s">
        <v>4</v>
      </c>
      <c r="AG6" s="28" t="s">
        <v>4</v>
      </c>
      <c r="AH6" s="28" t="s">
        <v>4</v>
      </c>
      <c r="AI6" s="28" t="s">
        <v>5</v>
      </c>
      <c r="AJ6" s="28" t="s">
        <v>5</v>
      </c>
      <c r="AK6" s="28" t="s">
        <v>4</v>
      </c>
      <c r="AL6" s="28" t="s">
        <v>4</v>
      </c>
      <c r="AM6" s="28" t="s">
        <v>4</v>
      </c>
      <c r="AN6" s="28" t="s">
        <v>4</v>
      </c>
      <c r="AO6" s="28" t="s">
        <v>4</v>
      </c>
      <c r="AP6" s="28" t="s">
        <v>4</v>
      </c>
      <c r="AQ6" s="28" t="s">
        <v>4</v>
      </c>
      <c r="AR6" s="28" t="s">
        <v>4</v>
      </c>
      <c r="AS6" s="28" t="s">
        <v>5</v>
      </c>
      <c r="AT6" s="28" t="s">
        <v>4</v>
      </c>
      <c r="AU6" s="28" t="s">
        <v>4</v>
      </c>
      <c r="AV6" s="28" t="s">
        <v>4</v>
      </c>
      <c r="AW6" s="28" t="s">
        <v>4</v>
      </c>
      <c r="AX6" s="28" t="s">
        <v>5</v>
      </c>
      <c r="AY6" s="28" t="s">
        <v>5</v>
      </c>
      <c r="AZ6" s="28" t="s">
        <v>4</v>
      </c>
      <c r="BA6" s="28" t="s">
        <v>4</v>
      </c>
      <c r="BB6" s="28" t="s">
        <v>4</v>
      </c>
      <c r="BC6" s="28" t="s">
        <v>5</v>
      </c>
      <c r="BD6" s="28" t="s">
        <v>5</v>
      </c>
      <c r="BE6" s="28" t="s">
        <v>4</v>
      </c>
      <c r="BF6" s="28" t="s">
        <v>4</v>
      </c>
      <c r="BG6" s="28" t="s">
        <v>4</v>
      </c>
      <c r="BH6" s="28" t="s">
        <v>5</v>
      </c>
      <c r="BI6" s="28" t="s">
        <v>5</v>
      </c>
      <c r="BJ6" s="28" t="s">
        <v>4</v>
      </c>
      <c r="BK6" s="28" t="s">
        <v>4</v>
      </c>
      <c r="BL6" s="28" t="s">
        <v>4</v>
      </c>
      <c r="BM6" s="28" t="s">
        <v>5</v>
      </c>
      <c r="BN6" s="28" t="s">
        <v>5</v>
      </c>
      <c r="BO6" s="28" t="s">
        <v>4</v>
      </c>
      <c r="BP6" s="28" t="s">
        <v>4</v>
      </c>
      <c r="BQ6" s="28" t="s">
        <v>4</v>
      </c>
    </row>
    <row r="7" spans="1:69" x14ac:dyDescent="0.3">
      <c r="A7" s="93"/>
      <c r="B7" s="93"/>
      <c r="C7" s="26">
        <v>44722.9375</v>
      </c>
      <c r="D7" s="37">
        <f t="shared" si="13"/>
        <v>0.20833333333575865</v>
      </c>
      <c r="E7" s="38">
        <f t="shared" si="12"/>
        <v>1.2083333333357587</v>
      </c>
      <c r="F7" s="5">
        <f t="shared" si="14"/>
        <v>1.2083333333357587</v>
      </c>
      <c r="G7" s="1">
        <f t="shared" si="0"/>
        <v>34</v>
      </c>
      <c r="H7" s="1">
        <f t="shared" si="1"/>
        <v>13</v>
      </c>
      <c r="I7" s="1">
        <f t="shared" si="2"/>
        <v>0</v>
      </c>
      <c r="J7" s="1">
        <f t="shared" si="3"/>
        <v>0</v>
      </c>
      <c r="K7" s="1">
        <f t="shared" si="4"/>
        <v>0</v>
      </c>
      <c r="L7" s="1">
        <f t="shared" si="5"/>
        <v>0</v>
      </c>
      <c r="M7" s="1">
        <f t="shared" si="6"/>
        <v>0</v>
      </c>
      <c r="O7" s="1">
        <f t="shared" si="7"/>
        <v>0</v>
      </c>
      <c r="P7" s="1">
        <f>COUNTIF($T7:$BQ7, "L1_D")</f>
        <v>3</v>
      </c>
      <c r="Q7" s="1">
        <f t="shared" si="9"/>
        <v>0</v>
      </c>
      <c r="R7" s="1">
        <f t="shared" si="10"/>
        <v>0</v>
      </c>
      <c r="S7" s="1">
        <f t="shared" si="11"/>
        <v>0</v>
      </c>
      <c r="T7" s="28" t="s">
        <v>5</v>
      </c>
      <c r="U7" s="28" t="s">
        <v>5</v>
      </c>
      <c r="V7" s="28" t="s">
        <v>4</v>
      </c>
      <c r="W7" s="28" t="s">
        <v>4</v>
      </c>
      <c r="X7" s="28" t="s">
        <v>4</v>
      </c>
      <c r="Y7" s="28" t="s">
        <v>18</v>
      </c>
      <c r="Z7" s="28" t="s">
        <v>5</v>
      </c>
      <c r="AA7" s="28" t="s">
        <v>4</v>
      </c>
      <c r="AB7" s="28" t="s">
        <v>4</v>
      </c>
      <c r="AC7" s="28" t="s">
        <v>4</v>
      </c>
      <c r="AD7" s="28" t="s">
        <v>18</v>
      </c>
      <c r="AE7" s="28" t="s">
        <v>4</v>
      </c>
      <c r="AF7" s="28" t="s">
        <v>4</v>
      </c>
      <c r="AG7" s="28" t="s">
        <v>4</v>
      </c>
      <c r="AH7" s="28" t="s">
        <v>4</v>
      </c>
      <c r="AI7" s="28" t="s">
        <v>5</v>
      </c>
      <c r="AJ7" s="28" t="s">
        <v>5</v>
      </c>
      <c r="AK7" s="28" t="s">
        <v>4</v>
      </c>
      <c r="AL7" s="28" t="s">
        <v>4</v>
      </c>
      <c r="AM7" s="28" t="s">
        <v>4</v>
      </c>
      <c r="AN7" s="28" t="s">
        <v>4</v>
      </c>
      <c r="AO7" s="28" t="s">
        <v>4</v>
      </c>
      <c r="AP7" s="28" t="s">
        <v>4</v>
      </c>
      <c r="AQ7" s="28" t="s">
        <v>4</v>
      </c>
      <c r="AR7" s="28" t="s">
        <v>4</v>
      </c>
      <c r="AS7" s="28" t="s">
        <v>5</v>
      </c>
      <c r="AT7" s="28" t="s">
        <v>4</v>
      </c>
      <c r="AU7" s="28" t="s">
        <v>4</v>
      </c>
      <c r="AV7" s="28" t="s">
        <v>4</v>
      </c>
      <c r="AW7" s="28" t="s">
        <v>4</v>
      </c>
      <c r="AX7" s="28" t="s">
        <v>5</v>
      </c>
      <c r="AY7" s="28" t="s">
        <v>5</v>
      </c>
      <c r="AZ7" s="28" t="s">
        <v>4</v>
      </c>
      <c r="BA7" s="28" t="s">
        <v>4</v>
      </c>
      <c r="BB7" s="28" t="s">
        <v>4</v>
      </c>
      <c r="BC7" s="28" t="s">
        <v>5</v>
      </c>
      <c r="BD7" s="28" t="s">
        <v>5</v>
      </c>
      <c r="BE7" s="28" t="s">
        <v>4</v>
      </c>
      <c r="BF7" s="28" t="s">
        <v>4</v>
      </c>
      <c r="BG7" s="28" t="s">
        <v>4</v>
      </c>
      <c r="BH7" s="28" t="s">
        <v>18</v>
      </c>
      <c r="BI7" s="28" t="s">
        <v>5</v>
      </c>
      <c r="BJ7" s="28" t="s">
        <v>4</v>
      </c>
      <c r="BK7" s="28" t="s">
        <v>4</v>
      </c>
      <c r="BL7" s="28" t="s">
        <v>4</v>
      </c>
      <c r="BM7" s="28" t="s">
        <v>5</v>
      </c>
      <c r="BN7" s="28" t="s">
        <v>5</v>
      </c>
      <c r="BO7" s="28" t="s">
        <v>4</v>
      </c>
      <c r="BP7" s="28" t="s">
        <v>4</v>
      </c>
      <c r="BQ7" s="28" t="s">
        <v>4</v>
      </c>
    </row>
    <row r="8" spans="1:69" x14ac:dyDescent="0.3">
      <c r="A8" s="93">
        <f>A5+1</f>
        <v>162</v>
      </c>
      <c r="B8" s="93">
        <v>3</v>
      </c>
      <c r="C8" s="26">
        <v>44723.354166666664</v>
      </c>
      <c r="D8" s="37">
        <f t="shared" si="13"/>
        <v>0.41666666666424135</v>
      </c>
      <c r="E8" s="38">
        <f t="shared" si="12"/>
        <v>1.625</v>
      </c>
      <c r="F8" s="5">
        <f>F7+D8</f>
        <v>1.625</v>
      </c>
      <c r="G8" s="1">
        <f t="shared" si="0"/>
        <v>34</v>
      </c>
      <c r="H8" s="1">
        <f t="shared" si="1"/>
        <v>7</v>
      </c>
      <c r="I8" s="1">
        <f t="shared" si="2"/>
        <v>0</v>
      </c>
      <c r="J8" s="1">
        <f t="shared" si="3"/>
        <v>0</v>
      </c>
      <c r="K8" s="1">
        <f t="shared" si="4"/>
        <v>0</v>
      </c>
      <c r="L8" s="1">
        <f t="shared" si="5"/>
        <v>0</v>
      </c>
      <c r="M8" s="1">
        <f t="shared" si="6"/>
        <v>0</v>
      </c>
      <c r="O8" s="1">
        <f t="shared" si="7"/>
        <v>0</v>
      </c>
      <c r="P8" s="1">
        <f t="shared" si="8"/>
        <v>9</v>
      </c>
      <c r="Q8" s="1">
        <f t="shared" si="9"/>
        <v>0</v>
      </c>
      <c r="R8" s="1">
        <f t="shared" si="10"/>
        <v>0</v>
      </c>
      <c r="S8" s="1">
        <f t="shared" si="11"/>
        <v>0</v>
      </c>
      <c r="T8" s="28" t="s">
        <v>5</v>
      </c>
      <c r="U8" s="28" t="s">
        <v>5</v>
      </c>
      <c r="V8" s="28" t="s">
        <v>4</v>
      </c>
      <c r="W8" s="28" t="s">
        <v>4</v>
      </c>
      <c r="X8" s="28" t="s">
        <v>4</v>
      </c>
      <c r="Y8" s="28" t="s">
        <v>18</v>
      </c>
      <c r="Z8" s="28" t="s">
        <v>5</v>
      </c>
      <c r="AA8" s="28" t="s">
        <v>4</v>
      </c>
      <c r="AB8" s="28" t="s">
        <v>4</v>
      </c>
      <c r="AC8" s="28" t="s">
        <v>4</v>
      </c>
      <c r="AD8" s="28" t="s">
        <v>18</v>
      </c>
      <c r="AE8" s="28" t="s">
        <v>4</v>
      </c>
      <c r="AF8" s="28" t="s">
        <v>4</v>
      </c>
      <c r="AG8" s="28" t="s">
        <v>4</v>
      </c>
      <c r="AH8" s="28" t="s">
        <v>4</v>
      </c>
      <c r="AI8" s="28" t="s">
        <v>5</v>
      </c>
      <c r="AJ8" s="28" t="s">
        <v>5</v>
      </c>
      <c r="AK8" s="28" t="s">
        <v>4</v>
      </c>
      <c r="AL8" s="28" t="s">
        <v>4</v>
      </c>
      <c r="AM8" s="28" t="s">
        <v>4</v>
      </c>
      <c r="AN8" s="28" t="s">
        <v>4</v>
      </c>
      <c r="AO8" s="28" t="s">
        <v>4</v>
      </c>
      <c r="AP8" s="28" t="s">
        <v>4</v>
      </c>
      <c r="AQ8" s="28" t="s">
        <v>4</v>
      </c>
      <c r="AR8" s="28" t="s">
        <v>4</v>
      </c>
      <c r="AS8" s="28" t="s">
        <v>18</v>
      </c>
      <c r="AT8" s="28" t="s">
        <v>4</v>
      </c>
      <c r="AU8" s="28" t="s">
        <v>4</v>
      </c>
      <c r="AV8" s="28" t="s">
        <v>4</v>
      </c>
      <c r="AW8" s="28" t="s">
        <v>4</v>
      </c>
      <c r="AX8" s="28" t="s">
        <v>18</v>
      </c>
      <c r="AY8" s="28" t="s">
        <v>5</v>
      </c>
      <c r="AZ8" s="28" t="s">
        <v>4</v>
      </c>
      <c r="BA8" s="28" t="s">
        <v>4</v>
      </c>
      <c r="BB8" s="28" t="s">
        <v>4</v>
      </c>
      <c r="BC8" s="28" t="s">
        <v>18</v>
      </c>
      <c r="BD8" s="28" t="s">
        <v>18</v>
      </c>
      <c r="BE8" s="28" t="s">
        <v>4</v>
      </c>
      <c r="BF8" s="28" t="s">
        <v>4</v>
      </c>
      <c r="BG8" s="28" t="s">
        <v>4</v>
      </c>
      <c r="BH8" s="28" t="s">
        <v>18</v>
      </c>
      <c r="BI8" s="28" t="s">
        <v>18</v>
      </c>
      <c r="BJ8" s="28" t="s">
        <v>4</v>
      </c>
      <c r="BK8" s="28" t="s">
        <v>4</v>
      </c>
      <c r="BL8" s="28" t="s">
        <v>4</v>
      </c>
      <c r="BM8" s="28" t="s">
        <v>18</v>
      </c>
      <c r="BN8" s="28" t="s">
        <v>5</v>
      </c>
      <c r="BO8" s="28" t="s">
        <v>4</v>
      </c>
      <c r="BP8" s="28" t="s">
        <v>4</v>
      </c>
      <c r="BQ8" s="28" t="s">
        <v>4</v>
      </c>
    </row>
    <row r="9" spans="1:69" x14ac:dyDescent="0.3">
      <c r="A9" s="93"/>
      <c r="B9" s="93"/>
      <c r="C9" s="26">
        <v>44723.729166666664</v>
      </c>
      <c r="D9" s="37">
        <f t="shared" si="13"/>
        <v>0.375</v>
      </c>
      <c r="E9" s="38">
        <f t="shared" si="12"/>
        <v>2</v>
      </c>
      <c r="F9" s="5">
        <f t="shared" si="14"/>
        <v>2</v>
      </c>
      <c r="G9" s="1">
        <f t="shared" si="0"/>
        <v>34</v>
      </c>
      <c r="H9" s="1">
        <f t="shared" si="1"/>
        <v>3</v>
      </c>
      <c r="I9" s="1">
        <f t="shared" si="2"/>
        <v>0</v>
      </c>
      <c r="J9" s="1">
        <f>COUNTIF($T9:$BQ9, "L3")</f>
        <v>0</v>
      </c>
      <c r="K9" s="1">
        <f t="shared" si="4"/>
        <v>0</v>
      </c>
      <c r="L9" s="1">
        <f t="shared" si="5"/>
        <v>0</v>
      </c>
      <c r="M9" s="1">
        <f t="shared" si="6"/>
        <v>0</v>
      </c>
      <c r="O9" s="1">
        <f t="shared" si="7"/>
        <v>0</v>
      </c>
      <c r="P9" s="1">
        <f t="shared" si="8"/>
        <v>13</v>
      </c>
      <c r="Q9" s="1">
        <f t="shared" si="9"/>
        <v>0</v>
      </c>
      <c r="R9" s="1">
        <f t="shared" si="10"/>
        <v>0</v>
      </c>
      <c r="S9" s="1">
        <f t="shared" si="11"/>
        <v>0</v>
      </c>
      <c r="T9" s="28" t="s">
        <v>5</v>
      </c>
      <c r="U9" s="28" t="s">
        <v>18</v>
      </c>
      <c r="V9" s="28" t="s">
        <v>4</v>
      </c>
      <c r="W9" s="28" t="s">
        <v>4</v>
      </c>
      <c r="X9" s="28" t="s">
        <v>4</v>
      </c>
      <c r="Y9" s="28" t="s">
        <v>18</v>
      </c>
      <c r="Z9" s="28" t="s">
        <v>5</v>
      </c>
      <c r="AA9" s="28" t="s">
        <v>4</v>
      </c>
      <c r="AB9" s="28" t="s">
        <v>4</v>
      </c>
      <c r="AC9" s="28" t="s">
        <v>4</v>
      </c>
      <c r="AD9" s="28" t="s">
        <v>18</v>
      </c>
      <c r="AE9" s="28" t="s">
        <v>4</v>
      </c>
      <c r="AF9" s="28" t="s">
        <v>4</v>
      </c>
      <c r="AG9" s="28" t="s">
        <v>4</v>
      </c>
      <c r="AH9" s="28" t="s">
        <v>4</v>
      </c>
      <c r="AI9" s="28" t="s">
        <v>5</v>
      </c>
      <c r="AJ9" s="28" t="s">
        <v>18</v>
      </c>
      <c r="AK9" s="28" t="s">
        <v>4</v>
      </c>
      <c r="AL9" s="28" t="s">
        <v>4</v>
      </c>
      <c r="AM9" s="28" t="s">
        <v>4</v>
      </c>
      <c r="AN9" s="28" t="s">
        <v>4</v>
      </c>
      <c r="AO9" s="28" t="s">
        <v>4</v>
      </c>
      <c r="AP9" s="28" t="s">
        <v>4</v>
      </c>
      <c r="AQ9" s="28" t="s">
        <v>4</v>
      </c>
      <c r="AR9" s="28" t="s">
        <v>4</v>
      </c>
      <c r="AS9" s="28" t="s">
        <v>18</v>
      </c>
      <c r="AT9" s="28" t="s">
        <v>4</v>
      </c>
      <c r="AU9" s="28" t="s">
        <v>4</v>
      </c>
      <c r="AV9" s="28" t="s">
        <v>4</v>
      </c>
      <c r="AW9" s="28" t="s">
        <v>4</v>
      </c>
      <c r="AX9" s="28" t="s">
        <v>18</v>
      </c>
      <c r="AY9" s="28" t="s">
        <v>18</v>
      </c>
      <c r="AZ9" s="28" t="s">
        <v>4</v>
      </c>
      <c r="BA9" s="28" t="s">
        <v>4</v>
      </c>
      <c r="BB9" s="28" t="s">
        <v>4</v>
      </c>
      <c r="BC9" s="28" t="s">
        <v>18</v>
      </c>
      <c r="BD9" s="28" t="s">
        <v>18</v>
      </c>
      <c r="BE9" s="28" t="s">
        <v>4</v>
      </c>
      <c r="BF9" s="28" t="s">
        <v>4</v>
      </c>
      <c r="BG9" s="28" t="s">
        <v>4</v>
      </c>
      <c r="BH9" s="28" t="s">
        <v>18</v>
      </c>
      <c r="BI9" s="28" t="s">
        <v>18</v>
      </c>
      <c r="BJ9" s="28" t="s">
        <v>4</v>
      </c>
      <c r="BK9" s="28" t="s">
        <v>4</v>
      </c>
      <c r="BL9" s="28" t="s">
        <v>4</v>
      </c>
      <c r="BM9" s="28" t="s">
        <v>18</v>
      </c>
      <c r="BN9" s="28" t="s">
        <v>18</v>
      </c>
      <c r="BO9" s="28" t="s">
        <v>4</v>
      </c>
      <c r="BP9" s="28" t="s">
        <v>4</v>
      </c>
      <c r="BQ9" s="28" t="s">
        <v>4</v>
      </c>
    </row>
    <row r="10" spans="1:69" x14ac:dyDescent="0.3">
      <c r="A10" s="93"/>
      <c r="B10" s="93"/>
      <c r="C10" s="26">
        <v>44723.979166666664</v>
      </c>
      <c r="D10" s="37">
        <f t="shared" si="13"/>
        <v>0.25</v>
      </c>
      <c r="E10" s="38">
        <f t="shared" si="12"/>
        <v>2.25</v>
      </c>
      <c r="F10" s="5">
        <f t="shared" si="14"/>
        <v>2.25</v>
      </c>
      <c r="G10" s="1">
        <f t="shared" si="0"/>
        <v>34</v>
      </c>
      <c r="H10" s="1">
        <f t="shared" si="1"/>
        <v>1</v>
      </c>
      <c r="I10" s="1">
        <f t="shared" si="2"/>
        <v>0</v>
      </c>
      <c r="J10" s="1">
        <f t="shared" si="3"/>
        <v>0</v>
      </c>
      <c r="K10" s="1">
        <f t="shared" si="4"/>
        <v>0</v>
      </c>
      <c r="L10" s="1">
        <f t="shared" si="5"/>
        <v>0</v>
      </c>
      <c r="M10" s="1">
        <f t="shared" si="6"/>
        <v>0</v>
      </c>
      <c r="O10" s="1">
        <f t="shared" si="7"/>
        <v>0</v>
      </c>
      <c r="P10" s="1">
        <f t="shared" si="8"/>
        <v>15</v>
      </c>
      <c r="Q10" s="1">
        <f t="shared" si="9"/>
        <v>0</v>
      </c>
      <c r="R10" s="1">
        <f t="shared" si="10"/>
        <v>0</v>
      </c>
      <c r="S10" s="1">
        <f t="shared" si="11"/>
        <v>0</v>
      </c>
      <c r="T10" s="28" t="s">
        <v>5</v>
      </c>
      <c r="U10" s="28" t="s">
        <v>18</v>
      </c>
      <c r="V10" s="28" t="s">
        <v>4</v>
      </c>
      <c r="W10" s="28" t="s">
        <v>4</v>
      </c>
      <c r="X10" s="28" t="s">
        <v>4</v>
      </c>
      <c r="Y10" s="28" t="s">
        <v>18</v>
      </c>
      <c r="Z10" s="28" t="s">
        <v>18</v>
      </c>
      <c r="AA10" s="28" t="s">
        <v>4</v>
      </c>
      <c r="AB10" s="28" t="s">
        <v>4</v>
      </c>
      <c r="AC10" s="28" t="s">
        <v>4</v>
      </c>
      <c r="AD10" s="28" t="s">
        <v>18</v>
      </c>
      <c r="AE10" s="28" t="s">
        <v>4</v>
      </c>
      <c r="AF10" s="28" t="s">
        <v>4</v>
      </c>
      <c r="AG10" s="28" t="s">
        <v>4</v>
      </c>
      <c r="AH10" s="28" t="s">
        <v>4</v>
      </c>
      <c r="AI10" s="28" t="s">
        <v>18</v>
      </c>
      <c r="AJ10" s="28" t="s">
        <v>18</v>
      </c>
      <c r="AK10" s="28" t="s">
        <v>4</v>
      </c>
      <c r="AL10" s="28" t="s">
        <v>4</v>
      </c>
      <c r="AM10" s="28" t="s">
        <v>4</v>
      </c>
      <c r="AN10" s="28" t="s">
        <v>4</v>
      </c>
      <c r="AO10" s="28" t="s">
        <v>4</v>
      </c>
      <c r="AP10" s="28" t="s">
        <v>4</v>
      </c>
      <c r="AQ10" s="28" t="s">
        <v>4</v>
      </c>
      <c r="AR10" s="28" t="s">
        <v>4</v>
      </c>
      <c r="AS10" s="28" t="s">
        <v>18</v>
      </c>
      <c r="AT10" s="28" t="s">
        <v>4</v>
      </c>
      <c r="AU10" s="28" t="s">
        <v>4</v>
      </c>
      <c r="AV10" s="28" t="s">
        <v>4</v>
      </c>
      <c r="AW10" s="28" t="s">
        <v>4</v>
      </c>
      <c r="AX10" s="28" t="s">
        <v>18</v>
      </c>
      <c r="AY10" s="28" t="s">
        <v>18</v>
      </c>
      <c r="AZ10" s="28" t="s">
        <v>4</v>
      </c>
      <c r="BA10" s="28" t="s">
        <v>4</v>
      </c>
      <c r="BB10" s="28" t="s">
        <v>4</v>
      </c>
      <c r="BC10" s="28" t="s">
        <v>18</v>
      </c>
      <c r="BD10" s="28" t="s">
        <v>18</v>
      </c>
      <c r="BE10" s="28" t="s">
        <v>4</v>
      </c>
      <c r="BF10" s="28" t="s">
        <v>4</v>
      </c>
      <c r="BG10" s="28" t="s">
        <v>4</v>
      </c>
      <c r="BH10" s="28" t="s">
        <v>18</v>
      </c>
      <c r="BI10" s="28" t="s">
        <v>18</v>
      </c>
      <c r="BJ10" s="28" t="s">
        <v>4</v>
      </c>
      <c r="BK10" s="28" t="s">
        <v>4</v>
      </c>
      <c r="BL10" s="28" t="s">
        <v>4</v>
      </c>
      <c r="BM10" s="28" t="s">
        <v>18</v>
      </c>
      <c r="BN10" s="28" t="s">
        <v>18</v>
      </c>
      <c r="BO10" s="28" t="s">
        <v>4</v>
      </c>
      <c r="BP10" s="28" t="s">
        <v>4</v>
      </c>
      <c r="BQ10" s="28" t="s">
        <v>4</v>
      </c>
    </row>
    <row r="11" spans="1:69" x14ac:dyDescent="0.3">
      <c r="A11" s="93">
        <f t="shared" ref="A11" si="15">A8+1</f>
        <v>163</v>
      </c>
      <c r="B11" s="93">
        <v>4</v>
      </c>
      <c r="C11" s="26">
        <v>44724.375</v>
      </c>
      <c r="D11" s="37">
        <f>(C11-C10)</f>
        <v>0.39583333333575865</v>
      </c>
      <c r="E11" s="38">
        <f>E10+D11</f>
        <v>2.6458333333357587</v>
      </c>
      <c r="F11" s="5">
        <f t="shared" si="14"/>
        <v>2.6458333333357587</v>
      </c>
      <c r="G11" s="1">
        <f t="shared" si="0"/>
        <v>34</v>
      </c>
      <c r="H11" s="1">
        <f t="shared" si="1"/>
        <v>0</v>
      </c>
      <c r="I11" s="1">
        <f t="shared" si="2"/>
        <v>0</v>
      </c>
      <c r="J11" s="1">
        <f t="shared" si="3"/>
        <v>0</v>
      </c>
      <c r="K11" s="1">
        <f t="shared" si="4"/>
        <v>0</v>
      </c>
      <c r="L11" s="1">
        <f t="shared" si="5"/>
        <v>0</v>
      </c>
      <c r="M11" s="1">
        <f t="shared" si="6"/>
        <v>0</v>
      </c>
      <c r="O11" s="1">
        <f t="shared" si="7"/>
        <v>0</v>
      </c>
      <c r="P11" s="1">
        <f t="shared" si="8"/>
        <v>16</v>
      </c>
      <c r="Q11" s="1">
        <f t="shared" si="9"/>
        <v>0</v>
      </c>
      <c r="R11" s="1">
        <f t="shared" si="10"/>
        <v>0</v>
      </c>
      <c r="S11" s="1">
        <f t="shared" si="11"/>
        <v>0</v>
      </c>
      <c r="T11" s="28" t="s">
        <v>18</v>
      </c>
      <c r="U11" s="28" t="s">
        <v>18</v>
      </c>
      <c r="V11" s="28" t="s">
        <v>4</v>
      </c>
      <c r="W11" s="28" t="s">
        <v>4</v>
      </c>
      <c r="X11" s="28" t="s">
        <v>4</v>
      </c>
      <c r="Y11" s="28" t="s">
        <v>18</v>
      </c>
      <c r="Z11" s="28" t="s">
        <v>18</v>
      </c>
      <c r="AA11" s="28" t="s">
        <v>4</v>
      </c>
      <c r="AB11" s="28" t="s">
        <v>4</v>
      </c>
      <c r="AC11" s="28" t="s">
        <v>4</v>
      </c>
      <c r="AD11" s="28" t="s">
        <v>18</v>
      </c>
      <c r="AE11" s="28" t="s">
        <v>4</v>
      </c>
      <c r="AF11" s="28" t="s">
        <v>4</v>
      </c>
      <c r="AG11" s="28" t="s">
        <v>4</v>
      </c>
      <c r="AH11" s="28" t="s">
        <v>4</v>
      </c>
      <c r="AI11" s="28" t="s">
        <v>18</v>
      </c>
      <c r="AJ11" s="28" t="s">
        <v>18</v>
      </c>
      <c r="AK11" s="28" t="s">
        <v>4</v>
      </c>
      <c r="AL11" s="28" t="s">
        <v>4</v>
      </c>
      <c r="AM11" s="28" t="s">
        <v>4</v>
      </c>
      <c r="AN11" s="28" t="s">
        <v>4</v>
      </c>
      <c r="AO11" s="28" t="s">
        <v>4</v>
      </c>
      <c r="AP11" s="28" t="s">
        <v>4</v>
      </c>
      <c r="AQ11" s="28" t="s">
        <v>4</v>
      </c>
      <c r="AR11" s="28" t="s">
        <v>4</v>
      </c>
      <c r="AS11" s="28" t="s">
        <v>18</v>
      </c>
      <c r="AT11" s="28" t="s">
        <v>4</v>
      </c>
      <c r="AU11" s="28" t="s">
        <v>4</v>
      </c>
      <c r="AV11" s="28" t="s">
        <v>4</v>
      </c>
      <c r="AW11" s="28" t="s">
        <v>4</v>
      </c>
      <c r="AX11" s="28" t="s">
        <v>18</v>
      </c>
      <c r="AY11" s="28" t="s">
        <v>18</v>
      </c>
      <c r="AZ11" s="28" t="s">
        <v>4</v>
      </c>
      <c r="BA11" s="28" t="s">
        <v>4</v>
      </c>
      <c r="BB11" s="28" t="s">
        <v>4</v>
      </c>
      <c r="BC11" s="28" t="s">
        <v>18</v>
      </c>
      <c r="BD11" s="28" t="s">
        <v>18</v>
      </c>
      <c r="BE11" s="28" t="s">
        <v>4</v>
      </c>
      <c r="BF11" s="28" t="s">
        <v>4</v>
      </c>
      <c r="BG11" s="28" t="s">
        <v>4</v>
      </c>
      <c r="BH11" s="28" t="s">
        <v>18</v>
      </c>
      <c r="BI11" s="28" t="s">
        <v>18</v>
      </c>
      <c r="BJ11" s="28" t="s">
        <v>4</v>
      </c>
      <c r="BK11" s="28" t="s">
        <v>4</v>
      </c>
      <c r="BL11" s="28" t="s">
        <v>4</v>
      </c>
      <c r="BM11" s="28" t="s">
        <v>18</v>
      </c>
      <c r="BN11" s="28" t="s">
        <v>18</v>
      </c>
      <c r="BO11" s="28" t="s">
        <v>4</v>
      </c>
      <c r="BP11" s="28" t="s">
        <v>4</v>
      </c>
      <c r="BQ11" s="28" t="s">
        <v>4</v>
      </c>
    </row>
    <row r="12" spans="1:69" x14ac:dyDescent="0.3">
      <c r="A12" s="93"/>
      <c r="B12" s="93"/>
      <c r="C12" s="26">
        <v>44724.708333333336</v>
      </c>
      <c r="D12" s="37">
        <f t="shared" si="13"/>
        <v>0.33333333333575865</v>
      </c>
      <c r="E12" s="38">
        <f t="shared" si="12"/>
        <v>2.9791666666715173</v>
      </c>
      <c r="F12" s="5">
        <f t="shared" si="14"/>
        <v>2.9791666666715173</v>
      </c>
      <c r="G12" s="1">
        <f t="shared" si="0"/>
        <v>34</v>
      </c>
      <c r="H12" s="1">
        <f t="shared" si="1"/>
        <v>0</v>
      </c>
      <c r="I12" s="1">
        <f t="shared" si="2"/>
        <v>0</v>
      </c>
      <c r="J12" s="1">
        <f t="shared" si="3"/>
        <v>0</v>
      </c>
      <c r="K12" s="1">
        <f t="shared" si="4"/>
        <v>0</v>
      </c>
      <c r="L12" s="1">
        <f t="shared" si="5"/>
        <v>0</v>
      </c>
      <c r="M12" s="1">
        <f t="shared" si="6"/>
        <v>0</v>
      </c>
      <c r="O12" s="1">
        <f t="shared" si="7"/>
        <v>0</v>
      </c>
      <c r="P12" s="1">
        <f t="shared" si="8"/>
        <v>16</v>
      </c>
      <c r="Q12" s="1">
        <f t="shared" si="9"/>
        <v>0</v>
      </c>
      <c r="R12" s="1">
        <f t="shared" si="10"/>
        <v>0</v>
      </c>
      <c r="S12" s="1">
        <f t="shared" si="11"/>
        <v>0</v>
      </c>
      <c r="T12" s="28" t="s">
        <v>18</v>
      </c>
      <c r="U12" s="28" t="s">
        <v>18</v>
      </c>
      <c r="V12" s="28" t="s">
        <v>4</v>
      </c>
      <c r="W12" s="28" t="s">
        <v>4</v>
      </c>
      <c r="X12" s="28" t="s">
        <v>4</v>
      </c>
      <c r="Y12" s="28" t="s">
        <v>18</v>
      </c>
      <c r="Z12" s="28" t="s">
        <v>18</v>
      </c>
      <c r="AA12" s="28" t="s">
        <v>4</v>
      </c>
      <c r="AB12" s="28" t="s">
        <v>4</v>
      </c>
      <c r="AC12" s="28" t="s">
        <v>4</v>
      </c>
      <c r="AD12" s="28" t="s">
        <v>18</v>
      </c>
      <c r="AE12" s="28" t="s">
        <v>4</v>
      </c>
      <c r="AF12" s="28" t="s">
        <v>4</v>
      </c>
      <c r="AG12" s="28" t="s">
        <v>4</v>
      </c>
      <c r="AH12" s="28" t="s">
        <v>4</v>
      </c>
      <c r="AI12" s="28" t="s">
        <v>18</v>
      </c>
      <c r="AJ12" s="28" t="s">
        <v>18</v>
      </c>
      <c r="AK12" s="28" t="s">
        <v>4</v>
      </c>
      <c r="AL12" s="28" t="s">
        <v>4</v>
      </c>
      <c r="AM12" s="28" t="s">
        <v>4</v>
      </c>
      <c r="AN12" s="28" t="s">
        <v>4</v>
      </c>
      <c r="AO12" s="28" t="s">
        <v>4</v>
      </c>
      <c r="AP12" s="28" t="s">
        <v>4</v>
      </c>
      <c r="AQ12" s="28" t="s">
        <v>4</v>
      </c>
      <c r="AR12" s="28" t="s">
        <v>4</v>
      </c>
      <c r="AS12" s="28" t="s">
        <v>18</v>
      </c>
      <c r="AT12" s="28" t="s">
        <v>4</v>
      </c>
      <c r="AU12" s="28" t="s">
        <v>4</v>
      </c>
      <c r="AV12" s="28" t="s">
        <v>4</v>
      </c>
      <c r="AW12" s="28" t="s">
        <v>4</v>
      </c>
      <c r="AX12" s="28" t="s">
        <v>18</v>
      </c>
      <c r="AY12" s="28" t="s">
        <v>18</v>
      </c>
      <c r="AZ12" s="28" t="s">
        <v>4</v>
      </c>
      <c r="BA12" s="28" t="s">
        <v>4</v>
      </c>
      <c r="BB12" s="28" t="s">
        <v>4</v>
      </c>
      <c r="BC12" s="28" t="s">
        <v>18</v>
      </c>
      <c r="BD12" s="28" t="s">
        <v>18</v>
      </c>
      <c r="BE12" s="28" t="s">
        <v>4</v>
      </c>
      <c r="BF12" s="28" t="s">
        <v>4</v>
      </c>
      <c r="BG12" s="28" t="s">
        <v>4</v>
      </c>
      <c r="BH12" s="28" t="s">
        <v>18</v>
      </c>
      <c r="BI12" s="28" t="s">
        <v>18</v>
      </c>
      <c r="BJ12" s="28" t="s">
        <v>4</v>
      </c>
      <c r="BK12" s="28" t="s">
        <v>4</v>
      </c>
      <c r="BL12" s="28" t="s">
        <v>4</v>
      </c>
      <c r="BM12" s="28" t="s">
        <v>18</v>
      </c>
      <c r="BN12" s="28" t="s">
        <v>18</v>
      </c>
      <c r="BO12" s="28" t="s">
        <v>4</v>
      </c>
      <c r="BP12" s="28" t="s">
        <v>4</v>
      </c>
      <c r="BQ12" s="28" t="s">
        <v>4</v>
      </c>
    </row>
    <row r="13" spans="1:69" x14ac:dyDescent="0.3">
      <c r="A13" s="93"/>
      <c r="B13" s="93"/>
      <c r="C13" s="26">
        <v>44724.9375</v>
      </c>
      <c r="D13" s="37">
        <f t="shared" si="13"/>
        <v>0.22916666666424135</v>
      </c>
      <c r="E13" s="38">
        <f t="shared" si="12"/>
        <v>3.2083333333357587</v>
      </c>
      <c r="F13" s="6">
        <f t="shared" si="14"/>
        <v>3.2083333333357587</v>
      </c>
      <c r="G13" s="1">
        <f t="shared" si="0"/>
        <v>34</v>
      </c>
      <c r="H13" s="1">
        <f t="shared" si="1"/>
        <v>0</v>
      </c>
      <c r="I13" s="1">
        <f t="shared" si="2"/>
        <v>0</v>
      </c>
      <c r="J13" s="1">
        <f t="shared" si="3"/>
        <v>0</v>
      </c>
      <c r="K13" s="1">
        <f t="shared" si="4"/>
        <v>0</v>
      </c>
      <c r="L13" s="1">
        <f t="shared" si="5"/>
        <v>0</v>
      </c>
      <c r="M13" s="1">
        <f t="shared" si="6"/>
        <v>0</v>
      </c>
      <c r="O13" s="1">
        <f t="shared" si="7"/>
        <v>0</v>
      </c>
      <c r="P13" s="1">
        <f t="shared" si="8"/>
        <v>16</v>
      </c>
      <c r="Q13" s="1">
        <f t="shared" si="9"/>
        <v>0</v>
      </c>
      <c r="R13" s="1">
        <f t="shared" si="10"/>
        <v>0</v>
      </c>
      <c r="S13" s="1">
        <f t="shared" si="11"/>
        <v>0</v>
      </c>
      <c r="T13" s="28" t="s">
        <v>18</v>
      </c>
      <c r="U13" s="28" t="s">
        <v>18</v>
      </c>
      <c r="V13" s="28" t="s">
        <v>4</v>
      </c>
      <c r="W13" s="28" t="s">
        <v>4</v>
      </c>
      <c r="X13" s="28" t="s">
        <v>4</v>
      </c>
      <c r="Y13" s="28" t="s">
        <v>18</v>
      </c>
      <c r="Z13" s="28" t="s">
        <v>18</v>
      </c>
      <c r="AA13" s="28" t="s">
        <v>4</v>
      </c>
      <c r="AB13" s="28" t="s">
        <v>4</v>
      </c>
      <c r="AC13" s="28" t="s">
        <v>4</v>
      </c>
      <c r="AD13" s="28" t="s">
        <v>18</v>
      </c>
      <c r="AE13" s="28" t="s">
        <v>4</v>
      </c>
      <c r="AF13" s="28" t="s">
        <v>4</v>
      </c>
      <c r="AG13" s="28" t="s">
        <v>4</v>
      </c>
      <c r="AH13" s="28" t="s">
        <v>4</v>
      </c>
      <c r="AI13" s="28" t="s">
        <v>18</v>
      </c>
      <c r="AJ13" s="28" t="s">
        <v>18</v>
      </c>
      <c r="AK13" s="28" t="s">
        <v>4</v>
      </c>
      <c r="AL13" s="28" t="s">
        <v>4</v>
      </c>
      <c r="AM13" s="28" t="s">
        <v>4</v>
      </c>
      <c r="AN13" s="28" t="s">
        <v>4</v>
      </c>
      <c r="AO13" s="28" t="s">
        <v>4</v>
      </c>
      <c r="AP13" s="28" t="s">
        <v>4</v>
      </c>
      <c r="AQ13" s="28" t="s">
        <v>4</v>
      </c>
      <c r="AR13" s="28" t="s">
        <v>4</v>
      </c>
      <c r="AS13" s="28" t="s">
        <v>18</v>
      </c>
      <c r="AT13" s="28" t="s">
        <v>4</v>
      </c>
      <c r="AU13" s="28" t="s">
        <v>4</v>
      </c>
      <c r="AV13" s="28" t="s">
        <v>4</v>
      </c>
      <c r="AW13" s="28" t="s">
        <v>4</v>
      </c>
      <c r="AX13" s="28" t="s">
        <v>18</v>
      </c>
      <c r="AY13" s="28" t="s">
        <v>18</v>
      </c>
      <c r="AZ13" s="28" t="s">
        <v>4</v>
      </c>
      <c r="BA13" s="28" t="s">
        <v>4</v>
      </c>
      <c r="BB13" s="28" t="s">
        <v>4</v>
      </c>
      <c r="BC13" s="28" t="s">
        <v>18</v>
      </c>
      <c r="BD13" s="28" t="s">
        <v>18</v>
      </c>
      <c r="BE13" s="28" t="s">
        <v>4</v>
      </c>
      <c r="BF13" s="28" t="s">
        <v>4</v>
      </c>
      <c r="BG13" s="28" t="s">
        <v>4</v>
      </c>
      <c r="BH13" s="28" t="s">
        <v>18</v>
      </c>
      <c r="BI13" s="28" t="s">
        <v>18</v>
      </c>
      <c r="BJ13" s="28" t="s">
        <v>4</v>
      </c>
      <c r="BK13" s="28" t="s">
        <v>4</v>
      </c>
      <c r="BL13" s="28" t="s">
        <v>4</v>
      </c>
      <c r="BM13" s="28" t="s">
        <v>18</v>
      </c>
      <c r="BN13" s="28" t="s">
        <v>18</v>
      </c>
      <c r="BO13" s="28" t="s">
        <v>4</v>
      </c>
      <c r="BP13" s="28" t="s">
        <v>4</v>
      </c>
      <c r="BQ13" s="28" t="s">
        <v>4</v>
      </c>
    </row>
    <row r="14" spans="1:69" x14ac:dyDescent="0.3">
      <c r="A14" s="93">
        <f t="shared" ref="A14" si="16">A11+1</f>
        <v>164</v>
      </c>
      <c r="B14" s="93">
        <v>5</v>
      </c>
      <c r="C14" s="26">
        <v>44725.375</v>
      </c>
      <c r="D14" s="37">
        <f t="shared" si="13"/>
        <v>0.4375</v>
      </c>
      <c r="E14" s="38">
        <f t="shared" si="12"/>
        <v>3.6458333333357587</v>
      </c>
      <c r="F14" s="6">
        <f t="shared" si="14"/>
        <v>3.6458333333357587</v>
      </c>
      <c r="G14" s="1">
        <f t="shared" si="0"/>
        <v>34</v>
      </c>
      <c r="H14" s="1">
        <f t="shared" si="1"/>
        <v>0</v>
      </c>
      <c r="I14" s="1">
        <f t="shared" si="2"/>
        <v>0</v>
      </c>
      <c r="J14" s="1">
        <f t="shared" si="3"/>
        <v>0</v>
      </c>
      <c r="K14" s="1">
        <f t="shared" si="4"/>
        <v>0</v>
      </c>
      <c r="L14" s="1">
        <f t="shared" si="5"/>
        <v>0</v>
      </c>
      <c r="M14" s="1">
        <f t="shared" si="6"/>
        <v>0</v>
      </c>
      <c r="O14" s="1">
        <f t="shared" si="7"/>
        <v>0</v>
      </c>
      <c r="P14" s="1">
        <f t="shared" si="8"/>
        <v>16</v>
      </c>
      <c r="Q14" s="1">
        <f t="shared" si="9"/>
        <v>0</v>
      </c>
      <c r="R14" s="1">
        <f t="shared" si="10"/>
        <v>0</v>
      </c>
      <c r="S14" s="1">
        <f t="shared" si="11"/>
        <v>0</v>
      </c>
      <c r="T14" s="28" t="s">
        <v>18</v>
      </c>
      <c r="U14" s="28" t="s">
        <v>18</v>
      </c>
      <c r="V14" s="28" t="s">
        <v>4</v>
      </c>
      <c r="W14" s="28" t="s">
        <v>4</v>
      </c>
      <c r="X14" s="28" t="s">
        <v>4</v>
      </c>
      <c r="Y14" s="28" t="s">
        <v>18</v>
      </c>
      <c r="Z14" s="28" t="s">
        <v>18</v>
      </c>
      <c r="AA14" s="28" t="s">
        <v>4</v>
      </c>
      <c r="AB14" s="28" t="s">
        <v>4</v>
      </c>
      <c r="AC14" s="28" t="s">
        <v>4</v>
      </c>
      <c r="AD14" s="28" t="s">
        <v>18</v>
      </c>
      <c r="AE14" s="28" t="s">
        <v>4</v>
      </c>
      <c r="AF14" s="28" t="s">
        <v>4</v>
      </c>
      <c r="AG14" s="28" t="s">
        <v>4</v>
      </c>
      <c r="AH14" s="28" t="s">
        <v>4</v>
      </c>
      <c r="AI14" s="28" t="s">
        <v>18</v>
      </c>
      <c r="AJ14" s="28" t="s">
        <v>18</v>
      </c>
      <c r="AK14" s="28" t="s">
        <v>4</v>
      </c>
      <c r="AL14" s="28" t="s">
        <v>4</v>
      </c>
      <c r="AM14" s="28" t="s">
        <v>4</v>
      </c>
      <c r="AN14" s="28" t="s">
        <v>4</v>
      </c>
      <c r="AO14" s="28" t="s">
        <v>4</v>
      </c>
      <c r="AP14" s="28" t="s">
        <v>4</v>
      </c>
      <c r="AQ14" s="28" t="s">
        <v>4</v>
      </c>
      <c r="AR14" s="28" t="s">
        <v>4</v>
      </c>
      <c r="AS14" s="28" t="s">
        <v>18</v>
      </c>
      <c r="AT14" s="28" t="s">
        <v>4</v>
      </c>
      <c r="AU14" s="28" t="s">
        <v>4</v>
      </c>
      <c r="AV14" s="28" t="s">
        <v>4</v>
      </c>
      <c r="AW14" s="28" t="s">
        <v>4</v>
      </c>
      <c r="AX14" s="28" t="s">
        <v>18</v>
      </c>
      <c r="AY14" s="28" t="s">
        <v>18</v>
      </c>
      <c r="AZ14" s="28" t="s">
        <v>4</v>
      </c>
      <c r="BA14" s="28" t="s">
        <v>4</v>
      </c>
      <c r="BB14" s="28" t="s">
        <v>4</v>
      </c>
      <c r="BC14" s="28" t="s">
        <v>18</v>
      </c>
      <c r="BD14" s="28" t="s">
        <v>18</v>
      </c>
      <c r="BE14" s="28" t="s">
        <v>4</v>
      </c>
      <c r="BF14" s="28" t="s">
        <v>4</v>
      </c>
      <c r="BG14" s="28" t="s">
        <v>4</v>
      </c>
      <c r="BH14" s="28" t="s">
        <v>18</v>
      </c>
      <c r="BI14" s="28" t="s">
        <v>18</v>
      </c>
      <c r="BJ14" s="28" t="s">
        <v>4</v>
      </c>
      <c r="BK14" s="28" t="s">
        <v>4</v>
      </c>
      <c r="BL14" s="28" t="s">
        <v>4</v>
      </c>
      <c r="BM14" s="28" t="s">
        <v>18</v>
      </c>
      <c r="BN14" s="28" t="s">
        <v>18</v>
      </c>
      <c r="BO14" s="28" t="s">
        <v>4</v>
      </c>
      <c r="BP14" s="28" t="s">
        <v>4</v>
      </c>
      <c r="BQ14" s="28" t="s">
        <v>4</v>
      </c>
    </row>
    <row r="15" spans="1:69" x14ac:dyDescent="0.3">
      <c r="A15" s="93"/>
      <c r="B15" s="93"/>
      <c r="C15" s="26">
        <v>44725.729166666664</v>
      </c>
      <c r="D15" s="37">
        <f t="shared" si="13"/>
        <v>0.35416666666424135</v>
      </c>
      <c r="E15" s="38">
        <f t="shared" si="12"/>
        <v>4</v>
      </c>
      <c r="F15" s="6">
        <f t="shared" si="14"/>
        <v>4</v>
      </c>
      <c r="G15" s="1">
        <f t="shared" si="0"/>
        <v>34</v>
      </c>
      <c r="H15" s="1">
        <f t="shared" si="1"/>
        <v>0</v>
      </c>
      <c r="I15" s="1">
        <f t="shared" si="2"/>
        <v>0</v>
      </c>
      <c r="J15" s="1">
        <f t="shared" si="3"/>
        <v>0</v>
      </c>
      <c r="K15" s="1">
        <f t="shared" si="4"/>
        <v>0</v>
      </c>
      <c r="L15" s="1">
        <f t="shared" si="5"/>
        <v>0</v>
      </c>
      <c r="M15" s="1">
        <f t="shared" si="6"/>
        <v>0</v>
      </c>
      <c r="O15" s="1">
        <f t="shared" si="7"/>
        <v>0</v>
      </c>
      <c r="P15" s="1">
        <f t="shared" si="8"/>
        <v>16</v>
      </c>
      <c r="Q15" s="1">
        <f t="shared" si="9"/>
        <v>0</v>
      </c>
      <c r="R15" s="1">
        <f t="shared" si="10"/>
        <v>0</v>
      </c>
      <c r="S15" s="1">
        <f t="shared" si="11"/>
        <v>0</v>
      </c>
      <c r="T15" s="28" t="s">
        <v>18</v>
      </c>
      <c r="U15" s="28" t="s">
        <v>18</v>
      </c>
      <c r="V15" s="28" t="s">
        <v>4</v>
      </c>
      <c r="W15" s="28" t="s">
        <v>4</v>
      </c>
      <c r="X15" s="28" t="s">
        <v>4</v>
      </c>
      <c r="Y15" s="28" t="s">
        <v>18</v>
      </c>
      <c r="Z15" s="28" t="s">
        <v>18</v>
      </c>
      <c r="AA15" s="28" t="s">
        <v>4</v>
      </c>
      <c r="AB15" s="28" t="s">
        <v>4</v>
      </c>
      <c r="AC15" s="28" t="s">
        <v>4</v>
      </c>
      <c r="AD15" s="28" t="s">
        <v>18</v>
      </c>
      <c r="AE15" s="28" t="s">
        <v>4</v>
      </c>
      <c r="AF15" s="28" t="s">
        <v>4</v>
      </c>
      <c r="AG15" s="28" t="s">
        <v>4</v>
      </c>
      <c r="AH15" s="28" t="s">
        <v>4</v>
      </c>
      <c r="AI15" s="28" t="s">
        <v>18</v>
      </c>
      <c r="AJ15" s="28" t="s">
        <v>18</v>
      </c>
      <c r="AK15" s="28" t="s">
        <v>4</v>
      </c>
      <c r="AL15" s="28" t="s">
        <v>4</v>
      </c>
      <c r="AM15" s="28" t="s">
        <v>4</v>
      </c>
      <c r="AN15" s="28" t="s">
        <v>4</v>
      </c>
      <c r="AO15" s="28" t="s">
        <v>4</v>
      </c>
      <c r="AP15" s="28" t="s">
        <v>4</v>
      </c>
      <c r="AQ15" s="28" t="s">
        <v>4</v>
      </c>
      <c r="AR15" s="28" t="s">
        <v>4</v>
      </c>
      <c r="AS15" s="28" t="s">
        <v>18</v>
      </c>
      <c r="AT15" s="28" t="s">
        <v>4</v>
      </c>
      <c r="AU15" s="28" t="s">
        <v>4</v>
      </c>
      <c r="AV15" s="28" t="s">
        <v>4</v>
      </c>
      <c r="AW15" s="28" t="s">
        <v>4</v>
      </c>
      <c r="AX15" s="28" t="s">
        <v>18</v>
      </c>
      <c r="AY15" s="28" t="s">
        <v>18</v>
      </c>
      <c r="AZ15" s="28" t="s">
        <v>4</v>
      </c>
      <c r="BA15" s="28" t="s">
        <v>4</v>
      </c>
      <c r="BB15" s="28" t="s">
        <v>4</v>
      </c>
      <c r="BC15" s="28" t="s">
        <v>18</v>
      </c>
      <c r="BD15" s="28" t="s">
        <v>18</v>
      </c>
      <c r="BE15" s="28" t="s">
        <v>4</v>
      </c>
      <c r="BF15" s="28" t="s">
        <v>4</v>
      </c>
      <c r="BG15" s="28" t="s">
        <v>4</v>
      </c>
      <c r="BH15" s="28" t="s">
        <v>18</v>
      </c>
      <c r="BI15" s="28" t="s">
        <v>18</v>
      </c>
      <c r="BJ15" s="28" t="s">
        <v>4</v>
      </c>
      <c r="BK15" s="28" t="s">
        <v>4</v>
      </c>
      <c r="BL15" s="28" t="s">
        <v>4</v>
      </c>
      <c r="BM15" s="28" t="s">
        <v>18</v>
      </c>
      <c r="BN15" s="28" t="s">
        <v>18</v>
      </c>
      <c r="BO15" s="28" t="s">
        <v>4</v>
      </c>
      <c r="BP15" s="28" t="s">
        <v>4</v>
      </c>
      <c r="BQ15" s="28" t="s">
        <v>4</v>
      </c>
    </row>
    <row r="16" spans="1:69" x14ac:dyDescent="0.3">
      <c r="A16" s="93"/>
      <c r="B16" s="93"/>
      <c r="C16" s="26">
        <v>44725.9375</v>
      </c>
      <c r="D16" s="37">
        <f t="shared" si="13"/>
        <v>0.20833333333575865</v>
      </c>
      <c r="E16" s="38">
        <f t="shared" si="12"/>
        <v>4.2083333333357587</v>
      </c>
      <c r="F16" s="6">
        <f t="shared" si="14"/>
        <v>4.2083333333357587</v>
      </c>
      <c r="G16" s="1">
        <f t="shared" si="0"/>
        <v>34</v>
      </c>
      <c r="H16" s="1">
        <f t="shared" si="1"/>
        <v>0</v>
      </c>
      <c r="I16" s="1">
        <f t="shared" si="2"/>
        <v>0</v>
      </c>
      <c r="J16" s="1">
        <f t="shared" si="3"/>
        <v>0</v>
      </c>
      <c r="K16" s="1">
        <f t="shared" si="4"/>
        <v>0</v>
      </c>
      <c r="L16" s="1">
        <f t="shared" si="5"/>
        <v>0</v>
      </c>
      <c r="M16" s="1">
        <f t="shared" si="6"/>
        <v>0</v>
      </c>
      <c r="O16" s="1">
        <f t="shared" si="7"/>
        <v>0</v>
      </c>
      <c r="P16" s="1">
        <f t="shared" si="8"/>
        <v>16</v>
      </c>
      <c r="Q16" s="1">
        <f t="shared" si="9"/>
        <v>0</v>
      </c>
      <c r="R16" s="1">
        <f t="shared" si="10"/>
        <v>0</v>
      </c>
      <c r="S16" s="1">
        <f t="shared" si="11"/>
        <v>0</v>
      </c>
      <c r="T16" s="28" t="s">
        <v>18</v>
      </c>
      <c r="U16" s="28" t="s">
        <v>18</v>
      </c>
      <c r="V16" s="28" t="s">
        <v>4</v>
      </c>
      <c r="W16" s="28" t="s">
        <v>4</v>
      </c>
      <c r="X16" s="28" t="s">
        <v>4</v>
      </c>
      <c r="Y16" s="28" t="s">
        <v>18</v>
      </c>
      <c r="Z16" s="28" t="s">
        <v>18</v>
      </c>
      <c r="AA16" s="28" t="s">
        <v>4</v>
      </c>
      <c r="AB16" s="28" t="s">
        <v>4</v>
      </c>
      <c r="AC16" s="28" t="s">
        <v>4</v>
      </c>
      <c r="AD16" s="28" t="s">
        <v>18</v>
      </c>
      <c r="AE16" s="28" t="s">
        <v>4</v>
      </c>
      <c r="AF16" s="28" t="s">
        <v>4</v>
      </c>
      <c r="AG16" s="28" t="s">
        <v>4</v>
      </c>
      <c r="AH16" s="28" t="s">
        <v>4</v>
      </c>
      <c r="AI16" s="28" t="s">
        <v>18</v>
      </c>
      <c r="AJ16" s="28" t="s">
        <v>18</v>
      </c>
      <c r="AK16" s="28" t="s">
        <v>4</v>
      </c>
      <c r="AL16" s="28" t="s">
        <v>4</v>
      </c>
      <c r="AM16" s="28" t="s">
        <v>4</v>
      </c>
      <c r="AN16" s="28" t="s">
        <v>4</v>
      </c>
      <c r="AO16" s="28" t="s">
        <v>4</v>
      </c>
      <c r="AP16" s="28" t="s">
        <v>4</v>
      </c>
      <c r="AQ16" s="28" t="s">
        <v>4</v>
      </c>
      <c r="AR16" s="28" t="s">
        <v>4</v>
      </c>
      <c r="AS16" s="28" t="s">
        <v>18</v>
      </c>
      <c r="AT16" s="28" t="s">
        <v>4</v>
      </c>
      <c r="AU16" s="28" t="s">
        <v>4</v>
      </c>
      <c r="AV16" s="28" t="s">
        <v>4</v>
      </c>
      <c r="AW16" s="28" t="s">
        <v>4</v>
      </c>
      <c r="AX16" s="28" t="s">
        <v>18</v>
      </c>
      <c r="AY16" s="28" t="s">
        <v>18</v>
      </c>
      <c r="AZ16" s="28" t="s">
        <v>4</v>
      </c>
      <c r="BA16" s="28" t="s">
        <v>4</v>
      </c>
      <c r="BB16" s="28" t="s">
        <v>4</v>
      </c>
      <c r="BC16" s="28" t="s">
        <v>18</v>
      </c>
      <c r="BD16" s="28" t="s">
        <v>18</v>
      </c>
      <c r="BE16" s="28" t="s">
        <v>4</v>
      </c>
      <c r="BF16" s="28" t="s">
        <v>4</v>
      </c>
      <c r="BG16" s="28" t="s">
        <v>4</v>
      </c>
      <c r="BH16" s="28" t="s">
        <v>18</v>
      </c>
      <c r="BI16" s="28" t="s">
        <v>18</v>
      </c>
      <c r="BJ16" s="28" t="s">
        <v>4</v>
      </c>
      <c r="BK16" s="28" t="s">
        <v>4</v>
      </c>
      <c r="BL16" s="28" t="s">
        <v>4</v>
      </c>
      <c r="BM16" s="28" t="s">
        <v>18</v>
      </c>
      <c r="BN16" s="28" t="s">
        <v>18</v>
      </c>
      <c r="BO16" s="28" t="s">
        <v>4</v>
      </c>
      <c r="BP16" s="28" t="s">
        <v>4</v>
      </c>
      <c r="BQ16" s="28" t="s">
        <v>4</v>
      </c>
    </row>
    <row r="17" spans="1:69" x14ac:dyDescent="0.3">
      <c r="A17" s="93">
        <f t="shared" ref="A17" si="17">A14+1</f>
        <v>165</v>
      </c>
      <c r="B17" s="93">
        <v>6</v>
      </c>
      <c r="C17" s="26">
        <v>44726.375</v>
      </c>
      <c r="D17" s="37">
        <f t="shared" si="13"/>
        <v>0.4375</v>
      </c>
      <c r="E17" s="38">
        <f t="shared" si="12"/>
        <v>4.6458333333357587</v>
      </c>
      <c r="F17" s="6">
        <f t="shared" si="14"/>
        <v>4.6458333333357587</v>
      </c>
      <c r="G17" s="1">
        <f t="shared" si="0"/>
        <v>34</v>
      </c>
      <c r="H17" s="1">
        <f t="shared" si="1"/>
        <v>0</v>
      </c>
      <c r="I17" s="1">
        <f t="shared" si="2"/>
        <v>0</v>
      </c>
      <c r="J17" s="1">
        <f t="shared" si="3"/>
        <v>0</v>
      </c>
      <c r="K17" s="1">
        <f t="shared" si="4"/>
        <v>0</v>
      </c>
      <c r="L17" s="1">
        <f t="shared" si="5"/>
        <v>0</v>
      </c>
      <c r="M17" s="1">
        <f t="shared" si="6"/>
        <v>0</v>
      </c>
      <c r="O17" s="1">
        <f t="shared" si="7"/>
        <v>0</v>
      </c>
      <c r="P17" s="1">
        <f t="shared" si="8"/>
        <v>16</v>
      </c>
      <c r="Q17" s="1">
        <f t="shared" si="9"/>
        <v>0</v>
      </c>
      <c r="R17" s="1">
        <f t="shared" si="10"/>
        <v>0</v>
      </c>
      <c r="S17" s="1">
        <f t="shared" si="11"/>
        <v>0</v>
      </c>
      <c r="T17" s="28" t="s">
        <v>18</v>
      </c>
      <c r="U17" s="28" t="s">
        <v>18</v>
      </c>
      <c r="V17" s="28" t="s">
        <v>4</v>
      </c>
      <c r="W17" s="28" t="s">
        <v>4</v>
      </c>
      <c r="X17" s="28" t="s">
        <v>4</v>
      </c>
      <c r="Y17" s="28" t="s">
        <v>18</v>
      </c>
      <c r="Z17" s="28" t="s">
        <v>18</v>
      </c>
      <c r="AA17" s="28" t="s">
        <v>4</v>
      </c>
      <c r="AB17" s="28" t="s">
        <v>4</v>
      </c>
      <c r="AC17" s="28" t="s">
        <v>4</v>
      </c>
      <c r="AD17" s="28" t="s">
        <v>18</v>
      </c>
      <c r="AE17" s="28" t="s">
        <v>4</v>
      </c>
      <c r="AF17" s="28" t="s">
        <v>4</v>
      </c>
      <c r="AG17" s="28" t="s">
        <v>4</v>
      </c>
      <c r="AH17" s="28" t="s">
        <v>4</v>
      </c>
      <c r="AI17" s="28" t="s">
        <v>18</v>
      </c>
      <c r="AJ17" s="28" t="s">
        <v>18</v>
      </c>
      <c r="AK17" s="28" t="s">
        <v>4</v>
      </c>
      <c r="AL17" s="28" t="s">
        <v>4</v>
      </c>
      <c r="AM17" s="28" t="s">
        <v>4</v>
      </c>
      <c r="AN17" s="28" t="s">
        <v>4</v>
      </c>
      <c r="AO17" s="28" t="s">
        <v>4</v>
      </c>
      <c r="AP17" s="28" t="s">
        <v>4</v>
      </c>
      <c r="AQ17" s="28" t="s">
        <v>4</v>
      </c>
      <c r="AR17" s="28" t="s">
        <v>4</v>
      </c>
      <c r="AS17" s="28" t="s">
        <v>18</v>
      </c>
      <c r="AT17" s="28" t="s">
        <v>4</v>
      </c>
      <c r="AU17" s="28" t="s">
        <v>4</v>
      </c>
      <c r="AV17" s="28" t="s">
        <v>4</v>
      </c>
      <c r="AW17" s="28" t="s">
        <v>4</v>
      </c>
      <c r="AX17" s="28" t="s">
        <v>18</v>
      </c>
      <c r="AY17" s="28" t="s">
        <v>18</v>
      </c>
      <c r="AZ17" s="28" t="s">
        <v>4</v>
      </c>
      <c r="BA17" s="28" t="s">
        <v>4</v>
      </c>
      <c r="BB17" s="28" t="s">
        <v>4</v>
      </c>
      <c r="BC17" s="28" t="s">
        <v>18</v>
      </c>
      <c r="BD17" s="28" t="s">
        <v>18</v>
      </c>
      <c r="BE17" s="28" t="s">
        <v>4</v>
      </c>
      <c r="BF17" s="28" t="s">
        <v>4</v>
      </c>
      <c r="BG17" s="28" t="s">
        <v>4</v>
      </c>
      <c r="BH17" s="28" t="s">
        <v>18</v>
      </c>
      <c r="BI17" s="28" t="s">
        <v>18</v>
      </c>
      <c r="BJ17" s="28" t="s">
        <v>4</v>
      </c>
      <c r="BK17" s="28" t="s">
        <v>4</v>
      </c>
      <c r="BL17" s="28" t="s">
        <v>4</v>
      </c>
      <c r="BM17" s="28" t="s">
        <v>18</v>
      </c>
      <c r="BN17" s="28" t="s">
        <v>18</v>
      </c>
      <c r="BO17" s="28" t="s">
        <v>4</v>
      </c>
      <c r="BP17" s="28" t="s">
        <v>4</v>
      </c>
      <c r="BQ17" s="28" t="s">
        <v>4</v>
      </c>
    </row>
    <row r="18" spans="1:69" x14ac:dyDescent="0.3">
      <c r="A18" s="93"/>
      <c r="B18" s="93"/>
      <c r="C18" s="26">
        <v>44726.708333333336</v>
      </c>
      <c r="D18" s="37">
        <f t="shared" si="13"/>
        <v>0.33333333333575865</v>
      </c>
      <c r="E18" s="38">
        <f t="shared" si="12"/>
        <v>4.9791666666715173</v>
      </c>
      <c r="F18" s="6">
        <f t="shared" si="14"/>
        <v>4.9791666666715173</v>
      </c>
      <c r="G18" s="1">
        <f t="shared" si="0"/>
        <v>3</v>
      </c>
      <c r="H18" s="1">
        <f t="shared" si="1"/>
        <v>0</v>
      </c>
      <c r="I18" s="1">
        <f t="shared" si="2"/>
        <v>0</v>
      </c>
      <c r="J18" s="1">
        <f t="shared" si="3"/>
        <v>0</v>
      </c>
      <c r="K18" s="1">
        <f t="shared" si="4"/>
        <v>0</v>
      </c>
      <c r="L18" s="1">
        <f t="shared" si="5"/>
        <v>0</v>
      </c>
      <c r="M18" s="1">
        <f t="shared" si="6"/>
        <v>0</v>
      </c>
      <c r="O18" s="1">
        <f t="shared" si="7"/>
        <v>31</v>
      </c>
      <c r="P18" s="1">
        <f t="shared" si="8"/>
        <v>16</v>
      </c>
      <c r="Q18" s="1">
        <f t="shared" si="9"/>
        <v>0</v>
      </c>
      <c r="R18" s="1">
        <f t="shared" si="10"/>
        <v>0</v>
      </c>
      <c r="S18" s="1">
        <f t="shared" si="11"/>
        <v>0</v>
      </c>
      <c r="T18" s="28" t="s">
        <v>18</v>
      </c>
      <c r="U18" s="28" t="s">
        <v>18</v>
      </c>
      <c r="V18" s="28" t="s">
        <v>4</v>
      </c>
      <c r="W18" s="28" t="s">
        <v>4</v>
      </c>
      <c r="X18" s="28" t="s">
        <v>4</v>
      </c>
      <c r="Y18" s="28" t="s">
        <v>18</v>
      </c>
      <c r="Z18" s="28" t="s">
        <v>18</v>
      </c>
      <c r="AA18" s="28" t="s">
        <v>17</v>
      </c>
      <c r="AB18" s="28" t="s">
        <v>17</v>
      </c>
      <c r="AC18" s="28" t="s">
        <v>17</v>
      </c>
      <c r="AD18" s="28" t="s">
        <v>18</v>
      </c>
      <c r="AE18" s="28" t="s">
        <v>17</v>
      </c>
      <c r="AF18" s="28" t="s">
        <v>17</v>
      </c>
      <c r="AG18" s="28" t="s">
        <v>17</v>
      </c>
      <c r="AH18" s="28" t="s">
        <v>17</v>
      </c>
      <c r="AI18" s="28" t="s">
        <v>18</v>
      </c>
      <c r="AJ18" s="28" t="s">
        <v>18</v>
      </c>
      <c r="AK18" s="28" t="s">
        <v>17</v>
      </c>
      <c r="AL18" s="28" t="s">
        <v>17</v>
      </c>
      <c r="AM18" s="28" t="s">
        <v>17</v>
      </c>
      <c r="AN18" s="28" t="s">
        <v>17</v>
      </c>
      <c r="AO18" s="28" t="s">
        <v>17</v>
      </c>
      <c r="AP18" s="28" t="s">
        <v>17</v>
      </c>
      <c r="AQ18" s="28" t="s">
        <v>17</v>
      </c>
      <c r="AR18" s="28" t="s">
        <v>17</v>
      </c>
      <c r="AS18" s="28" t="s">
        <v>18</v>
      </c>
      <c r="AT18" s="28" t="s">
        <v>17</v>
      </c>
      <c r="AU18" s="28" t="s">
        <v>17</v>
      </c>
      <c r="AV18" s="28" t="s">
        <v>17</v>
      </c>
      <c r="AW18" s="28" t="s">
        <v>17</v>
      </c>
      <c r="AX18" s="28" t="s">
        <v>18</v>
      </c>
      <c r="AY18" s="28" t="s">
        <v>18</v>
      </c>
      <c r="AZ18" s="28" t="s">
        <v>17</v>
      </c>
      <c r="BA18" s="28" t="s">
        <v>17</v>
      </c>
      <c r="BB18" s="28" t="s">
        <v>17</v>
      </c>
      <c r="BC18" s="28" t="s">
        <v>18</v>
      </c>
      <c r="BD18" s="28" t="s">
        <v>18</v>
      </c>
      <c r="BE18" s="28" t="s">
        <v>17</v>
      </c>
      <c r="BF18" s="28" t="s">
        <v>17</v>
      </c>
      <c r="BG18" s="28" t="s">
        <v>17</v>
      </c>
      <c r="BH18" s="28" t="s">
        <v>18</v>
      </c>
      <c r="BI18" s="28" t="s">
        <v>18</v>
      </c>
      <c r="BJ18" s="28" t="s">
        <v>17</v>
      </c>
      <c r="BK18" s="28" t="s">
        <v>17</v>
      </c>
      <c r="BL18" s="28" t="s">
        <v>17</v>
      </c>
      <c r="BM18" s="28" t="s">
        <v>18</v>
      </c>
      <c r="BN18" s="28" t="s">
        <v>18</v>
      </c>
      <c r="BO18" s="28" t="s">
        <v>17</v>
      </c>
      <c r="BP18" s="28" t="s">
        <v>17</v>
      </c>
      <c r="BQ18" s="28" t="s">
        <v>17</v>
      </c>
    </row>
    <row r="19" spans="1:69" x14ac:dyDescent="0.3">
      <c r="A19" s="93"/>
      <c r="B19" s="93"/>
      <c r="C19" s="26">
        <v>44726.916666666664</v>
      </c>
      <c r="D19" s="37">
        <f t="shared" si="13"/>
        <v>0.20833333332848269</v>
      </c>
      <c r="E19" s="38">
        <f t="shared" si="12"/>
        <v>5.1875</v>
      </c>
      <c r="F19" s="6">
        <f t="shared" si="14"/>
        <v>5.1875</v>
      </c>
      <c r="G19" s="1">
        <f t="shared" si="0"/>
        <v>3</v>
      </c>
      <c r="H19" s="1">
        <f t="shared" si="1"/>
        <v>0</v>
      </c>
      <c r="I19" s="1">
        <f t="shared" si="2"/>
        <v>0</v>
      </c>
      <c r="J19" s="1">
        <f t="shared" si="3"/>
        <v>0</v>
      </c>
      <c r="K19" s="1">
        <f t="shared" si="4"/>
        <v>0</v>
      </c>
      <c r="L19" s="1">
        <f t="shared" si="5"/>
        <v>0</v>
      </c>
      <c r="M19" s="1">
        <f t="shared" si="6"/>
        <v>0</v>
      </c>
      <c r="O19" s="1">
        <f t="shared" si="7"/>
        <v>31</v>
      </c>
      <c r="P19" s="1">
        <f t="shared" si="8"/>
        <v>16</v>
      </c>
      <c r="Q19" s="1">
        <f t="shared" si="9"/>
        <v>0</v>
      </c>
      <c r="R19" s="1">
        <f t="shared" si="10"/>
        <v>0</v>
      </c>
      <c r="S19" s="1">
        <f t="shared" si="11"/>
        <v>0</v>
      </c>
      <c r="T19" s="28" t="s">
        <v>18</v>
      </c>
      <c r="U19" s="28" t="s">
        <v>18</v>
      </c>
      <c r="V19" s="28" t="s">
        <v>4</v>
      </c>
      <c r="W19" s="28" t="s">
        <v>4</v>
      </c>
      <c r="X19" s="28" t="s">
        <v>4</v>
      </c>
      <c r="Y19" s="28" t="s">
        <v>18</v>
      </c>
      <c r="Z19" s="28" t="s">
        <v>18</v>
      </c>
      <c r="AA19" s="28" t="s">
        <v>17</v>
      </c>
      <c r="AB19" s="28" t="s">
        <v>17</v>
      </c>
      <c r="AC19" s="28" t="s">
        <v>17</v>
      </c>
      <c r="AD19" s="28" t="s">
        <v>18</v>
      </c>
      <c r="AE19" s="28" t="s">
        <v>17</v>
      </c>
      <c r="AF19" s="28" t="s">
        <v>17</v>
      </c>
      <c r="AG19" s="28" t="s">
        <v>17</v>
      </c>
      <c r="AH19" s="28" t="s">
        <v>17</v>
      </c>
      <c r="AI19" s="28" t="s">
        <v>18</v>
      </c>
      <c r="AJ19" s="28" t="s">
        <v>18</v>
      </c>
      <c r="AK19" s="28" t="s">
        <v>17</v>
      </c>
      <c r="AL19" s="28" t="s">
        <v>17</v>
      </c>
      <c r="AM19" s="28" t="s">
        <v>17</v>
      </c>
      <c r="AN19" s="28" t="s">
        <v>17</v>
      </c>
      <c r="AO19" s="28" t="s">
        <v>17</v>
      </c>
      <c r="AP19" s="28" t="s">
        <v>17</v>
      </c>
      <c r="AQ19" s="28" t="s">
        <v>17</v>
      </c>
      <c r="AR19" s="28" t="s">
        <v>17</v>
      </c>
      <c r="AS19" s="28" t="s">
        <v>18</v>
      </c>
      <c r="AT19" s="28" t="s">
        <v>17</v>
      </c>
      <c r="AU19" s="28" t="s">
        <v>17</v>
      </c>
      <c r="AV19" s="28" t="s">
        <v>17</v>
      </c>
      <c r="AW19" s="28" t="s">
        <v>17</v>
      </c>
      <c r="AX19" s="28" t="s">
        <v>18</v>
      </c>
      <c r="AY19" s="28" t="s">
        <v>18</v>
      </c>
      <c r="AZ19" s="28" t="s">
        <v>17</v>
      </c>
      <c r="BA19" s="28" t="s">
        <v>17</v>
      </c>
      <c r="BB19" s="28" t="s">
        <v>17</v>
      </c>
      <c r="BC19" s="28" t="s">
        <v>18</v>
      </c>
      <c r="BD19" s="28" t="s">
        <v>18</v>
      </c>
      <c r="BE19" s="28" t="s">
        <v>17</v>
      </c>
      <c r="BF19" s="28" t="s">
        <v>17</v>
      </c>
      <c r="BG19" s="28" t="s">
        <v>17</v>
      </c>
      <c r="BH19" s="28" t="s">
        <v>18</v>
      </c>
      <c r="BI19" s="28" t="s">
        <v>18</v>
      </c>
      <c r="BJ19" s="28" t="s">
        <v>17</v>
      </c>
      <c r="BK19" s="28" t="s">
        <v>17</v>
      </c>
      <c r="BL19" s="28" t="s">
        <v>17</v>
      </c>
      <c r="BM19" s="28" t="s">
        <v>18</v>
      </c>
      <c r="BN19" s="28" t="s">
        <v>18</v>
      </c>
      <c r="BO19" s="28" t="s">
        <v>17</v>
      </c>
      <c r="BP19" s="28" t="s">
        <v>17</v>
      </c>
      <c r="BQ19" s="28" t="s">
        <v>17</v>
      </c>
    </row>
    <row r="20" spans="1:69" x14ac:dyDescent="0.3">
      <c r="A20" s="93">
        <f t="shared" ref="A20" si="18">A17+1</f>
        <v>166</v>
      </c>
      <c r="B20" s="93">
        <v>7</v>
      </c>
      <c r="C20" s="26">
        <v>44727.395833333336</v>
      </c>
      <c r="D20" s="37">
        <f t="shared" si="13"/>
        <v>0.47916666667151731</v>
      </c>
      <c r="E20" s="38">
        <f t="shared" si="12"/>
        <v>5.6666666666715173</v>
      </c>
      <c r="F20" s="6">
        <f t="shared" si="14"/>
        <v>5.6666666666715173</v>
      </c>
      <c r="G20" s="1">
        <f t="shared" si="0"/>
        <v>3</v>
      </c>
      <c r="H20" s="1">
        <f t="shared" si="1"/>
        <v>0</v>
      </c>
      <c r="I20" s="1">
        <f t="shared" si="2"/>
        <v>0</v>
      </c>
      <c r="J20" s="1">
        <f t="shared" si="3"/>
        <v>0</v>
      </c>
      <c r="K20" s="1">
        <f t="shared" si="4"/>
        <v>0</v>
      </c>
      <c r="L20" s="1">
        <f t="shared" si="5"/>
        <v>0</v>
      </c>
      <c r="M20" s="1">
        <f t="shared" si="6"/>
        <v>0</v>
      </c>
      <c r="O20" s="1">
        <f t="shared" si="7"/>
        <v>31</v>
      </c>
      <c r="P20" s="1">
        <f t="shared" si="8"/>
        <v>16</v>
      </c>
      <c r="Q20" s="1">
        <f t="shared" si="9"/>
        <v>0</v>
      </c>
      <c r="R20" s="1">
        <f t="shared" si="10"/>
        <v>0</v>
      </c>
      <c r="S20" s="1">
        <f t="shared" si="11"/>
        <v>0</v>
      </c>
      <c r="T20" s="28" t="s">
        <v>18</v>
      </c>
      <c r="U20" s="28" t="s">
        <v>18</v>
      </c>
      <c r="V20" s="28" t="s">
        <v>4</v>
      </c>
      <c r="W20" s="28" t="s">
        <v>4</v>
      </c>
      <c r="X20" s="28" t="s">
        <v>4</v>
      </c>
      <c r="Y20" s="28" t="s">
        <v>18</v>
      </c>
      <c r="Z20" s="28" t="s">
        <v>18</v>
      </c>
      <c r="AA20" s="28" t="s">
        <v>17</v>
      </c>
      <c r="AB20" s="28" t="s">
        <v>17</v>
      </c>
      <c r="AC20" s="28" t="s">
        <v>17</v>
      </c>
      <c r="AD20" s="28" t="s">
        <v>18</v>
      </c>
      <c r="AE20" s="28" t="s">
        <v>17</v>
      </c>
      <c r="AF20" s="28" t="s">
        <v>17</v>
      </c>
      <c r="AG20" s="28" t="s">
        <v>17</v>
      </c>
      <c r="AH20" s="28" t="s">
        <v>17</v>
      </c>
      <c r="AI20" s="28" t="s">
        <v>18</v>
      </c>
      <c r="AJ20" s="28" t="s">
        <v>18</v>
      </c>
      <c r="AK20" s="28" t="s">
        <v>17</v>
      </c>
      <c r="AL20" s="28" t="s">
        <v>17</v>
      </c>
      <c r="AM20" s="28" t="s">
        <v>17</v>
      </c>
      <c r="AN20" s="28" t="s">
        <v>17</v>
      </c>
      <c r="AO20" s="28" t="s">
        <v>17</v>
      </c>
      <c r="AP20" s="28" t="s">
        <v>17</v>
      </c>
      <c r="AQ20" s="28" t="s">
        <v>17</v>
      </c>
      <c r="AR20" s="28" t="s">
        <v>17</v>
      </c>
      <c r="AS20" s="28" t="s">
        <v>18</v>
      </c>
      <c r="AT20" s="28" t="s">
        <v>17</v>
      </c>
      <c r="AU20" s="28" t="s">
        <v>17</v>
      </c>
      <c r="AV20" s="28" t="s">
        <v>17</v>
      </c>
      <c r="AW20" s="28" t="s">
        <v>17</v>
      </c>
      <c r="AX20" s="28" t="s">
        <v>18</v>
      </c>
      <c r="AY20" s="28" t="s">
        <v>18</v>
      </c>
      <c r="AZ20" s="28" t="s">
        <v>17</v>
      </c>
      <c r="BA20" s="28" t="s">
        <v>17</v>
      </c>
      <c r="BB20" s="28" t="s">
        <v>17</v>
      </c>
      <c r="BC20" s="28" t="s">
        <v>18</v>
      </c>
      <c r="BD20" s="28" t="s">
        <v>18</v>
      </c>
      <c r="BE20" s="28" t="s">
        <v>17</v>
      </c>
      <c r="BF20" s="28" t="s">
        <v>17</v>
      </c>
      <c r="BG20" s="28" t="s">
        <v>17</v>
      </c>
      <c r="BH20" s="28" t="s">
        <v>18</v>
      </c>
      <c r="BI20" s="28" t="s">
        <v>18</v>
      </c>
      <c r="BJ20" s="28" t="s">
        <v>17</v>
      </c>
      <c r="BK20" s="28" t="s">
        <v>17</v>
      </c>
      <c r="BL20" s="28" t="s">
        <v>17</v>
      </c>
      <c r="BM20" s="28" t="s">
        <v>18</v>
      </c>
      <c r="BN20" s="28" t="s">
        <v>18</v>
      </c>
      <c r="BO20" s="28" t="s">
        <v>17</v>
      </c>
      <c r="BP20" s="28" t="s">
        <v>17</v>
      </c>
      <c r="BQ20" s="28" t="s">
        <v>17</v>
      </c>
    </row>
    <row r="21" spans="1:69" x14ac:dyDescent="0.3">
      <c r="A21" s="93"/>
      <c r="B21" s="93"/>
      <c r="C21" s="26">
        <v>44727.708333333336</v>
      </c>
      <c r="D21" s="37">
        <f t="shared" si="13"/>
        <v>0.3125</v>
      </c>
      <c r="E21" s="38">
        <f t="shared" si="12"/>
        <v>5.9791666666715173</v>
      </c>
      <c r="F21" s="6">
        <f t="shared" si="14"/>
        <v>5.9791666666715173</v>
      </c>
      <c r="G21" s="1">
        <f t="shared" si="0"/>
        <v>0</v>
      </c>
      <c r="H21" s="1">
        <f t="shared" si="1"/>
        <v>0</v>
      </c>
      <c r="I21" s="1">
        <f t="shared" si="2"/>
        <v>0</v>
      </c>
      <c r="J21" s="1">
        <f t="shared" si="3"/>
        <v>0</v>
      </c>
      <c r="K21" s="1">
        <f t="shared" si="4"/>
        <v>0</v>
      </c>
      <c r="L21" s="1">
        <f>COUNTIF($T21:$BQ21, "AM")</f>
        <v>0</v>
      </c>
      <c r="M21" s="1">
        <f t="shared" si="6"/>
        <v>0</v>
      </c>
      <c r="O21" s="1">
        <f t="shared" si="7"/>
        <v>34</v>
      </c>
      <c r="P21" s="1">
        <f t="shared" si="8"/>
        <v>16</v>
      </c>
      <c r="Q21" s="1">
        <f t="shared" si="9"/>
        <v>0</v>
      </c>
      <c r="R21" s="1">
        <f t="shared" si="10"/>
        <v>0</v>
      </c>
      <c r="S21" s="1">
        <f t="shared" si="11"/>
        <v>0</v>
      </c>
      <c r="T21" s="28" t="s">
        <v>18</v>
      </c>
      <c r="U21" s="28" t="s">
        <v>18</v>
      </c>
      <c r="V21" s="28" t="s">
        <v>17</v>
      </c>
      <c r="W21" s="28" t="s">
        <v>17</v>
      </c>
      <c r="X21" s="28" t="s">
        <v>17</v>
      </c>
      <c r="Y21" s="28" t="s">
        <v>18</v>
      </c>
      <c r="Z21" s="28" t="s">
        <v>18</v>
      </c>
      <c r="AA21" s="28" t="s">
        <v>17</v>
      </c>
      <c r="AB21" s="28" t="s">
        <v>17</v>
      </c>
      <c r="AC21" s="28" t="s">
        <v>17</v>
      </c>
      <c r="AD21" s="28" t="s">
        <v>18</v>
      </c>
      <c r="AE21" s="28" t="s">
        <v>17</v>
      </c>
      <c r="AF21" s="28" t="s">
        <v>17</v>
      </c>
      <c r="AG21" s="28" t="s">
        <v>17</v>
      </c>
      <c r="AH21" s="28" t="s">
        <v>17</v>
      </c>
      <c r="AI21" s="28" t="s">
        <v>18</v>
      </c>
      <c r="AJ21" s="28" t="s">
        <v>18</v>
      </c>
      <c r="AK21" s="28" t="s">
        <v>17</v>
      </c>
      <c r="AL21" s="28" t="s">
        <v>17</v>
      </c>
      <c r="AM21" s="28" t="s">
        <v>17</v>
      </c>
      <c r="AN21" s="28" t="s">
        <v>17</v>
      </c>
      <c r="AO21" s="28" t="s">
        <v>17</v>
      </c>
      <c r="AP21" s="28" t="s">
        <v>17</v>
      </c>
      <c r="AQ21" s="28" t="s">
        <v>17</v>
      </c>
      <c r="AR21" s="28" t="s">
        <v>17</v>
      </c>
      <c r="AS21" s="28" t="s">
        <v>18</v>
      </c>
      <c r="AT21" s="28" t="s">
        <v>17</v>
      </c>
      <c r="AU21" s="28" t="s">
        <v>17</v>
      </c>
      <c r="AV21" s="28" t="s">
        <v>17</v>
      </c>
      <c r="AW21" s="28" t="s">
        <v>17</v>
      </c>
      <c r="AX21" s="28" t="s">
        <v>18</v>
      </c>
      <c r="AY21" s="28" t="s">
        <v>18</v>
      </c>
      <c r="AZ21" s="28" t="s">
        <v>17</v>
      </c>
      <c r="BA21" s="28" t="s">
        <v>17</v>
      </c>
      <c r="BB21" s="28" t="s">
        <v>17</v>
      </c>
      <c r="BC21" s="28" t="s">
        <v>18</v>
      </c>
      <c r="BD21" s="28" t="s">
        <v>18</v>
      </c>
      <c r="BE21" s="28" t="s">
        <v>17</v>
      </c>
      <c r="BF21" s="28" t="s">
        <v>17</v>
      </c>
      <c r="BG21" s="28" t="s">
        <v>17</v>
      </c>
      <c r="BH21" s="28" t="s">
        <v>18</v>
      </c>
      <c r="BI21" s="28" t="s">
        <v>18</v>
      </c>
      <c r="BJ21" s="28" t="s">
        <v>17</v>
      </c>
      <c r="BK21" s="28" t="s">
        <v>17</v>
      </c>
      <c r="BL21" s="28" t="s">
        <v>17</v>
      </c>
      <c r="BM21" s="28" t="s">
        <v>18</v>
      </c>
      <c r="BN21" s="28" t="s">
        <v>18</v>
      </c>
      <c r="BO21" s="28" t="s">
        <v>17</v>
      </c>
      <c r="BP21" s="28" t="s">
        <v>17</v>
      </c>
      <c r="BQ21" s="28" t="s">
        <v>17</v>
      </c>
    </row>
    <row r="22" spans="1:69" x14ac:dyDescent="0.3">
      <c r="A22" s="93"/>
      <c r="B22" s="93"/>
      <c r="C22" s="26">
        <v>44727.958333333336</v>
      </c>
      <c r="D22" s="37">
        <f t="shared" si="13"/>
        <v>0.25</v>
      </c>
      <c r="E22" s="38">
        <f t="shared" si="12"/>
        <v>6.2291666666715173</v>
      </c>
      <c r="F22" s="6">
        <f t="shared" si="14"/>
        <v>6.2291666666715173</v>
      </c>
      <c r="G22" s="1">
        <f t="shared" si="0"/>
        <v>0</v>
      </c>
      <c r="H22" s="1">
        <f t="shared" si="1"/>
        <v>0</v>
      </c>
      <c r="I22" s="1">
        <f t="shared" si="2"/>
        <v>0</v>
      </c>
      <c r="J22" s="1">
        <f t="shared" si="3"/>
        <v>0</v>
      </c>
      <c r="K22" s="1">
        <f t="shared" si="4"/>
        <v>0</v>
      </c>
      <c r="L22" s="1">
        <f t="shared" si="5"/>
        <v>0</v>
      </c>
      <c r="M22" s="1">
        <f t="shared" si="6"/>
        <v>0</v>
      </c>
      <c r="O22" s="1">
        <f t="shared" si="7"/>
        <v>34</v>
      </c>
      <c r="P22" s="1">
        <f t="shared" si="8"/>
        <v>16</v>
      </c>
      <c r="Q22" s="1">
        <f t="shared" si="9"/>
        <v>0</v>
      </c>
      <c r="R22" s="1">
        <f t="shared" si="10"/>
        <v>0</v>
      </c>
      <c r="S22" s="1">
        <f t="shared" si="11"/>
        <v>0</v>
      </c>
      <c r="T22" s="28" t="s">
        <v>18</v>
      </c>
      <c r="U22" s="28" t="s">
        <v>18</v>
      </c>
      <c r="V22" s="28" t="s">
        <v>17</v>
      </c>
      <c r="W22" s="28" t="s">
        <v>17</v>
      </c>
      <c r="X22" s="28" t="s">
        <v>17</v>
      </c>
      <c r="Y22" s="28" t="s">
        <v>18</v>
      </c>
      <c r="Z22" s="28" t="s">
        <v>18</v>
      </c>
      <c r="AA22" s="28" t="s">
        <v>17</v>
      </c>
      <c r="AB22" s="28" t="s">
        <v>17</v>
      </c>
      <c r="AC22" s="28" t="s">
        <v>17</v>
      </c>
      <c r="AD22" s="28" t="s">
        <v>18</v>
      </c>
      <c r="AE22" s="28" t="s">
        <v>17</v>
      </c>
      <c r="AF22" s="28" t="s">
        <v>17</v>
      </c>
      <c r="AG22" s="28" t="s">
        <v>17</v>
      </c>
      <c r="AH22" s="28" t="s">
        <v>17</v>
      </c>
      <c r="AI22" s="28" t="s">
        <v>18</v>
      </c>
      <c r="AJ22" s="28" t="s">
        <v>18</v>
      </c>
      <c r="AK22" s="28" t="s">
        <v>17</v>
      </c>
      <c r="AL22" s="28" t="s">
        <v>17</v>
      </c>
      <c r="AM22" s="28" t="s">
        <v>17</v>
      </c>
      <c r="AN22" s="28" t="s">
        <v>17</v>
      </c>
      <c r="AO22" s="28" t="s">
        <v>17</v>
      </c>
      <c r="AP22" s="28" t="s">
        <v>17</v>
      </c>
      <c r="AQ22" s="28" t="s">
        <v>17</v>
      </c>
      <c r="AR22" s="28" t="s">
        <v>17</v>
      </c>
      <c r="AS22" s="28" t="s">
        <v>18</v>
      </c>
      <c r="AT22" s="28" t="s">
        <v>17</v>
      </c>
      <c r="AU22" s="28" t="s">
        <v>17</v>
      </c>
      <c r="AV22" s="28" t="s">
        <v>17</v>
      </c>
      <c r="AW22" s="28" t="s">
        <v>17</v>
      </c>
      <c r="AX22" s="28" t="s">
        <v>18</v>
      </c>
      <c r="AY22" s="28" t="s">
        <v>18</v>
      </c>
      <c r="AZ22" s="28" t="s">
        <v>17</v>
      </c>
      <c r="BA22" s="28" t="s">
        <v>17</v>
      </c>
      <c r="BB22" s="28" t="s">
        <v>17</v>
      </c>
      <c r="BC22" s="28" t="s">
        <v>18</v>
      </c>
      <c r="BD22" s="28" t="s">
        <v>18</v>
      </c>
      <c r="BE22" s="28" t="s">
        <v>17</v>
      </c>
      <c r="BF22" s="28" t="s">
        <v>17</v>
      </c>
      <c r="BG22" s="28" t="s">
        <v>17</v>
      </c>
      <c r="BH22" s="28" t="s">
        <v>18</v>
      </c>
      <c r="BI22" s="28" t="s">
        <v>18</v>
      </c>
      <c r="BJ22" s="28" t="s">
        <v>17</v>
      </c>
      <c r="BK22" s="28" t="s">
        <v>17</v>
      </c>
      <c r="BL22" s="28" t="s">
        <v>17</v>
      </c>
      <c r="BM22" s="28" t="s">
        <v>18</v>
      </c>
      <c r="BN22" s="28" t="s">
        <v>18</v>
      </c>
      <c r="BO22" s="28" t="s">
        <v>17</v>
      </c>
      <c r="BP22" s="28" t="s">
        <v>17</v>
      </c>
      <c r="BQ22" s="28" t="s">
        <v>17</v>
      </c>
    </row>
    <row r="23" spans="1:69" x14ac:dyDescent="0.3">
      <c r="A23" s="93">
        <f t="shared" ref="A23" si="19">A20+1</f>
        <v>167</v>
      </c>
      <c r="B23" s="93">
        <v>8</v>
      </c>
      <c r="C23" s="26">
        <v>44728.395833333336</v>
      </c>
      <c r="D23" s="37">
        <f t="shared" si="13"/>
        <v>0.4375</v>
      </c>
      <c r="E23" s="38">
        <f t="shared" si="12"/>
        <v>6.6666666666715173</v>
      </c>
      <c r="F23" s="6">
        <f t="shared" si="14"/>
        <v>6.6666666666715173</v>
      </c>
      <c r="G23" s="1">
        <f t="shared" si="0"/>
        <v>0</v>
      </c>
      <c r="H23" s="1">
        <f t="shared" si="1"/>
        <v>0</v>
      </c>
      <c r="I23" s="1">
        <f t="shared" si="2"/>
        <v>0</v>
      </c>
      <c r="J23" s="1">
        <f t="shared" si="3"/>
        <v>0</v>
      </c>
      <c r="K23" s="1">
        <f t="shared" si="4"/>
        <v>0</v>
      </c>
      <c r="L23" s="1">
        <f t="shared" si="5"/>
        <v>0</v>
      </c>
      <c r="M23" s="1">
        <f t="shared" si="6"/>
        <v>0</v>
      </c>
      <c r="O23" s="1">
        <f t="shared" si="7"/>
        <v>34</v>
      </c>
      <c r="P23" s="1">
        <f t="shared" si="8"/>
        <v>16</v>
      </c>
      <c r="Q23" s="1">
        <f t="shared" si="9"/>
        <v>0</v>
      </c>
      <c r="R23" s="1">
        <f t="shared" si="10"/>
        <v>0</v>
      </c>
      <c r="S23" s="1">
        <f t="shared" si="11"/>
        <v>0</v>
      </c>
      <c r="T23" s="28" t="s">
        <v>18</v>
      </c>
      <c r="U23" s="28" t="s">
        <v>18</v>
      </c>
      <c r="V23" s="28" t="s">
        <v>17</v>
      </c>
      <c r="W23" s="28" t="s">
        <v>17</v>
      </c>
      <c r="X23" s="28" t="s">
        <v>17</v>
      </c>
      <c r="Y23" s="28" t="s">
        <v>18</v>
      </c>
      <c r="Z23" s="28" t="s">
        <v>18</v>
      </c>
      <c r="AA23" s="28" t="s">
        <v>17</v>
      </c>
      <c r="AB23" s="28" t="s">
        <v>17</v>
      </c>
      <c r="AC23" s="28" t="s">
        <v>17</v>
      </c>
      <c r="AD23" s="28" t="s">
        <v>18</v>
      </c>
      <c r="AE23" s="28" t="s">
        <v>17</v>
      </c>
      <c r="AF23" s="28" t="s">
        <v>17</v>
      </c>
      <c r="AG23" s="28" t="s">
        <v>17</v>
      </c>
      <c r="AH23" s="28" t="s">
        <v>17</v>
      </c>
      <c r="AI23" s="28" t="s">
        <v>18</v>
      </c>
      <c r="AJ23" s="28" t="s">
        <v>18</v>
      </c>
      <c r="AK23" s="28" t="s">
        <v>17</v>
      </c>
      <c r="AL23" s="28" t="s">
        <v>17</v>
      </c>
      <c r="AM23" s="28" t="s">
        <v>17</v>
      </c>
      <c r="AN23" s="28" t="s">
        <v>17</v>
      </c>
      <c r="AO23" s="28" t="s">
        <v>17</v>
      </c>
      <c r="AP23" s="28" t="s">
        <v>17</v>
      </c>
      <c r="AQ23" s="28" t="s">
        <v>17</v>
      </c>
      <c r="AR23" s="28" t="s">
        <v>17</v>
      </c>
      <c r="AS23" s="28" t="s">
        <v>18</v>
      </c>
      <c r="AT23" s="28" t="s">
        <v>17</v>
      </c>
      <c r="AU23" s="28" t="s">
        <v>17</v>
      </c>
      <c r="AV23" s="28" t="s">
        <v>17</v>
      </c>
      <c r="AW23" s="28" t="s">
        <v>17</v>
      </c>
      <c r="AX23" s="28" t="s">
        <v>18</v>
      </c>
      <c r="AY23" s="28" t="s">
        <v>18</v>
      </c>
      <c r="AZ23" s="28" t="s">
        <v>17</v>
      </c>
      <c r="BA23" s="28" t="s">
        <v>17</v>
      </c>
      <c r="BB23" s="28" t="s">
        <v>17</v>
      </c>
      <c r="BC23" s="28" t="s">
        <v>18</v>
      </c>
      <c r="BD23" s="28" t="s">
        <v>18</v>
      </c>
      <c r="BE23" s="28" t="s">
        <v>17</v>
      </c>
      <c r="BF23" s="28" t="s">
        <v>17</v>
      </c>
      <c r="BG23" s="28" t="s">
        <v>17</v>
      </c>
      <c r="BH23" s="28" t="s">
        <v>18</v>
      </c>
      <c r="BI23" s="28" t="s">
        <v>18</v>
      </c>
      <c r="BJ23" s="28" t="s">
        <v>17</v>
      </c>
      <c r="BK23" s="28" t="s">
        <v>17</v>
      </c>
      <c r="BL23" s="28" t="s">
        <v>17</v>
      </c>
      <c r="BM23" s="28" t="s">
        <v>18</v>
      </c>
      <c r="BN23" s="28" t="s">
        <v>18</v>
      </c>
      <c r="BO23" s="28" t="s">
        <v>17</v>
      </c>
      <c r="BP23" s="28" t="s">
        <v>17</v>
      </c>
      <c r="BQ23" s="28" t="s">
        <v>17</v>
      </c>
    </row>
    <row r="24" spans="1:69" x14ac:dyDescent="0.3">
      <c r="A24" s="93"/>
      <c r="B24" s="93"/>
      <c r="C24" s="26">
        <v>44728.75</v>
      </c>
      <c r="D24" s="37">
        <f t="shared" si="13"/>
        <v>0.35416666666424135</v>
      </c>
      <c r="E24" s="38">
        <f t="shared" si="12"/>
        <v>7.0208333333357587</v>
      </c>
      <c r="F24" s="6">
        <f t="shared" si="14"/>
        <v>7.0208333333357587</v>
      </c>
      <c r="G24" s="1">
        <f t="shared" si="0"/>
        <v>0</v>
      </c>
      <c r="H24" s="1">
        <f t="shared" si="1"/>
        <v>0</v>
      </c>
      <c r="I24" s="1">
        <f t="shared" si="2"/>
        <v>0</v>
      </c>
      <c r="J24" s="1">
        <f t="shared" si="3"/>
        <v>0</v>
      </c>
      <c r="K24" s="1">
        <f t="shared" si="4"/>
        <v>0</v>
      </c>
      <c r="L24" s="1">
        <f t="shared" si="5"/>
        <v>0</v>
      </c>
      <c r="M24" s="1">
        <f t="shared" si="6"/>
        <v>0</v>
      </c>
      <c r="O24" s="1">
        <f t="shared" si="7"/>
        <v>34</v>
      </c>
      <c r="P24" s="1">
        <f t="shared" si="8"/>
        <v>16</v>
      </c>
      <c r="Q24" s="1">
        <f t="shared" si="9"/>
        <v>0</v>
      </c>
      <c r="R24" s="1">
        <f t="shared" si="10"/>
        <v>0</v>
      </c>
      <c r="S24" s="1">
        <f t="shared" si="11"/>
        <v>0</v>
      </c>
      <c r="T24" s="28" t="s">
        <v>18</v>
      </c>
      <c r="U24" s="28" t="s">
        <v>18</v>
      </c>
      <c r="V24" s="28" t="s">
        <v>17</v>
      </c>
      <c r="W24" s="28" t="s">
        <v>17</v>
      </c>
      <c r="X24" s="28" t="s">
        <v>17</v>
      </c>
      <c r="Y24" s="28" t="s">
        <v>18</v>
      </c>
      <c r="Z24" s="28" t="s">
        <v>18</v>
      </c>
      <c r="AA24" s="28" t="s">
        <v>17</v>
      </c>
      <c r="AB24" s="28" t="s">
        <v>17</v>
      </c>
      <c r="AC24" s="28" t="s">
        <v>17</v>
      </c>
      <c r="AD24" s="28" t="s">
        <v>18</v>
      </c>
      <c r="AE24" s="28" t="s">
        <v>17</v>
      </c>
      <c r="AF24" s="28" t="s">
        <v>17</v>
      </c>
      <c r="AG24" s="28" t="s">
        <v>17</v>
      </c>
      <c r="AH24" s="28" t="s">
        <v>17</v>
      </c>
      <c r="AI24" s="28" t="s">
        <v>18</v>
      </c>
      <c r="AJ24" s="28" t="s">
        <v>18</v>
      </c>
      <c r="AK24" s="28" t="s">
        <v>17</v>
      </c>
      <c r="AL24" s="28" t="s">
        <v>17</v>
      </c>
      <c r="AM24" s="28" t="s">
        <v>17</v>
      </c>
      <c r="AN24" s="28" t="s">
        <v>17</v>
      </c>
      <c r="AO24" s="28" t="s">
        <v>17</v>
      </c>
      <c r="AP24" s="28" t="s">
        <v>17</v>
      </c>
      <c r="AQ24" s="28" t="s">
        <v>17</v>
      </c>
      <c r="AR24" s="28" t="s">
        <v>17</v>
      </c>
      <c r="AS24" s="28" t="s">
        <v>18</v>
      </c>
      <c r="AT24" s="28" t="s">
        <v>17</v>
      </c>
      <c r="AU24" s="28" t="s">
        <v>17</v>
      </c>
      <c r="AV24" s="28" t="s">
        <v>17</v>
      </c>
      <c r="AW24" s="28" t="s">
        <v>17</v>
      </c>
      <c r="AX24" s="28" t="s">
        <v>18</v>
      </c>
      <c r="AY24" s="28" t="s">
        <v>18</v>
      </c>
      <c r="AZ24" s="28" t="s">
        <v>17</v>
      </c>
      <c r="BA24" s="28" t="s">
        <v>17</v>
      </c>
      <c r="BB24" s="28" t="s">
        <v>17</v>
      </c>
      <c r="BC24" s="28" t="s">
        <v>18</v>
      </c>
      <c r="BD24" s="28" t="s">
        <v>18</v>
      </c>
      <c r="BE24" s="28" t="s">
        <v>17</v>
      </c>
      <c r="BF24" s="28" t="s">
        <v>17</v>
      </c>
      <c r="BG24" s="28" t="s">
        <v>17</v>
      </c>
      <c r="BH24" s="28" t="s">
        <v>18</v>
      </c>
      <c r="BI24" s="28" t="s">
        <v>18</v>
      </c>
      <c r="BJ24" s="28" t="s">
        <v>17</v>
      </c>
      <c r="BK24" s="28" t="s">
        <v>17</v>
      </c>
      <c r="BL24" s="28" t="s">
        <v>17</v>
      </c>
      <c r="BM24" s="28" t="s">
        <v>18</v>
      </c>
      <c r="BN24" s="28" t="s">
        <v>18</v>
      </c>
      <c r="BO24" s="28" t="s">
        <v>17</v>
      </c>
      <c r="BP24" s="28" t="s">
        <v>17</v>
      </c>
      <c r="BQ24" s="28" t="s">
        <v>17</v>
      </c>
    </row>
    <row r="25" spans="1:69" x14ac:dyDescent="0.3">
      <c r="A25" s="93"/>
      <c r="B25" s="93"/>
      <c r="C25" s="26">
        <v>44728.958333333336</v>
      </c>
      <c r="D25" s="37">
        <f t="shared" si="13"/>
        <v>0.20833333333575865</v>
      </c>
      <c r="E25" s="38">
        <f t="shared" si="12"/>
        <v>7.2291666666715173</v>
      </c>
      <c r="F25" s="6">
        <f t="shared" si="14"/>
        <v>7.2291666666715173</v>
      </c>
      <c r="G25" s="1">
        <f t="shared" si="0"/>
        <v>0</v>
      </c>
      <c r="H25" s="1">
        <f t="shared" si="1"/>
        <v>0</v>
      </c>
      <c r="I25" s="1">
        <f t="shared" si="2"/>
        <v>0</v>
      </c>
      <c r="J25" s="1">
        <f t="shared" si="3"/>
        <v>0</v>
      </c>
      <c r="K25" s="1">
        <f t="shared" si="4"/>
        <v>0</v>
      </c>
      <c r="L25" s="1">
        <f t="shared" si="5"/>
        <v>0</v>
      </c>
      <c r="M25" s="1">
        <f t="shared" si="6"/>
        <v>0</v>
      </c>
      <c r="O25" s="1">
        <f t="shared" si="7"/>
        <v>34</v>
      </c>
      <c r="P25" s="1">
        <f t="shared" si="8"/>
        <v>16</v>
      </c>
      <c r="Q25" s="1">
        <f t="shared" si="9"/>
        <v>0</v>
      </c>
      <c r="R25" s="1">
        <f t="shared" si="10"/>
        <v>0</v>
      </c>
      <c r="S25" s="1">
        <f t="shared" si="11"/>
        <v>0</v>
      </c>
      <c r="T25" s="28" t="s">
        <v>18</v>
      </c>
      <c r="U25" s="28" t="s">
        <v>18</v>
      </c>
      <c r="V25" s="28" t="s">
        <v>17</v>
      </c>
      <c r="W25" s="28" t="s">
        <v>17</v>
      </c>
      <c r="X25" s="28" t="s">
        <v>17</v>
      </c>
      <c r="Y25" s="28" t="s">
        <v>18</v>
      </c>
      <c r="Z25" s="28" t="s">
        <v>18</v>
      </c>
      <c r="AA25" s="28" t="s">
        <v>17</v>
      </c>
      <c r="AB25" s="28" t="s">
        <v>17</v>
      </c>
      <c r="AC25" s="28" t="s">
        <v>17</v>
      </c>
      <c r="AD25" s="28" t="s">
        <v>18</v>
      </c>
      <c r="AE25" s="28" t="s">
        <v>17</v>
      </c>
      <c r="AF25" s="28" t="s">
        <v>17</v>
      </c>
      <c r="AG25" s="28" t="s">
        <v>17</v>
      </c>
      <c r="AH25" s="28" t="s">
        <v>17</v>
      </c>
      <c r="AI25" s="28" t="s">
        <v>18</v>
      </c>
      <c r="AJ25" s="28" t="s">
        <v>18</v>
      </c>
      <c r="AK25" s="28" t="s">
        <v>17</v>
      </c>
      <c r="AL25" s="28" t="s">
        <v>17</v>
      </c>
      <c r="AM25" s="28" t="s">
        <v>17</v>
      </c>
      <c r="AN25" s="28" t="s">
        <v>17</v>
      </c>
      <c r="AO25" s="28" t="s">
        <v>17</v>
      </c>
      <c r="AP25" s="28" t="s">
        <v>17</v>
      </c>
      <c r="AQ25" s="28" t="s">
        <v>17</v>
      </c>
      <c r="AR25" s="28" t="s">
        <v>17</v>
      </c>
      <c r="AS25" s="28" t="s">
        <v>18</v>
      </c>
      <c r="AT25" s="28" t="s">
        <v>17</v>
      </c>
      <c r="AU25" s="28" t="s">
        <v>17</v>
      </c>
      <c r="AV25" s="28" t="s">
        <v>17</v>
      </c>
      <c r="AW25" s="28" t="s">
        <v>17</v>
      </c>
      <c r="AX25" s="28" t="s">
        <v>18</v>
      </c>
      <c r="AY25" s="28" t="s">
        <v>18</v>
      </c>
      <c r="AZ25" s="28" t="s">
        <v>17</v>
      </c>
      <c r="BA25" s="28" t="s">
        <v>17</v>
      </c>
      <c r="BB25" s="28" t="s">
        <v>17</v>
      </c>
      <c r="BC25" s="28" t="s">
        <v>18</v>
      </c>
      <c r="BD25" s="28" t="s">
        <v>18</v>
      </c>
      <c r="BE25" s="28" t="s">
        <v>17</v>
      </c>
      <c r="BF25" s="28" t="s">
        <v>17</v>
      </c>
      <c r="BG25" s="28" t="s">
        <v>17</v>
      </c>
      <c r="BH25" s="28" t="s">
        <v>18</v>
      </c>
      <c r="BI25" s="28" t="s">
        <v>18</v>
      </c>
      <c r="BJ25" s="28" t="s">
        <v>17</v>
      </c>
      <c r="BK25" s="28" t="s">
        <v>17</v>
      </c>
      <c r="BL25" s="28" t="s">
        <v>17</v>
      </c>
      <c r="BM25" s="28" t="s">
        <v>18</v>
      </c>
      <c r="BN25" s="28" t="s">
        <v>18</v>
      </c>
      <c r="BO25" s="28" t="s">
        <v>17</v>
      </c>
      <c r="BP25" s="28" t="s">
        <v>17</v>
      </c>
      <c r="BQ25" s="28" t="s">
        <v>17</v>
      </c>
    </row>
    <row r="26" spans="1:69" x14ac:dyDescent="0.3">
      <c r="A26" s="93">
        <f t="shared" ref="A26" si="20">A23+1</f>
        <v>168</v>
      </c>
      <c r="B26" s="93">
        <v>9</v>
      </c>
      <c r="C26" s="26">
        <v>44729.416666666664</v>
      </c>
      <c r="D26" s="37">
        <f t="shared" si="13"/>
        <v>0.45833333332848269</v>
      </c>
      <c r="E26" s="38">
        <f t="shared" si="12"/>
        <v>7.6875</v>
      </c>
      <c r="F26" s="5">
        <f t="shared" si="14"/>
        <v>7.6875</v>
      </c>
      <c r="G26" s="1">
        <f t="shared" si="0"/>
        <v>0</v>
      </c>
      <c r="H26" s="1">
        <f t="shared" si="1"/>
        <v>0</v>
      </c>
      <c r="I26" s="1">
        <f t="shared" si="2"/>
        <v>0</v>
      </c>
      <c r="J26" s="1">
        <f t="shared" si="3"/>
        <v>0</v>
      </c>
      <c r="K26" s="1">
        <f t="shared" si="4"/>
        <v>0</v>
      </c>
      <c r="L26" s="1">
        <f t="shared" si="5"/>
        <v>0</v>
      </c>
      <c r="M26" s="1">
        <f t="shared" si="6"/>
        <v>0</v>
      </c>
      <c r="O26" s="1">
        <f t="shared" si="7"/>
        <v>34</v>
      </c>
      <c r="P26" s="1">
        <f t="shared" si="8"/>
        <v>16</v>
      </c>
      <c r="Q26" s="1">
        <f t="shared" si="9"/>
        <v>0</v>
      </c>
      <c r="R26" s="1">
        <f t="shared" si="10"/>
        <v>0</v>
      </c>
      <c r="S26" s="1">
        <f t="shared" si="11"/>
        <v>0</v>
      </c>
      <c r="T26" s="28" t="s">
        <v>18</v>
      </c>
      <c r="U26" s="28" t="s">
        <v>18</v>
      </c>
      <c r="V26" s="28" t="s">
        <v>17</v>
      </c>
      <c r="W26" s="28" t="s">
        <v>17</v>
      </c>
      <c r="X26" s="28" t="s">
        <v>17</v>
      </c>
      <c r="Y26" s="28" t="s">
        <v>18</v>
      </c>
      <c r="Z26" s="28" t="s">
        <v>18</v>
      </c>
      <c r="AA26" s="28" t="s">
        <v>17</v>
      </c>
      <c r="AB26" s="28" t="s">
        <v>17</v>
      </c>
      <c r="AC26" s="28" t="s">
        <v>17</v>
      </c>
      <c r="AD26" s="28" t="s">
        <v>18</v>
      </c>
      <c r="AE26" s="28" t="s">
        <v>17</v>
      </c>
      <c r="AF26" s="28" t="s">
        <v>17</v>
      </c>
      <c r="AG26" s="28" t="s">
        <v>17</v>
      </c>
      <c r="AH26" s="28" t="s">
        <v>17</v>
      </c>
      <c r="AI26" s="28" t="s">
        <v>18</v>
      </c>
      <c r="AJ26" s="28" t="s">
        <v>18</v>
      </c>
      <c r="AK26" s="28" t="s">
        <v>17</v>
      </c>
      <c r="AL26" s="28" t="s">
        <v>17</v>
      </c>
      <c r="AM26" s="28" t="s">
        <v>17</v>
      </c>
      <c r="AN26" s="28" t="s">
        <v>17</v>
      </c>
      <c r="AO26" s="28" t="s">
        <v>17</v>
      </c>
      <c r="AP26" s="28" t="s">
        <v>17</v>
      </c>
      <c r="AQ26" s="28" t="s">
        <v>17</v>
      </c>
      <c r="AR26" s="28" t="s">
        <v>17</v>
      </c>
      <c r="AS26" s="28" t="s">
        <v>18</v>
      </c>
      <c r="AT26" s="28" t="s">
        <v>17</v>
      </c>
      <c r="AU26" s="28" t="s">
        <v>17</v>
      </c>
      <c r="AV26" s="28" t="s">
        <v>17</v>
      </c>
      <c r="AW26" s="28" t="s">
        <v>17</v>
      </c>
      <c r="AX26" s="28" t="s">
        <v>18</v>
      </c>
      <c r="AY26" s="28" t="s">
        <v>18</v>
      </c>
      <c r="AZ26" s="28" t="s">
        <v>17</v>
      </c>
      <c r="BA26" s="28" t="s">
        <v>17</v>
      </c>
      <c r="BB26" s="28" t="s">
        <v>17</v>
      </c>
      <c r="BC26" s="28" t="s">
        <v>18</v>
      </c>
      <c r="BD26" s="28" t="s">
        <v>18</v>
      </c>
      <c r="BE26" s="28" t="s">
        <v>17</v>
      </c>
      <c r="BF26" s="28" t="s">
        <v>17</v>
      </c>
      <c r="BG26" s="28" t="s">
        <v>17</v>
      </c>
      <c r="BH26" s="28" t="s">
        <v>18</v>
      </c>
      <c r="BI26" s="28" t="s">
        <v>18</v>
      </c>
      <c r="BJ26" s="28" t="s">
        <v>17</v>
      </c>
      <c r="BK26" s="28" t="s">
        <v>17</v>
      </c>
      <c r="BL26" s="28" t="s">
        <v>17</v>
      </c>
      <c r="BM26" s="28" t="s">
        <v>18</v>
      </c>
      <c r="BN26" s="28" t="s">
        <v>18</v>
      </c>
      <c r="BO26" s="28" t="s">
        <v>17</v>
      </c>
      <c r="BP26" s="28" t="s">
        <v>17</v>
      </c>
      <c r="BQ26" s="28" t="s">
        <v>17</v>
      </c>
    </row>
    <row r="27" spans="1:69" x14ac:dyDescent="0.3">
      <c r="A27" s="93"/>
      <c r="B27" s="93"/>
      <c r="C27" s="26">
        <v>44729.708333333336</v>
      </c>
      <c r="D27" s="37">
        <f t="shared" si="13"/>
        <v>0.29166666667151731</v>
      </c>
      <c r="E27" s="38">
        <f t="shared" si="12"/>
        <v>7.9791666666715173</v>
      </c>
      <c r="F27" s="5">
        <f t="shared" si="14"/>
        <v>7.9791666666715173</v>
      </c>
      <c r="G27" s="1">
        <f t="shared" si="0"/>
        <v>0</v>
      </c>
      <c r="H27" s="1">
        <f t="shared" si="1"/>
        <v>0</v>
      </c>
      <c r="I27" s="1">
        <f t="shared" si="2"/>
        <v>0</v>
      </c>
      <c r="J27" s="1">
        <f t="shared" si="3"/>
        <v>0</v>
      </c>
      <c r="K27" s="1">
        <f t="shared" si="4"/>
        <v>0</v>
      </c>
      <c r="L27" s="1">
        <f t="shared" si="5"/>
        <v>0</v>
      </c>
      <c r="M27" s="1">
        <f t="shared" si="6"/>
        <v>0</v>
      </c>
      <c r="O27" s="1">
        <f t="shared" si="7"/>
        <v>34</v>
      </c>
      <c r="P27" s="1">
        <f t="shared" si="8"/>
        <v>16</v>
      </c>
      <c r="Q27" s="1">
        <f t="shared" si="9"/>
        <v>0</v>
      </c>
      <c r="R27" s="1">
        <f t="shared" si="10"/>
        <v>0</v>
      </c>
      <c r="S27" s="1">
        <f t="shared" si="11"/>
        <v>0</v>
      </c>
      <c r="T27" s="28" t="s">
        <v>18</v>
      </c>
      <c r="U27" s="28" t="s">
        <v>18</v>
      </c>
      <c r="V27" s="28" t="s">
        <v>17</v>
      </c>
      <c r="W27" s="28" t="s">
        <v>17</v>
      </c>
      <c r="X27" s="28" t="s">
        <v>17</v>
      </c>
      <c r="Y27" s="28" t="s">
        <v>18</v>
      </c>
      <c r="Z27" s="28" t="s">
        <v>18</v>
      </c>
      <c r="AA27" s="28" t="s">
        <v>17</v>
      </c>
      <c r="AB27" s="28" t="s">
        <v>17</v>
      </c>
      <c r="AC27" s="28" t="s">
        <v>17</v>
      </c>
      <c r="AD27" s="28" t="s">
        <v>18</v>
      </c>
      <c r="AE27" s="28" t="s">
        <v>17</v>
      </c>
      <c r="AF27" s="28" t="s">
        <v>17</v>
      </c>
      <c r="AG27" s="28" t="s">
        <v>17</v>
      </c>
      <c r="AH27" s="28" t="s">
        <v>17</v>
      </c>
      <c r="AI27" s="28" t="s">
        <v>18</v>
      </c>
      <c r="AJ27" s="28" t="s">
        <v>18</v>
      </c>
      <c r="AK27" s="28" t="s">
        <v>17</v>
      </c>
      <c r="AL27" s="28" t="s">
        <v>17</v>
      </c>
      <c r="AM27" s="28" t="s">
        <v>17</v>
      </c>
      <c r="AN27" s="28" t="s">
        <v>17</v>
      </c>
      <c r="AO27" s="28" t="s">
        <v>17</v>
      </c>
      <c r="AP27" s="28" t="s">
        <v>17</v>
      </c>
      <c r="AQ27" s="28" t="s">
        <v>17</v>
      </c>
      <c r="AR27" s="28" t="s">
        <v>17</v>
      </c>
      <c r="AS27" s="28" t="s">
        <v>18</v>
      </c>
      <c r="AT27" s="28" t="s">
        <v>17</v>
      </c>
      <c r="AU27" s="28" t="s">
        <v>17</v>
      </c>
      <c r="AV27" s="28" t="s">
        <v>17</v>
      </c>
      <c r="AW27" s="28" t="s">
        <v>17</v>
      </c>
      <c r="AX27" s="28" t="s">
        <v>18</v>
      </c>
      <c r="AY27" s="28" t="s">
        <v>18</v>
      </c>
      <c r="AZ27" s="28" t="s">
        <v>17</v>
      </c>
      <c r="BA27" s="28" t="s">
        <v>17</v>
      </c>
      <c r="BB27" s="28" t="s">
        <v>17</v>
      </c>
      <c r="BC27" s="28" t="s">
        <v>18</v>
      </c>
      <c r="BD27" s="28" t="s">
        <v>18</v>
      </c>
      <c r="BE27" s="28" t="s">
        <v>17</v>
      </c>
      <c r="BF27" s="28" t="s">
        <v>17</v>
      </c>
      <c r="BG27" s="28" t="s">
        <v>17</v>
      </c>
      <c r="BH27" s="28" t="s">
        <v>18</v>
      </c>
      <c r="BI27" s="28" t="s">
        <v>18</v>
      </c>
      <c r="BJ27" s="28" t="s">
        <v>17</v>
      </c>
      <c r="BK27" s="28" t="s">
        <v>17</v>
      </c>
      <c r="BL27" s="28" t="s">
        <v>17</v>
      </c>
      <c r="BM27" s="28" t="s">
        <v>18</v>
      </c>
      <c r="BN27" s="28" t="s">
        <v>18</v>
      </c>
      <c r="BO27" s="28" t="s">
        <v>17</v>
      </c>
      <c r="BP27" s="28" t="s">
        <v>17</v>
      </c>
      <c r="BQ27" s="28" t="s">
        <v>17</v>
      </c>
    </row>
    <row r="28" spans="1:69" x14ac:dyDescent="0.3">
      <c r="A28" s="93"/>
      <c r="B28" s="93"/>
      <c r="C28" s="26">
        <v>44729.958333333336</v>
      </c>
      <c r="D28" s="37">
        <f t="shared" si="13"/>
        <v>0.25</v>
      </c>
      <c r="E28" s="38">
        <f t="shared" si="12"/>
        <v>8.2291666666715173</v>
      </c>
      <c r="F28" s="5">
        <f t="shared" si="14"/>
        <v>8.2291666666715173</v>
      </c>
      <c r="G28" s="1">
        <f t="shared" si="0"/>
        <v>0</v>
      </c>
      <c r="H28" s="1">
        <f t="shared" si="1"/>
        <v>0</v>
      </c>
      <c r="I28" s="1">
        <f t="shared" si="2"/>
        <v>0</v>
      </c>
      <c r="J28" s="1">
        <f t="shared" si="3"/>
        <v>0</v>
      </c>
      <c r="K28" s="1">
        <f t="shared" si="4"/>
        <v>0</v>
      </c>
      <c r="L28" s="1">
        <f t="shared" si="5"/>
        <v>0</v>
      </c>
      <c r="M28" s="1">
        <f t="shared" si="6"/>
        <v>0</v>
      </c>
      <c r="O28" s="1">
        <f t="shared" si="7"/>
        <v>34</v>
      </c>
      <c r="P28" s="1">
        <f t="shared" si="8"/>
        <v>16</v>
      </c>
      <c r="Q28" s="1">
        <f t="shared" si="9"/>
        <v>0</v>
      </c>
      <c r="R28" s="1">
        <f t="shared" si="10"/>
        <v>0</v>
      </c>
      <c r="S28" s="1">
        <f t="shared" si="11"/>
        <v>0</v>
      </c>
      <c r="T28" s="28" t="s">
        <v>18</v>
      </c>
      <c r="U28" s="28" t="s">
        <v>18</v>
      </c>
      <c r="V28" s="28" t="s">
        <v>17</v>
      </c>
      <c r="W28" s="28" t="s">
        <v>17</v>
      </c>
      <c r="X28" s="28" t="s">
        <v>17</v>
      </c>
      <c r="Y28" s="28" t="s">
        <v>18</v>
      </c>
      <c r="Z28" s="28" t="s">
        <v>18</v>
      </c>
      <c r="AA28" s="28" t="s">
        <v>17</v>
      </c>
      <c r="AB28" s="28" t="s">
        <v>17</v>
      </c>
      <c r="AC28" s="28" t="s">
        <v>17</v>
      </c>
      <c r="AD28" s="28" t="s">
        <v>18</v>
      </c>
      <c r="AE28" s="28" t="s">
        <v>17</v>
      </c>
      <c r="AF28" s="28" t="s">
        <v>17</v>
      </c>
      <c r="AG28" s="28" t="s">
        <v>17</v>
      </c>
      <c r="AH28" s="28" t="s">
        <v>17</v>
      </c>
      <c r="AI28" s="28" t="s">
        <v>18</v>
      </c>
      <c r="AJ28" s="28" t="s">
        <v>18</v>
      </c>
      <c r="AK28" s="28" t="s">
        <v>17</v>
      </c>
      <c r="AL28" s="28" t="s">
        <v>17</v>
      </c>
      <c r="AM28" s="28" t="s">
        <v>17</v>
      </c>
      <c r="AN28" s="28" t="s">
        <v>17</v>
      </c>
      <c r="AO28" s="28" t="s">
        <v>17</v>
      </c>
      <c r="AP28" s="28" t="s">
        <v>17</v>
      </c>
      <c r="AQ28" s="28" t="s">
        <v>17</v>
      </c>
      <c r="AR28" s="28" t="s">
        <v>17</v>
      </c>
      <c r="AS28" s="28" t="s">
        <v>18</v>
      </c>
      <c r="AT28" s="28" t="s">
        <v>17</v>
      </c>
      <c r="AU28" s="28" t="s">
        <v>17</v>
      </c>
      <c r="AV28" s="28" t="s">
        <v>17</v>
      </c>
      <c r="AW28" s="28" t="s">
        <v>17</v>
      </c>
      <c r="AX28" s="28" t="s">
        <v>18</v>
      </c>
      <c r="AY28" s="28" t="s">
        <v>18</v>
      </c>
      <c r="AZ28" s="28" t="s">
        <v>17</v>
      </c>
      <c r="BA28" s="28" t="s">
        <v>17</v>
      </c>
      <c r="BB28" s="28" t="s">
        <v>17</v>
      </c>
      <c r="BC28" s="28" t="s">
        <v>18</v>
      </c>
      <c r="BD28" s="28" t="s">
        <v>18</v>
      </c>
      <c r="BE28" s="28" t="s">
        <v>17</v>
      </c>
      <c r="BF28" s="28" t="s">
        <v>17</v>
      </c>
      <c r="BG28" s="28" t="s">
        <v>17</v>
      </c>
      <c r="BH28" s="28" t="s">
        <v>18</v>
      </c>
      <c r="BI28" s="28" t="s">
        <v>18</v>
      </c>
      <c r="BJ28" s="28" t="s">
        <v>17</v>
      </c>
      <c r="BK28" s="28" t="s">
        <v>17</v>
      </c>
      <c r="BL28" s="28" t="s">
        <v>17</v>
      </c>
      <c r="BM28" s="28" t="s">
        <v>18</v>
      </c>
      <c r="BN28" s="28" t="s">
        <v>18</v>
      </c>
      <c r="BO28" s="28" t="s">
        <v>17</v>
      </c>
      <c r="BP28" s="28" t="s">
        <v>17</v>
      </c>
      <c r="BQ28" s="28" t="s">
        <v>17</v>
      </c>
    </row>
    <row r="29" spans="1:69" x14ac:dyDescent="0.3">
      <c r="A29" s="93">
        <f t="shared" ref="A29" si="21">A26+1</f>
        <v>169</v>
      </c>
      <c r="B29" s="93">
        <v>10</v>
      </c>
      <c r="C29" s="26">
        <v>44730.416666666664</v>
      </c>
      <c r="D29" s="37">
        <f t="shared" si="13"/>
        <v>0.45833333332848269</v>
      </c>
      <c r="E29" s="38">
        <f t="shared" si="12"/>
        <v>8.6875</v>
      </c>
      <c r="F29" s="5">
        <f t="shared" si="14"/>
        <v>8.6875</v>
      </c>
      <c r="G29" s="1">
        <f t="shared" si="0"/>
        <v>0</v>
      </c>
      <c r="H29" s="1">
        <f t="shared" si="1"/>
        <v>0</v>
      </c>
      <c r="I29" s="1">
        <f t="shared" si="2"/>
        <v>0</v>
      </c>
      <c r="J29" s="1">
        <f t="shared" si="3"/>
        <v>0</v>
      </c>
      <c r="K29" s="1">
        <f t="shared" si="4"/>
        <v>0</v>
      </c>
      <c r="L29" s="1">
        <f t="shared" si="5"/>
        <v>0</v>
      </c>
      <c r="M29" s="1">
        <f t="shared" si="6"/>
        <v>0</v>
      </c>
      <c r="O29" s="1">
        <f t="shared" si="7"/>
        <v>34</v>
      </c>
      <c r="P29" s="1">
        <f t="shared" si="8"/>
        <v>16</v>
      </c>
      <c r="Q29" s="1">
        <f t="shared" si="9"/>
        <v>0</v>
      </c>
      <c r="R29" s="1">
        <f t="shared" si="10"/>
        <v>0</v>
      </c>
      <c r="S29" s="1">
        <f t="shared" si="11"/>
        <v>0</v>
      </c>
      <c r="T29" s="28" t="s">
        <v>18</v>
      </c>
      <c r="U29" s="28" t="s">
        <v>18</v>
      </c>
      <c r="V29" s="28" t="s">
        <v>17</v>
      </c>
      <c r="W29" s="28" t="s">
        <v>17</v>
      </c>
      <c r="X29" s="28" t="s">
        <v>17</v>
      </c>
      <c r="Y29" s="28" t="s">
        <v>18</v>
      </c>
      <c r="Z29" s="28" t="s">
        <v>18</v>
      </c>
      <c r="AA29" s="28" t="s">
        <v>17</v>
      </c>
      <c r="AB29" s="28" t="s">
        <v>17</v>
      </c>
      <c r="AC29" s="28" t="s">
        <v>17</v>
      </c>
      <c r="AD29" s="28" t="s">
        <v>18</v>
      </c>
      <c r="AE29" s="28" t="s">
        <v>17</v>
      </c>
      <c r="AF29" s="28" t="s">
        <v>17</v>
      </c>
      <c r="AG29" s="28" t="s">
        <v>17</v>
      </c>
      <c r="AH29" s="28" t="s">
        <v>17</v>
      </c>
      <c r="AI29" s="28" t="s">
        <v>18</v>
      </c>
      <c r="AJ29" s="28" t="s">
        <v>18</v>
      </c>
      <c r="AK29" s="28" t="s">
        <v>17</v>
      </c>
      <c r="AL29" s="28" t="s">
        <v>17</v>
      </c>
      <c r="AM29" s="28" t="s">
        <v>17</v>
      </c>
      <c r="AN29" s="28" t="s">
        <v>17</v>
      </c>
      <c r="AO29" s="28" t="s">
        <v>17</v>
      </c>
      <c r="AP29" s="28" t="s">
        <v>17</v>
      </c>
      <c r="AQ29" s="28" t="s">
        <v>17</v>
      </c>
      <c r="AR29" s="28" t="s">
        <v>17</v>
      </c>
      <c r="AS29" s="28" t="s">
        <v>18</v>
      </c>
      <c r="AT29" s="28" t="s">
        <v>17</v>
      </c>
      <c r="AU29" s="28" t="s">
        <v>17</v>
      </c>
      <c r="AV29" s="28" t="s">
        <v>17</v>
      </c>
      <c r="AW29" s="28" t="s">
        <v>17</v>
      </c>
      <c r="AX29" s="28" t="s">
        <v>18</v>
      </c>
      <c r="AY29" s="28" t="s">
        <v>18</v>
      </c>
      <c r="AZ29" s="28" t="s">
        <v>17</v>
      </c>
      <c r="BA29" s="28" t="s">
        <v>17</v>
      </c>
      <c r="BB29" s="28" t="s">
        <v>17</v>
      </c>
      <c r="BC29" s="28" t="s">
        <v>18</v>
      </c>
      <c r="BD29" s="28" t="s">
        <v>18</v>
      </c>
      <c r="BE29" s="28" t="s">
        <v>17</v>
      </c>
      <c r="BF29" s="28" t="s">
        <v>17</v>
      </c>
      <c r="BG29" s="28" t="s">
        <v>17</v>
      </c>
      <c r="BH29" s="28" t="s">
        <v>18</v>
      </c>
      <c r="BI29" s="28" t="s">
        <v>18</v>
      </c>
      <c r="BJ29" s="28" t="s">
        <v>17</v>
      </c>
      <c r="BK29" s="28" t="s">
        <v>17</v>
      </c>
      <c r="BL29" s="28" t="s">
        <v>17</v>
      </c>
      <c r="BM29" s="28" t="s">
        <v>18</v>
      </c>
      <c r="BN29" s="28" t="s">
        <v>18</v>
      </c>
      <c r="BO29" s="28" t="s">
        <v>17</v>
      </c>
      <c r="BP29" s="28" t="s">
        <v>17</v>
      </c>
      <c r="BQ29" s="28" t="s">
        <v>17</v>
      </c>
    </row>
    <row r="30" spans="1:69" x14ac:dyDescent="0.3">
      <c r="A30" s="93"/>
      <c r="B30" s="93"/>
      <c r="C30" s="26">
        <v>44730.708333333336</v>
      </c>
      <c r="D30" s="37">
        <f t="shared" si="13"/>
        <v>0.29166666667151731</v>
      </c>
      <c r="E30" s="38">
        <f t="shared" si="12"/>
        <v>8.9791666666715173</v>
      </c>
      <c r="F30" s="5">
        <f t="shared" si="14"/>
        <v>8.9791666666715173</v>
      </c>
      <c r="G30" s="1">
        <f t="shared" si="0"/>
        <v>0</v>
      </c>
      <c r="H30" s="1">
        <f t="shared" si="1"/>
        <v>0</v>
      </c>
      <c r="I30" s="1">
        <f t="shared" si="2"/>
        <v>0</v>
      </c>
      <c r="J30" s="1">
        <f t="shared" si="3"/>
        <v>0</v>
      </c>
      <c r="K30" s="1">
        <f t="shared" si="4"/>
        <v>0</v>
      </c>
      <c r="L30" s="1">
        <f t="shared" si="5"/>
        <v>0</v>
      </c>
      <c r="M30" s="1">
        <f t="shared" si="6"/>
        <v>0</v>
      </c>
      <c r="O30" s="1">
        <f t="shared" si="7"/>
        <v>34</v>
      </c>
      <c r="P30" s="1">
        <f t="shared" si="8"/>
        <v>16</v>
      </c>
      <c r="Q30" s="1">
        <f t="shared" si="9"/>
        <v>0</v>
      </c>
      <c r="R30" s="1">
        <f t="shared" si="10"/>
        <v>0</v>
      </c>
      <c r="S30" s="1">
        <f t="shared" si="11"/>
        <v>0</v>
      </c>
      <c r="T30" s="28" t="s">
        <v>18</v>
      </c>
      <c r="U30" s="28" t="s">
        <v>18</v>
      </c>
      <c r="V30" s="28" t="s">
        <v>17</v>
      </c>
      <c r="W30" s="28" t="s">
        <v>17</v>
      </c>
      <c r="X30" s="28" t="s">
        <v>17</v>
      </c>
      <c r="Y30" s="28" t="s">
        <v>18</v>
      </c>
      <c r="Z30" s="28" t="s">
        <v>18</v>
      </c>
      <c r="AA30" s="28" t="s">
        <v>17</v>
      </c>
      <c r="AB30" s="28" t="s">
        <v>17</v>
      </c>
      <c r="AC30" s="28" t="s">
        <v>17</v>
      </c>
      <c r="AD30" s="28" t="s">
        <v>18</v>
      </c>
      <c r="AE30" s="28" t="s">
        <v>17</v>
      </c>
      <c r="AF30" s="28" t="s">
        <v>17</v>
      </c>
      <c r="AG30" s="28" t="s">
        <v>17</v>
      </c>
      <c r="AH30" s="28" t="s">
        <v>17</v>
      </c>
      <c r="AI30" s="28" t="s">
        <v>18</v>
      </c>
      <c r="AJ30" s="28" t="s">
        <v>18</v>
      </c>
      <c r="AK30" s="28" t="s">
        <v>17</v>
      </c>
      <c r="AL30" s="28" t="s">
        <v>17</v>
      </c>
      <c r="AM30" s="28" t="s">
        <v>17</v>
      </c>
      <c r="AN30" s="28" t="s">
        <v>17</v>
      </c>
      <c r="AO30" s="28" t="s">
        <v>17</v>
      </c>
      <c r="AP30" s="28" t="s">
        <v>17</v>
      </c>
      <c r="AQ30" s="28" t="s">
        <v>17</v>
      </c>
      <c r="AR30" s="28" t="s">
        <v>17</v>
      </c>
      <c r="AS30" s="28" t="s">
        <v>18</v>
      </c>
      <c r="AT30" s="28" t="s">
        <v>17</v>
      </c>
      <c r="AU30" s="28" t="s">
        <v>17</v>
      </c>
      <c r="AV30" s="28" t="s">
        <v>17</v>
      </c>
      <c r="AW30" s="28" t="s">
        <v>17</v>
      </c>
      <c r="AX30" s="28" t="s">
        <v>18</v>
      </c>
      <c r="AY30" s="28" t="s">
        <v>18</v>
      </c>
      <c r="AZ30" s="28" t="s">
        <v>17</v>
      </c>
      <c r="BA30" s="28" t="s">
        <v>17</v>
      </c>
      <c r="BB30" s="28" t="s">
        <v>17</v>
      </c>
      <c r="BC30" s="28" t="s">
        <v>18</v>
      </c>
      <c r="BD30" s="28" t="s">
        <v>18</v>
      </c>
      <c r="BE30" s="28" t="s">
        <v>17</v>
      </c>
      <c r="BF30" s="28" t="s">
        <v>17</v>
      </c>
      <c r="BG30" s="28" t="s">
        <v>17</v>
      </c>
      <c r="BH30" s="28" t="s">
        <v>18</v>
      </c>
      <c r="BI30" s="28" t="s">
        <v>18</v>
      </c>
      <c r="BJ30" s="28" t="s">
        <v>17</v>
      </c>
      <c r="BK30" s="28" t="s">
        <v>17</v>
      </c>
      <c r="BL30" s="28" t="s">
        <v>17</v>
      </c>
      <c r="BM30" s="28" t="s">
        <v>18</v>
      </c>
      <c r="BN30" s="28" t="s">
        <v>18</v>
      </c>
      <c r="BO30" s="28" t="s">
        <v>17</v>
      </c>
      <c r="BP30" s="28" t="s">
        <v>17</v>
      </c>
      <c r="BQ30" s="28" t="s">
        <v>17</v>
      </c>
    </row>
    <row r="31" spans="1:69" x14ac:dyDescent="0.3">
      <c r="A31" s="93"/>
      <c r="B31" s="93"/>
      <c r="C31" s="26">
        <v>44730.958333333336</v>
      </c>
      <c r="D31" s="37">
        <f t="shared" si="13"/>
        <v>0.25</v>
      </c>
      <c r="E31" s="38">
        <f t="shared" si="12"/>
        <v>9.2291666666715173</v>
      </c>
      <c r="F31" s="5">
        <f t="shared" si="14"/>
        <v>9.2291666666715173</v>
      </c>
      <c r="G31" s="1">
        <f t="shared" si="0"/>
        <v>0</v>
      </c>
      <c r="H31" s="1">
        <f t="shared" si="1"/>
        <v>0</v>
      </c>
      <c r="I31" s="1">
        <f t="shared" si="2"/>
        <v>0</v>
      </c>
      <c r="J31" s="1">
        <f t="shared" si="3"/>
        <v>0</v>
      </c>
      <c r="K31" s="1">
        <f t="shared" si="4"/>
        <v>0</v>
      </c>
      <c r="L31" s="1">
        <f t="shared" si="5"/>
        <v>0</v>
      </c>
      <c r="M31" s="1">
        <f t="shared" si="6"/>
        <v>0</v>
      </c>
      <c r="O31" s="1">
        <f t="shared" si="7"/>
        <v>34</v>
      </c>
      <c r="P31" s="1">
        <f t="shared" si="8"/>
        <v>16</v>
      </c>
      <c r="Q31" s="1">
        <f t="shared" si="9"/>
        <v>0</v>
      </c>
      <c r="R31" s="1">
        <f t="shared" si="10"/>
        <v>0</v>
      </c>
      <c r="S31" s="1">
        <f t="shared" si="11"/>
        <v>0</v>
      </c>
      <c r="T31" s="28" t="s">
        <v>18</v>
      </c>
      <c r="U31" s="28" t="s">
        <v>18</v>
      </c>
      <c r="V31" s="28" t="s">
        <v>17</v>
      </c>
      <c r="W31" s="28" t="s">
        <v>17</v>
      </c>
      <c r="X31" s="28" t="s">
        <v>17</v>
      </c>
      <c r="Y31" s="28" t="s">
        <v>18</v>
      </c>
      <c r="Z31" s="28" t="s">
        <v>18</v>
      </c>
      <c r="AA31" s="28" t="s">
        <v>17</v>
      </c>
      <c r="AB31" s="28" t="s">
        <v>17</v>
      </c>
      <c r="AC31" s="28" t="s">
        <v>17</v>
      </c>
      <c r="AD31" s="28" t="s">
        <v>18</v>
      </c>
      <c r="AE31" s="28" t="s">
        <v>17</v>
      </c>
      <c r="AF31" s="28" t="s">
        <v>17</v>
      </c>
      <c r="AG31" s="28" t="s">
        <v>17</v>
      </c>
      <c r="AH31" s="28" t="s">
        <v>17</v>
      </c>
      <c r="AI31" s="28" t="s">
        <v>18</v>
      </c>
      <c r="AJ31" s="28" t="s">
        <v>18</v>
      </c>
      <c r="AK31" s="28" t="s">
        <v>17</v>
      </c>
      <c r="AL31" s="28" t="s">
        <v>17</v>
      </c>
      <c r="AM31" s="28" t="s">
        <v>17</v>
      </c>
      <c r="AN31" s="28" t="s">
        <v>17</v>
      </c>
      <c r="AO31" s="28" t="s">
        <v>17</v>
      </c>
      <c r="AP31" s="28" t="s">
        <v>17</v>
      </c>
      <c r="AQ31" s="28" t="s">
        <v>17</v>
      </c>
      <c r="AR31" s="28" t="s">
        <v>17</v>
      </c>
      <c r="AS31" s="28" t="s">
        <v>18</v>
      </c>
      <c r="AT31" s="28" t="s">
        <v>17</v>
      </c>
      <c r="AU31" s="28" t="s">
        <v>17</v>
      </c>
      <c r="AV31" s="28" t="s">
        <v>17</v>
      </c>
      <c r="AW31" s="28" t="s">
        <v>17</v>
      </c>
      <c r="AX31" s="28" t="s">
        <v>18</v>
      </c>
      <c r="AY31" s="28" t="s">
        <v>18</v>
      </c>
      <c r="AZ31" s="28" t="s">
        <v>17</v>
      </c>
      <c r="BA31" s="28" t="s">
        <v>17</v>
      </c>
      <c r="BB31" s="28" t="s">
        <v>17</v>
      </c>
      <c r="BC31" s="28" t="s">
        <v>18</v>
      </c>
      <c r="BD31" s="28" t="s">
        <v>18</v>
      </c>
      <c r="BE31" s="28" t="s">
        <v>17</v>
      </c>
      <c r="BF31" s="28" t="s">
        <v>17</v>
      </c>
      <c r="BG31" s="28" t="s">
        <v>17</v>
      </c>
      <c r="BH31" s="28" t="s">
        <v>18</v>
      </c>
      <c r="BI31" s="28" t="s">
        <v>18</v>
      </c>
      <c r="BJ31" s="28" t="s">
        <v>17</v>
      </c>
      <c r="BK31" s="28" t="s">
        <v>17</v>
      </c>
      <c r="BL31" s="28" t="s">
        <v>17</v>
      </c>
      <c r="BM31" s="28" t="s">
        <v>18</v>
      </c>
      <c r="BN31" s="28" t="s">
        <v>18</v>
      </c>
      <c r="BO31" s="28" t="s">
        <v>17</v>
      </c>
      <c r="BP31" s="28" t="s">
        <v>17</v>
      </c>
      <c r="BQ31" s="28" t="s">
        <v>17</v>
      </c>
    </row>
    <row r="32" spans="1:69" x14ac:dyDescent="0.3">
      <c r="A32" s="93">
        <f t="shared" ref="A32" si="22">A29+1</f>
        <v>170</v>
      </c>
      <c r="B32" s="93">
        <v>11</v>
      </c>
      <c r="C32" s="26">
        <v>44731.416666666664</v>
      </c>
      <c r="D32" s="37">
        <f t="shared" si="13"/>
        <v>0.45833333332848269</v>
      </c>
      <c r="E32" s="38">
        <f t="shared" si="12"/>
        <v>9.6875</v>
      </c>
      <c r="F32" s="5">
        <f t="shared" si="14"/>
        <v>9.6875</v>
      </c>
      <c r="G32" s="1">
        <f t="shared" si="0"/>
        <v>0</v>
      </c>
      <c r="H32" s="1">
        <f t="shared" si="1"/>
        <v>0</v>
      </c>
      <c r="I32" s="1">
        <f t="shared" si="2"/>
        <v>0</v>
      </c>
      <c r="J32" s="1">
        <f t="shared" si="3"/>
        <v>0</v>
      </c>
      <c r="K32" s="1">
        <f t="shared" si="4"/>
        <v>0</v>
      </c>
      <c r="L32" s="1">
        <f t="shared" si="5"/>
        <v>0</v>
      </c>
      <c r="M32" s="1">
        <f t="shared" si="6"/>
        <v>0</v>
      </c>
      <c r="O32" s="1">
        <f t="shared" si="7"/>
        <v>34</v>
      </c>
      <c r="P32" s="1">
        <f t="shared" si="8"/>
        <v>16</v>
      </c>
      <c r="Q32" s="1">
        <f t="shared" si="9"/>
        <v>0</v>
      </c>
      <c r="R32" s="1">
        <f t="shared" si="10"/>
        <v>0</v>
      </c>
      <c r="S32" s="1">
        <f t="shared" si="11"/>
        <v>0</v>
      </c>
      <c r="T32" s="28" t="s">
        <v>18</v>
      </c>
      <c r="U32" s="28" t="s">
        <v>18</v>
      </c>
      <c r="V32" s="28" t="s">
        <v>17</v>
      </c>
      <c r="W32" s="28" t="s">
        <v>17</v>
      </c>
      <c r="X32" s="28" t="s">
        <v>17</v>
      </c>
      <c r="Y32" s="28" t="s">
        <v>18</v>
      </c>
      <c r="Z32" s="28" t="s">
        <v>18</v>
      </c>
      <c r="AA32" s="28" t="s">
        <v>17</v>
      </c>
      <c r="AB32" s="28" t="s">
        <v>17</v>
      </c>
      <c r="AC32" s="28" t="s">
        <v>17</v>
      </c>
      <c r="AD32" s="28" t="s">
        <v>18</v>
      </c>
      <c r="AE32" s="28" t="s">
        <v>17</v>
      </c>
      <c r="AF32" s="28" t="s">
        <v>17</v>
      </c>
      <c r="AG32" s="28" t="s">
        <v>17</v>
      </c>
      <c r="AH32" s="28" t="s">
        <v>17</v>
      </c>
      <c r="AI32" s="28" t="s">
        <v>18</v>
      </c>
      <c r="AJ32" s="28" t="s">
        <v>18</v>
      </c>
      <c r="AK32" s="28" t="s">
        <v>17</v>
      </c>
      <c r="AL32" s="28" t="s">
        <v>17</v>
      </c>
      <c r="AM32" s="28" t="s">
        <v>17</v>
      </c>
      <c r="AN32" s="28" t="s">
        <v>17</v>
      </c>
      <c r="AO32" s="28" t="s">
        <v>17</v>
      </c>
      <c r="AP32" s="28" t="s">
        <v>17</v>
      </c>
      <c r="AQ32" s="28" t="s">
        <v>17</v>
      </c>
      <c r="AR32" s="28" t="s">
        <v>17</v>
      </c>
      <c r="AS32" s="28" t="s">
        <v>18</v>
      </c>
      <c r="AT32" s="28" t="s">
        <v>17</v>
      </c>
      <c r="AU32" s="28" t="s">
        <v>17</v>
      </c>
      <c r="AV32" s="28" t="s">
        <v>17</v>
      </c>
      <c r="AW32" s="28" t="s">
        <v>17</v>
      </c>
      <c r="AX32" s="28" t="s">
        <v>18</v>
      </c>
      <c r="AY32" s="28" t="s">
        <v>18</v>
      </c>
      <c r="AZ32" s="28" t="s">
        <v>17</v>
      </c>
      <c r="BA32" s="28" t="s">
        <v>17</v>
      </c>
      <c r="BB32" s="28" t="s">
        <v>17</v>
      </c>
      <c r="BC32" s="28" t="s">
        <v>18</v>
      </c>
      <c r="BD32" s="28" t="s">
        <v>18</v>
      </c>
      <c r="BE32" s="28" t="s">
        <v>17</v>
      </c>
      <c r="BF32" s="28" t="s">
        <v>17</v>
      </c>
      <c r="BG32" s="28" t="s">
        <v>17</v>
      </c>
      <c r="BH32" s="28" t="s">
        <v>18</v>
      </c>
      <c r="BI32" s="28" t="s">
        <v>18</v>
      </c>
      <c r="BJ32" s="28" t="s">
        <v>17</v>
      </c>
      <c r="BK32" s="28" t="s">
        <v>17</v>
      </c>
      <c r="BL32" s="28" t="s">
        <v>17</v>
      </c>
      <c r="BM32" s="28" t="s">
        <v>18</v>
      </c>
      <c r="BN32" s="28" t="s">
        <v>18</v>
      </c>
      <c r="BO32" s="28" t="s">
        <v>17</v>
      </c>
      <c r="BP32" s="28" t="s">
        <v>17</v>
      </c>
      <c r="BQ32" s="28" t="s">
        <v>17</v>
      </c>
    </row>
    <row r="33" spans="1:69" x14ac:dyDescent="0.3">
      <c r="A33" s="93"/>
      <c r="B33" s="93"/>
      <c r="C33" s="26">
        <v>44731.708333333336</v>
      </c>
      <c r="D33" s="37">
        <f t="shared" si="13"/>
        <v>0.29166666667151731</v>
      </c>
      <c r="E33" s="38">
        <f t="shared" si="12"/>
        <v>9.9791666666715173</v>
      </c>
      <c r="F33" s="5">
        <f t="shared" si="14"/>
        <v>9.9791666666715173</v>
      </c>
      <c r="G33" s="1">
        <f t="shared" si="0"/>
        <v>0</v>
      </c>
      <c r="H33" s="1">
        <f t="shared" si="1"/>
        <v>0</v>
      </c>
      <c r="I33" s="1">
        <f t="shared" si="2"/>
        <v>0</v>
      </c>
      <c r="J33" s="1">
        <f t="shared" si="3"/>
        <v>0</v>
      </c>
      <c r="K33" s="1">
        <f t="shared" si="4"/>
        <v>0</v>
      </c>
      <c r="L33" s="1">
        <f t="shared" si="5"/>
        <v>0</v>
      </c>
      <c r="M33" s="1">
        <f t="shared" si="6"/>
        <v>0</v>
      </c>
      <c r="O33" s="1">
        <f t="shared" si="7"/>
        <v>34</v>
      </c>
      <c r="P33" s="1">
        <f t="shared" si="8"/>
        <v>16</v>
      </c>
      <c r="Q33" s="1">
        <f t="shared" si="9"/>
        <v>0</v>
      </c>
      <c r="R33" s="1">
        <f t="shared" si="10"/>
        <v>0</v>
      </c>
      <c r="S33" s="1">
        <f t="shared" si="11"/>
        <v>0</v>
      </c>
      <c r="T33" s="28" t="s">
        <v>18</v>
      </c>
      <c r="U33" s="28" t="s">
        <v>18</v>
      </c>
      <c r="V33" s="28" t="s">
        <v>17</v>
      </c>
      <c r="W33" s="28" t="s">
        <v>17</v>
      </c>
      <c r="X33" s="28" t="s">
        <v>17</v>
      </c>
      <c r="Y33" s="28" t="s">
        <v>18</v>
      </c>
      <c r="Z33" s="28" t="s">
        <v>18</v>
      </c>
      <c r="AA33" s="28" t="s">
        <v>17</v>
      </c>
      <c r="AB33" s="28" t="s">
        <v>17</v>
      </c>
      <c r="AC33" s="28" t="s">
        <v>17</v>
      </c>
      <c r="AD33" s="28" t="s">
        <v>18</v>
      </c>
      <c r="AE33" s="28" t="s">
        <v>17</v>
      </c>
      <c r="AF33" s="28" t="s">
        <v>17</v>
      </c>
      <c r="AG33" s="28" t="s">
        <v>17</v>
      </c>
      <c r="AH33" s="28" t="s">
        <v>17</v>
      </c>
      <c r="AI33" s="28" t="s">
        <v>18</v>
      </c>
      <c r="AJ33" s="28" t="s">
        <v>18</v>
      </c>
      <c r="AK33" s="28" t="s">
        <v>17</v>
      </c>
      <c r="AL33" s="28" t="s">
        <v>17</v>
      </c>
      <c r="AM33" s="28" t="s">
        <v>17</v>
      </c>
      <c r="AN33" s="28" t="s">
        <v>17</v>
      </c>
      <c r="AO33" s="28" t="s">
        <v>17</v>
      </c>
      <c r="AP33" s="28" t="s">
        <v>17</v>
      </c>
      <c r="AQ33" s="28" t="s">
        <v>17</v>
      </c>
      <c r="AR33" s="28" t="s">
        <v>17</v>
      </c>
      <c r="AS33" s="28" t="s">
        <v>18</v>
      </c>
      <c r="AT33" s="28" t="s">
        <v>17</v>
      </c>
      <c r="AU33" s="28" t="s">
        <v>17</v>
      </c>
      <c r="AV33" s="28" t="s">
        <v>17</v>
      </c>
      <c r="AW33" s="28" t="s">
        <v>17</v>
      </c>
      <c r="AX33" s="28" t="s">
        <v>18</v>
      </c>
      <c r="AY33" s="28" t="s">
        <v>18</v>
      </c>
      <c r="AZ33" s="28" t="s">
        <v>17</v>
      </c>
      <c r="BA33" s="28" t="s">
        <v>17</v>
      </c>
      <c r="BB33" s="28" t="s">
        <v>17</v>
      </c>
      <c r="BC33" s="28" t="s">
        <v>18</v>
      </c>
      <c r="BD33" s="28" t="s">
        <v>18</v>
      </c>
      <c r="BE33" s="28" t="s">
        <v>17</v>
      </c>
      <c r="BF33" s="28" t="s">
        <v>17</v>
      </c>
      <c r="BG33" s="28" t="s">
        <v>17</v>
      </c>
      <c r="BH33" s="28" t="s">
        <v>18</v>
      </c>
      <c r="BI33" s="28" t="s">
        <v>18</v>
      </c>
      <c r="BJ33" s="28" t="s">
        <v>17</v>
      </c>
      <c r="BK33" s="28" t="s">
        <v>17</v>
      </c>
      <c r="BL33" s="28" t="s">
        <v>17</v>
      </c>
      <c r="BM33" s="28" t="s">
        <v>18</v>
      </c>
      <c r="BN33" s="28" t="s">
        <v>18</v>
      </c>
      <c r="BO33" s="28" t="s">
        <v>17</v>
      </c>
      <c r="BP33" s="28" t="s">
        <v>17</v>
      </c>
      <c r="BQ33" s="28" t="s">
        <v>17</v>
      </c>
    </row>
    <row r="34" spans="1:69" x14ac:dyDescent="0.3">
      <c r="A34" s="93"/>
      <c r="B34" s="93"/>
      <c r="C34" s="26">
        <v>44731.916666666664</v>
      </c>
      <c r="D34" s="37">
        <f t="shared" si="13"/>
        <v>0.20833333332848269</v>
      </c>
      <c r="E34" s="38">
        <f t="shared" si="12"/>
        <v>10.1875</v>
      </c>
      <c r="F34" s="5">
        <f t="shared" si="14"/>
        <v>10.1875</v>
      </c>
      <c r="G34" s="1">
        <f t="shared" si="0"/>
        <v>0</v>
      </c>
      <c r="H34" s="1">
        <f t="shared" si="1"/>
        <v>0</v>
      </c>
      <c r="I34" s="1">
        <f t="shared" si="2"/>
        <v>0</v>
      </c>
      <c r="J34" s="1">
        <f t="shared" si="3"/>
        <v>0</v>
      </c>
      <c r="K34" s="1">
        <f t="shared" si="4"/>
        <v>0</v>
      </c>
      <c r="L34" s="1">
        <f t="shared" si="5"/>
        <v>0</v>
      </c>
      <c r="M34" s="1">
        <f t="shared" si="6"/>
        <v>0</v>
      </c>
      <c r="O34" s="1">
        <f t="shared" si="7"/>
        <v>34</v>
      </c>
      <c r="P34" s="1">
        <f t="shared" si="8"/>
        <v>16</v>
      </c>
      <c r="Q34" s="1">
        <f t="shared" si="9"/>
        <v>0</v>
      </c>
      <c r="R34" s="1">
        <f t="shared" si="10"/>
        <v>0</v>
      </c>
      <c r="S34" s="1">
        <f t="shared" si="11"/>
        <v>0</v>
      </c>
      <c r="T34" s="28" t="s">
        <v>18</v>
      </c>
      <c r="U34" s="28" t="s">
        <v>18</v>
      </c>
      <c r="V34" s="28" t="s">
        <v>17</v>
      </c>
      <c r="W34" s="28" t="s">
        <v>17</v>
      </c>
      <c r="X34" s="28" t="s">
        <v>17</v>
      </c>
      <c r="Y34" s="28" t="s">
        <v>18</v>
      </c>
      <c r="Z34" s="28" t="s">
        <v>18</v>
      </c>
      <c r="AA34" s="28" t="s">
        <v>17</v>
      </c>
      <c r="AB34" s="28" t="s">
        <v>17</v>
      </c>
      <c r="AC34" s="28" t="s">
        <v>17</v>
      </c>
      <c r="AD34" s="28" t="s">
        <v>18</v>
      </c>
      <c r="AE34" s="28" t="s">
        <v>17</v>
      </c>
      <c r="AF34" s="28" t="s">
        <v>17</v>
      </c>
      <c r="AG34" s="28" t="s">
        <v>17</v>
      </c>
      <c r="AH34" s="28" t="s">
        <v>17</v>
      </c>
      <c r="AI34" s="28" t="s">
        <v>18</v>
      </c>
      <c r="AJ34" s="28" t="s">
        <v>18</v>
      </c>
      <c r="AK34" s="28" t="s">
        <v>17</v>
      </c>
      <c r="AL34" s="28" t="s">
        <v>17</v>
      </c>
      <c r="AM34" s="28" t="s">
        <v>17</v>
      </c>
      <c r="AN34" s="28" t="s">
        <v>17</v>
      </c>
      <c r="AO34" s="28" t="s">
        <v>17</v>
      </c>
      <c r="AP34" s="28" t="s">
        <v>17</v>
      </c>
      <c r="AQ34" s="28" t="s">
        <v>17</v>
      </c>
      <c r="AR34" s="28" t="s">
        <v>17</v>
      </c>
      <c r="AS34" s="28" t="s">
        <v>18</v>
      </c>
      <c r="AT34" s="28" t="s">
        <v>17</v>
      </c>
      <c r="AU34" s="28" t="s">
        <v>17</v>
      </c>
      <c r="AV34" s="28" t="s">
        <v>17</v>
      </c>
      <c r="AW34" s="28" t="s">
        <v>17</v>
      </c>
      <c r="AX34" s="28" t="s">
        <v>18</v>
      </c>
      <c r="AY34" s="28" t="s">
        <v>18</v>
      </c>
      <c r="AZ34" s="28" t="s">
        <v>17</v>
      </c>
      <c r="BA34" s="28" t="s">
        <v>17</v>
      </c>
      <c r="BB34" s="28" t="s">
        <v>17</v>
      </c>
      <c r="BC34" s="28" t="s">
        <v>18</v>
      </c>
      <c r="BD34" s="28" t="s">
        <v>18</v>
      </c>
      <c r="BE34" s="28" t="s">
        <v>17</v>
      </c>
      <c r="BF34" s="28" t="s">
        <v>17</v>
      </c>
      <c r="BG34" s="28" t="s">
        <v>17</v>
      </c>
      <c r="BH34" s="28" t="s">
        <v>18</v>
      </c>
      <c r="BI34" s="28" t="s">
        <v>18</v>
      </c>
      <c r="BJ34" s="28" t="s">
        <v>17</v>
      </c>
      <c r="BK34" s="28" t="s">
        <v>17</v>
      </c>
      <c r="BL34" s="28" t="s">
        <v>17</v>
      </c>
      <c r="BM34" s="28" t="s">
        <v>18</v>
      </c>
      <c r="BN34" s="28" t="s">
        <v>18</v>
      </c>
      <c r="BO34" s="28" t="s">
        <v>17</v>
      </c>
      <c r="BP34" s="28" t="s">
        <v>17</v>
      </c>
      <c r="BQ34" s="28" t="s">
        <v>17</v>
      </c>
    </row>
    <row r="36" spans="1:69" x14ac:dyDescent="0.3">
      <c r="N36" s="5"/>
    </row>
    <row r="37" spans="1:69" x14ac:dyDescent="0.3">
      <c r="N37" s="5"/>
    </row>
    <row r="38" spans="1:69" x14ac:dyDescent="0.3">
      <c r="N38" s="5"/>
    </row>
    <row r="39" spans="1:69" x14ac:dyDescent="0.3">
      <c r="N39" s="5"/>
    </row>
    <row r="40" spans="1:69" x14ac:dyDescent="0.3">
      <c r="N40" s="5"/>
    </row>
    <row r="41" spans="1:69" x14ac:dyDescent="0.3">
      <c r="N41" s="5"/>
    </row>
    <row r="42" spans="1:69" x14ac:dyDescent="0.3">
      <c r="N42" s="5"/>
    </row>
    <row r="43" spans="1:69" x14ac:dyDescent="0.3">
      <c r="N43" s="5"/>
    </row>
    <row r="44" spans="1:69" x14ac:dyDescent="0.3">
      <c r="N44" s="5"/>
    </row>
    <row r="45" spans="1:69" x14ac:dyDescent="0.3">
      <c r="N45" s="5"/>
    </row>
    <row r="46" spans="1:69" x14ac:dyDescent="0.3">
      <c r="N46" s="6"/>
    </row>
    <row r="47" spans="1:69" x14ac:dyDescent="0.3">
      <c r="N47" s="6"/>
    </row>
    <row r="48" spans="1:69" x14ac:dyDescent="0.3">
      <c r="N48" s="6"/>
    </row>
    <row r="49" spans="14:14" x14ac:dyDescent="0.3">
      <c r="N49" s="6"/>
    </row>
    <row r="50" spans="14:14" x14ac:dyDescent="0.3">
      <c r="N50" s="6"/>
    </row>
    <row r="51" spans="14:14" x14ac:dyDescent="0.3">
      <c r="N51" s="6"/>
    </row>
    <row r="52" spans="14:14" x14ac:dyDescent="0.3">
      <c r="N52" s="6"/>
    </row>
    <row r="53" spans="14:14" x14ac:dyDescent="0.3">
      <c r="N53" s="6"/>
    </row>
    <row r="54" spans="14:14" x14ac:dyDescent="0.3">
      <c r="N54" s="6"/>
    </row>
    <row r="55" spans="14:14" x14ac:dyDescent="0.3">
      <c r="N55" s="6"/>
    </row>
    <row r="56" spans="14:14" x14ac:dyDescent="0.3">
      <c r="N56" s="6"/>
    </row>
    <row r="57" spans="14:14" x14ac:dyDescent="0.3">
      <c r="N57" s="6"/>
    </row>
    <row r="58" spans="14:14" x14ac:dyDescent="0.3">
      <c r="N58" s="6"/>
    </row>
    <row r="59" spans="14:14" x14ac:dyDescent="0.3">
      <c r="N59" s="5"/>
    </row>
    <row r="60" spans="14:14" x14ac:dyDescent="0.3">
      <c r="N60" s="5"/>
    </row>
    <row r="61" spans="14:14" x14ac:dyDescent="0.3">
      <c r="N61" s="5"/>
    </row>
    <row r="62" spans="14:14" x14ac:dyDescent="0.3">
      <c r="N62" s="5"/>
    </row>
    <row r="63" spans="14:14" x14ac:dyDescent="0.3">
      <c r="N63" s="5"/>
    </row>
    <row r="64" spans="14:14" x14ac:dyDescent="0.3">
      <c r="N64" s="5"/>
    </row>
    <row r="65" spans="14:14" x14ac:dyDescent="0.3">
      <c r="N65" s="5"/>
    </row>
    <row r="66" spans="14:14" x14ac:dyDescent="0.3">
      <c r="N66" s="5"/>
    </row>
    <row r="67" spans="14:14" x14ac:dyDescent="0.3">
      <c r="N67" s="5"/>
    </row>
    <row r="69" spans="14:14" x14ac:dyDescent="0.3">
      <c r="N69" s="5"/>
    </row>
    <row r="70" spans="14:14" x14ac:dyDescent="0.3">
      <c r="N70" s="5"/>
    </row>
    <row r="71" spans="14:14" x14ac:dyDescent="0.3">
      <c r="N71" s="5"/>
    </row>
    <row r="72" spans="14:14" x14ac:dyDescent="0.3">
      <c r="N72" s="5"/>
    </row>
    <row r="73" spans="14:14" x14ac:dyDescent="0.3">
      <c r="N73" s="5"/>
    </row>
    <row r="74" spans="14:14" x14ac:dyDescent="0.3">
      <c r="N74" s="5"/>
    </row>
    <row r="75" spans="14:14" x14ac:dyDescent="0.3">
      <c r="N75" s="5"/>
    </row>
    <row r="76" spans="14:14" x14ac:dyDescent="0.3">
      <c r="N76" s="5"/>
    </row>
    <row r="77" spans="14:14" x14ac:dyDescent="0.3">
      <c r="N77" s="5"/>
    </row>
    <row r="78" spans="14:14" x14ac:dyDescent="0.3">
      <c r="N78" s="5"/>
    </row>
    <row r="79" spans="14:14" x14ac:dyDescent="0.3">
      <c r="N79" s="6"/>
    </row>
    <row r="80" spans="14:14" x14ac:dyDescent="0.3">
      <c r="N80" s="6"/>
    </row>
    <row r="81" spans="14:14" x14ac:dyDescent="0.3">
      <c r="N81" s="6"/>
    </row>
    <row r="82" spans="14:14" x14ac:dyDescent="0.3">
      <c r="N82" s="6"/>
    </row>
    <row r="83" spans="14:14" x14ac:dyDescent="0.3">
      <c r="N83" s="6"/>
    </row>
    <row r="84" spans="14:14" x14ac:dyDescent="0.3">
      <c r="N84" s="6"/>
    </row>
    <row r="85" spans="14:14" x14ac:dyDescent="0.3">
      <c r="N85" s="6"/>
    </row>
    <row r="86" spans="14:14" x14ac:dyDescent="0.3">
      <c r="N86" s="6"/>
    </row>
    <row r="87" spans="14:14" x14ac:dyDescent="0.3">
      <c r="N87" s="6"/>
    </row>
    <row r="88" spans="14:14" x14ac:dyDescent="0.3">
      <c r="N88" s="6"/>
    </row>
    <row r="89" spans="14:14" x14ac:dyDescent="0.3">
      <c r="N89" s="6"/>
    </row>
    <row r="90" spans="14:14" x14ac:dyDescent="0.3">
      <c r="N90" s="6"/>
    </row>
    <row r="91" spans="14:14" x14ac:dyDescent="0.3">
      <c r="N91" s="6"/>
    </row>
    <row r="92" spans="14:14" x14ac:dyDescent="0.3">
      <c r="N92" s="5"/>
    </row>
    <row r="93" spans="14:14" x14ac:dyDescent="0.3">
      <c r="N93" s="5"/>
    </row>
    <row r="94" spans="14:14" x14ac:dyDescent="0.3">
      <c r="N94" s="5"/>
    </row>
    <row r="95" spans="14:14" x14ac:dyDescent="0.3">
      <c r="N95" s="5"/>
    </row>
    <row r="96" spans="14:14" x14ac:dyDescent="0.3">
      <c r="N96" s="5"/>
    </row>
    <row r="97" spans="14:14" x14ac:dyDescent="0.3">
      <c r="N97" s="5"/>
    </row>
    <row r="98" spans="14:14" x14ac:dyDescent="0.3">
      <c r="N98" s="5"/>
    </row>
    <row r="99" spans="14:14" x14ac:dyDescent="0.3">
      <c r="N99" s="5"/>
    </row>
    <row r="100" spans="14:14" x14ac:dyDescent="0.3">
      <c r="N100" s="5"/>
    </row>
  </sheetData>
  <mergeCells count="29">
    <mergeCell ref="A1:A2"/>
    <mergeCell ref="B1:B2"/>
    <mergeCell ref="C1:C2"/>
    <mergeCell ref="D1:D2"/>
    <mergeCell ref="E1:E2"/>
    <mergeCell ref="A17:A19"/>
    <mergeCell ref="B17:B19"/>
    <mergeCell ref="A3:A4"/>
    <mergeCell ref="B3:B4"/>
    <mergeCell ref="A5:A7"/>
    <mergeCell ref="B5:B7"/>
    <mergeCell ref="A8:A10"/>
    <mergeCell ref="B8:B10"/>
    <mergeCell ref="T1:BQ2"/>
    <mergeCell ref="A29:A31"/>
    <mergeCell ref="B29:B31"/>
    <mergeCell ref="A32:A34"/>
    <mergeCell ref="B32:B34"/>
    <mergeCell ref="O1:S1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E306-3357-4BB3-9C02-02CE1012721E}">
  <dimension ref="A1:BQ82"/>
  <sheetViews>
    <sheetView zoomScale="85" zoomScaleNormal="85" workbookViewId="0">
      <selection activeCell="G10" sqref="G10:M10"/>
    </sheetView>
  </sheetViews>
  <sheetFormatPr defaultRowHeight="14.4" x14ac:dyDescent="0.3"/>
  <cols>
    <col min="3" max="3" width="17" bestFit="1" customWidth="1"/>
    <col min="4" max="4" width="11.6640625" customWidth="1"/>
    <col min="5" max="5" width="19.77734375" bestFit="1" customWidth="1"/>
    <col min="6" max="6" width="8.88671875" customWidth="1"/>
    <col min="14" max="14" width="2.33203125" customWidth="1"/>
  </cols>
  <sheetData>
    <row r="1" spans="1:69" x14ac:dyDescent="0.3">
      <c r="A1" s="93" t="s">
        <v>0</v>
      </c>
      <c r="B1" s="97" t="s">
        <v>31</v>
      </c>
      <c r="C1" s="98" t="s">
        <v>1</v>
      </c>
      <c r="D1" s="99" t="s">
        <v>23</v>
      </c>
      <c r="E1" s="99" t="s">
        <v>24</v>
      </c>
      <c r="F1" s="57" t="s">
        <v>25</v>
      </c>
      <c r="G1" s="56" t="s">
        <v>15</v>
      </c>
      <c r="H1" s="29"/>
      <c r="I1" s="29"/>
      <c r="J1" s="29"/>
      <c r="K1" s="29"/>
      <c r="L1" s="29"/>
      <c r="M1" s="29"/>
      <c r="N1" s="36"/>
      <c r="O1" s="89" t="s">
        <v>16</v>
      </c>
      <c r="P1" s="89"/>
      <c r="Q1" s="89"/>
      <c r="R1" s="89"/>
      <c r="S1" s="89"/>
      <c r="T1" s="100" t="s">
        <v>61</v>
      </c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</row>
    <row r="2" spans="1:69" x14ac:dyDescent="0.3">
      <c r="A2" s="93"/>
      <c r="B2" s="97"/>
      <c r="C2" s="98"/>
      <c r="D2" s="99"/>
      <c r="E2" s="99"/>
      <c r="F2" s="57"/>
      <c r="G2" s="24" t="s">
        <v>9</v>
      </c>
      <c r="H2" s="25" t="s">
        <v>5</v>
      </c>
      <c r="I2" s="16" t="s">
        <v>8</v>
      </c>
      <c r="J2" s="17" t="s">
        <v>10</v>
      </c>
      <c r="K2" s="18" t="s">
        <v>11</v>
      </c>
      <c r="L2" s="19" t="s">
        <v>13</v>
      </c>
      <c r="M2" s="20" t="s">
        <v>14</v>
      </c>
      <c r="N2" s="36"/>
      <c r="O2" s="24" t="s">
        <v>9</v>
      </c>
      <c r="P2" s="25" t="s">
        <v>5</v>
      </c>
      <c r="Q2" s="16" t="s">
        <v>8</v>
      </c>
      <c r="R2" s="17" t="s">
        <v>10</v>
      </c>
      <c r="S2" s="18" t="s">
        <v>11</v>
      </c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</row>
    <row r="3" spans="1:69" x14ac:dyDescent="0.3">
      <c r="B3" s="41">
        <v>1</v>
      </c>
      <c r="C3" t="s">
        <v>35</v>
      </c>
      <c r="D3" s="37">
        <v>0</v>
      </c>
      <c r="E3" s="42">
        <v>0</v>
      </c>
      <c r="F3" s="5">
        <v>0</v>
      </c>
      <c r="G3" s="1">
        <f>COUNTIF($T3:$BQ3, "E")</f>
        <v>50</v>
      </c>
      <c r="H3" s="1">
        <f>COUNTIF($T3:$BQ3, "L1")</f>
        <v>0</v>
      </c>
      <c r="I3" s="1">
        <f>COUNTIF($T3:$BQ3, "L2")</f>
        <v>0</v>
      </c>
      <c r="J3" s="1">
        <f>COUNTIF($T3:$BQ3, "L3")</f>
        <v>0</v>
      </c>
      <c r="K3" s="1">
        <f>COUNTIF($T3:$BQ3, "P")</f>
        <v>0</v>
      </c>
      <c r="L3" s="1">
        <f>COUNTIF($T3:$BQ3, "AM")</f>
        <v>0</v>
      </c>
      <c r="M3" s="1">
        <f>COUNTIF($T3:$BQ3, "AF")</f>
        <v>0</v>
      </c>
      <c r="O3" s="1">
        <f>COUNTIF($T3:$BQ3, "E_D")</f>
        <v>0</v>
      </c>
      <c r="P3" s="1">
        <f>COUNTIF($T3:$BQ3, "L1_D")</f>
        <v>0</v>
      </c>
      <c r="Q3" s="1">
        <f>COUNTIF($T3:$BQ3, "L2_D")</f>
        <v>0</v>
      </c>
      <c r="R3" s="1">
        <f>COUNTIF($T3:$BQ3, "L3_D")</f>
        <v>0</v>
      </c>
      <c r="S3" s="1">
        <f>COUNTIF($T3:$BQ3, "P_D")</f>
        <v>0</v>
      </c>
      <c r="T3" s="31" t="s">
        <v>4</v>
      </c>
      <c r="U3" s="31" t="s">
        <v>4</v>
      </c>
      <c r="V3" s="31" t="s">
        <v>4</v>
      </c>
      <c r="W3" s="31" t="s">
        <v>4</v>
      </c>
      <c r="X3" s="31" t="s">
        <v>4</v>
      </c>
      <c r="Y3" s="31" t="s">
        <v>4</v>
      </c>
      <c r="Z3" s="31" t="s">
        <v>4</v>
      </c>
      <c r="AA3" s="31" t="s">
        <v>4</v>
      </c>
      <c r="AB3" s="31" t="s">
        <v>4</v>
      </c>
      <c r="AC3" s="31" t="s">
        <v>4</v>
      </c>
      <c r="AD3" s="31" t="s">
        <v>4</v>
      </c>
      <c r="AE3" s="31" t="s">
        <v>4</v>
      </c>
      <c r="AF3" s="31" t="s">
        <v>4</v>
      </c>
      <c r="AG3" s="31" t="s">
        <v>4</v>
      </c>
      <c r="AH3" s="31" t="s">
        <v>4</v>
      </c>
      <c r="AI3" s="31" t="s">
        <v>4</v>
      </c>
      <c r="AJ3" s="31" t="s">
        <v>4</v>
      </c>
      <c r="AK3" s="31" t="s">
        <v>4</v>
      </c>
      <c r="AL3" s="31" t="s">
        <v>4</v>
      </c>
      <c r="AM3" s="31" t="s">
        <v>4</v>
      </c>
      <c r="AN3" s="31" t="s">
        <v>4</v>
      </c>
      <c r="AO3" s="31" t="s">
        <v>4</v>
      </c>
      <c r="AP3" s="31" t="s">
        <v>4</v>
      </c>
      <c r="AQ3" s="31" t="s">
        <v>4</v>
      </c>
      <c r="AR3" s="31" t="s">
        <v>4</v>
      </c>
      <c r="AS3" s="31" t="s">
        <v>4</v>
      </c>
      <c r="AT3" s="31" t="s">
        <v>4</v>
      </c>
      <c r="AU3" s="31" t="s">
        <v>4</v>
      </c>
      <c r="AV3" s="31" t="s">
        <v>4</v>
      </c>
      <c r="AW3" s="31" t="s">
        <v>4</v>
      </c>
      <c r="AX3" s="31" t="s">
        <v>4</v>
      </c>
      <c r="AY3" s="31" t="s">
        <v>4</v>
      </c>
      <c r="AZ3" s="31" t="s">
        <v>4</v>
      </c>
      <c r="BA3" s="31" t="s">
        <v>4</v>
      </c>
      <c r="BB3" s="31" t="s">
        <v>4</v>
      </c>
      <c r="BC3" s="31" t="s">
        <v>4</v>
      </c>
      <c r="BD3" s="31" t="s">
        <v>4</v>
      </c>
      <c r="BE3" s="31" t="s">
        <v>4</v>
      </c>
      <c r="BF3" s="31" t="s">
        <v>4</v>
      </c>
      <c r="BG3" s="31" t="s">
        <v>4</v>
      </c>
      <c r="BH3" s="31" t="s">
        <v>4</v>
      </c>
      <c r="BI3" s="31" t="s">
        <v>4</v>
      </c>
      <c r="BJ3" s="31" t="s">
        <v>4</v>
      </c>
      <c r="BK3" s="31" t="s">
        <v>4</v>
      </c>
      <c r="BL3" s="31" t="s">
        <v>4</v>
      </c>
      <c r="BM3" s="31" t="s">
        <v>4</v>
      </c>
      <c r="BN3" s="31" t="s">
        <v>4</v>
      </c>
      <c r="BO3" s="31" t="s">
        <v>4</v>
      </c>
      <c r="BP3" s="31" t="s">
        <v>4</v>
      </c>
      <c r="BQ3" s="31" t="s">
        <v>4</v>
      </c>
    </row>
    <row r="4" spans="1:69" x14ac:dyDescent="0.3">
      <c r="B4" s="41">
        <v>1</v>
      </c>
      <c r="C4" t="s">
        <v>36</v>
      </c>
      <c r="D4" s="43">
        <f>(C4-C3)</f>
        <v>4.1666666664241347E-2</v>
      </c>
      <c r="E4" s="42">
        <f>E3+D4</f>
        <v>4.1666666664241347E-2</v>
      </c>
      <c r="F4" s="5">
        <f>F3+D4</f>
        <v>4.1666666664241347E-2</v>
      </c>
      <c r="G4" s="1">
        <f t="shared" ref="G4:G28" si="0">COUNTIF($T4:$BQ4, "E")</f>
        <v>50</v>
      </c>
      <c r="H4" s="1">
        <f t="shared" ref="H4:H28" si="1">COUNTIF($T4:$BQ4, "L1")</f>
        <v>0</v>
      </c>
      <c r="I4" s="1">
        <f t="shared" ref="I4:I28" si="2">COUNTIF($T4:$BQ4, "L2")</f>
        <v>0</v>
      </c>
      <c r="J4" s="1">
        <f t="shared" ref="J4:J28" si="3">COUNTIF($T4:$BQ4, "L3")</f>
        <v>0</v>
      </c>
      <c r="K4" s="1">
        <f t="shared" ref="K4:K28" si="4">COUNTIF($T4:$BQ4, "P")</f>
        <v>0</v>
      </c>
      <c r="L4" s="1">
        <f t="shared" ref="L4:L28" si="5">COUNTIF($T4:$BQ4, "AM")</f>
        <v>0</v>
      </c>
      <c r="M4" s="1">
        <f t="shared" ref="M4:M28" si="6">COUNTIF($T4:$BQ4, "AF")</f>
        <v>0</v>
      </c>
      <c r="O4" s="1">
        <f t="shared" ref="O4:O28" si="7">COUNTIF($T4:$BQ4, "E_D")</f>
        <v>0</v>
      </c>
      <c r="P4" s="1">
        <f t="shared" ref="P4:P28" si="8">COUNTIF($T4:$BQ4, "L1_D")</f>
        <v>0</v>
      </c>
      <c r="Q4" s="1">
        <f t="shared" ref="Q4:Q28" si="9">COUNTIF($T4:$BQ4, "L2_D")</f>
        <v>0</v>
      </c>
      <c r="R4" s="1">
        <f t="shared" ref="R4:R28" si="10">COUNTIF($T4:$BQ4, "L3_D")</f>
        <v>0</v>
      </c>
      <c r="S4" s="1">
        <f t="shared" ref="S4:S28" si="11">COUNTIF($T4:$BQ4, "P_D")</f>
        <v>0</v>
      </c>
      <c r="T4" s="31" t="s">
        <v>4</v>
      </c>
      <c r="U4" s="31" t="s">
        <v>4</v>
      </c>
      <c r="V4" s="31" t="s">
        <v>4</v>
      </c>
      <c r="W4" s="31" t="s">
        <v>4</v>
      </c>
      <c r="X4" s="31" t="s">
        <v>4</v>
      </c>
      <c r="Y4" s="31" t="s">
        <v>4</v>
      </c>
      <c r="Z4" s="31" t="s">
        <v>4</v>
      </c>
      <c r="AA4" s="31" t="s">
        <v>4</v>
      </c>
      <c r="AB4" s="31" t="s">
        <v>4</v>
      </c>
      <c r="AC4" s="31" t="s">
        <v>4</v>
      </c>
      <c r="AD4" s="31" t="s">
        <v>4</v>
      </c>
      <c r="AE4" s="31" t="s">
        <v>4</v>
      </c>
      <c r="AF4" s="31" t="s">
        <v>4</v>
      </c>
      <c r="AG4" s="31" t="s">
        <v>4</v>
      </c>
      <c r="AH4" s="31" t="s">
        <v>4</v>
      </c>
      <c r="AI4" s="31" t="s">
        <v>4</v>
      </c>
      <c r="AJ4" s="31" t="s">
        <v>4</v>
      </c>
      <c r="AK4" s="31" t="s">
        <v>4</v>
      </c>
      <c r="AL4" s="31" t="s">
        <v>4</v>
      </c>
      <c r="AM4" s="31" t="s">
        <v>4</v>
      </c>
      <c r="AN4" s="31" t="s">
        <v>4</v>
      </c>
      <c r="AO4" s="31" t="s">
        <v>4</v>
      </c>
      <c r="AP4" s="31" t="s">
        <v>4</v>
      </c>
      <c r="AQ4" s="31" t="s">
        <v>4</v>
      </c>
      <c r="AR4" s="31" t="s">
        <v>4</v>
      </c>
      <c r="AS4" s="31" t="s">
        <v>4</v>
      </c>
      <c r="AT4" s="31" t="s">
        <v>4</v>
      </c>
      <c r="AU4" s="31" t="s">
        <v>4</v>
      </c>
      <c r="AV4" s="31" t="s">
        <v>4</v>
      </c>
      <c r="AW4" s="31" t="s">
        <v>4</v>
      </c>
      <c r="AX4" s="31" t="s">
        <v>4</v>
      </c>
      <c r="AY4" s="31" t="s">
        <v>4</v>
      </c>
      <c r="AZ4" s="31" t="s">
        <v>4</v>
      </c>
      <c r="BA4" s="31" t="s">
        <v>4</v>
      </c>
      <c r="BB4" s="31" t="s">
        <v>4</v>
      </c>
      <c r="BC4" s="31" t="s">
        <v>4</v>
      </c>
      <c r="BD4" s="31" t="s">
        <v>4</v>
      </c>
      <c r="BE4" s="31" t="s">
        <v>4</v>
      </c>
      <c r="BF4" s="31" t="s">
        <v>4</v>
      </c>
      <c r="BG4" s="31" t="s">
        <v>4</v>
      </c>
      <c r="BH4" s="31" t="s">
        <v>4</v>
      </c>
      <c r="BI4" s="31" t="s">
        <v>4</v>
      </c>
      <c r="BJ4" s="31" t="s">
        <v>4</v>
      </c>
      <c r="BK4" s="31" t="s">
        <v>4</v>
      </c>
      <c r="BL4" s="31" t="s">
        <v>4</v>
      </c>
      <c r="BM4" s="31" t="s">
        <v>4</v>
      </c>
      <c r="BN4" s="31" t="s">
        <v>4</v>
      </c>
      <c r="BO4" s="31" t="s">
        <v>4</v>
      </c>
      <c r="BP4" s="31" t="s">
        <v>4</v>
      </c>
      <c r="BQ4" s="31" t="s">
        <v>4</v>
      </c>
    </row>
    <row r="5" spans="1:69" x14ac:dyDescent="0.3">
      <c r="B5" s="41">
        <v>1</v>
      </c>
      <c r="C5" t="s">
        <v>37</v>
      </c>
      <c r="D5" s="43">
        <f>(C5-C4)</f>
        <v>4.1666666671517305E-2</v>
      </c>
      <c r="E5" s="42">
        <f t="shared" ref="E5:E28" si="12">E4+D5</f>
        <v>8.3333333335758653E-2</v>
      </c>
      <c r="F5" s="5">
        <f t="shared" ref="F4:F10" si="13">F4+D5</f>
        <v>8.3333333335758653E-2</v>
      </c>
      <c r="G5" s="1">
        <f t="shared" si="0"/>
        <v>50</v>
      </c>
      <c r="H5" s="1">
        <f t="shared" si="1"/>
        <v>0</v>
      </c>
      <c r="I5" s="1">
        <f t="shared" si="2"/>
        <v>0</v>
      </c>
      <c r="J5" s="1">
        <f t="shared" si="3"/>
        <v>0</v>
      </c>
      <c r="K5" s="1">
        <f t="shared" si="4"/>
        <v>0</v>
      </c>
      <c r="L5" s="1">
        <f t="shared" si="5"/>
        <v>0</v>
      </c>
      <c r="M5" s="1">
        <f t="shared" si="6"/>
        <v>0</v>
      </c>
      <c r="O5" s="1">
        <f t="shared" si="7"/>
        <v>0</v>
      </c>
      <c r="P5" s="1">
        <f t="shared" si="8"/>
        <v>0</v>
      </c>
      <c r="Q5" s="1">
        <f t="shared" si="9"/>
        <v>0</v>
      </c>
      <c r="R5" s="1">
        <f t="shared" si="10"/>
        <v>0</v>
      </c>
      <c r="S5" s="1">
        <f t="shared" si="11"/>
        <v>0</v>
      </c>
      <c r="T5" s="31" t="s">
        <v>4</v>
      </c>
      <c r="U5" s="31" t="s">
        <v>4</v>
      </c>
      <c r="V5" s="31" t="s">
        <v>4</v>
      </c>
      <c r="W5" s="31" t="s">
        <v>4</v>
      </c>
      <c r="X5" s="31" t="s">
        <v>4</v>
      </c>
      <c r="Y5" s="31" t="s">
        <v>4</v>
      </c>
      <c r="Z5" s="31" t="s">
        <v>4</v>
      </c>
      <c r="AA5" s="31" t="s">
        <v>4</v>
      </c>
      <c r="AB5" s="31" t="s">
        <v>4</v>
      </c>
      <c r="AC5" s="31" t="s">
        <v>4</v>
      </c>
      <c r="AD5" s="31" t="s">
        <v>4</v>
      </c>
      <c r="AE5" s="31" t="s">
        <v>4</v>
      </c>
      <c r="AF5" s="31" t="s">
        <v>4</v>
      </c>
      <c r="AG5" s="31" t="s">
        <v>4</v>
      </c>
      <c r="AH5" s="31" t="s">
        <v>4</v>
      </c>
      <c r="AI5" s="31" t="s">
        <v>4</v>
      </c>
      <c r="AJ5" s="31" t="s">
        <v>4</v>
      </c>
      <c r="AK5" s="31" t="s">
        <v>4</v>
      </c>
      <c r="AL5" s="31" t="s">
        <v>4</v>
      </c>
      <c r="AM5" s="31" t="s">
        <v>4</v>
      </c>
      <c r="AN5" s="31" t="s">
        <v>4</v>
      </c>
      <c r="AO5" s="31" t="s">
        <v>4</v>
      </c>
      <c r="AP5" s="31" t="s">
        <v>4</v>
      </c>
      <c r="AQ5" s="31" t="s">
        <v>4</v>
      </c>
      <c r="AR5" s="31" t="s">
        <v>4</v>
      </c>
      <c r="AS5" s="31" t="s">
        <v>4</v>
      </c>
      <c r="AT5" s="31" t="s">
        <v>4</v>
      </c>
      <c r="AU5" s="31" t="s">
        <v>4</v>
      </c>
      <c r="AV5" s="31" t="s">
        <v>4</v>
      </c>
      <c r="AW5" s="31" t="s">
        <v>4</v>
      </c>
      <c r="AX5" s="31" t="s">
        <v>4</v>
      </c>
      <c r="AY5" s="31" t="s">
        <v>4</v>
      </c>
      <c r="AZ5" s="31" t="s">
        <v>4</v>
      </c>
      <c r="BA5" s="31" t="s">
        <v>4</v>
      </c>
      <c r="BB5" s="31" t="s">
        <v>4</v>
      </c>
      <c r="BC5" s="31" t="s">
        <v>4</v>
      </c>
      <c r="BD5" s="31" t="s">
        <v>4</v>
      </c>
      <c r="BE5" s="31" t="s">
        <v>4</v>
      </c>
      <c r="BF5" s="31" t="s">
        <v>4</v>
      </c>
      <c r="BG5" s="31" t="s">
        <v>4</v>
      </c>
      <c r="BH5" s="31" t="s">
        <v>4</v>
      </c>
      <c r="BI5" s="31" t="s">
        <v>4</v>
      </c>
      <c r="BJ5" s="31" t="s">
        <v>4</v>
      </c>
      <c r="BK5" s="31" t="s">
        <v>4</v>
      </c>
      <c r="BL5" s="31" t="s">
        <v>4</v>
      </c>
      <c r="BM5" s="31" t="s">
        <v>4</v>
      </c>
      <c r="BN5" s="31" t="s">
        <v>4</v>
      </c>
      <c r="BO5" s="31" t="s">
        <v>4</v>
      </c>
      <c r="BP5" s="31" t="s">
        <v>4</v>
      </c>
      <c r="BQ5" s="31" t="s">
        <v>4</v>
      </c>
    </row>
    <row r="6" spans="1:69" x14ac:dyDescent="0.3">
      <c r="B6" s="41">
        <v>1</v>
      </c>
      <c r="C6" t="s">
        <v>38</v>
      </c>
      <c r="D6" s="43">
        <f>(C6-C5)</f>
        <v>4.1666666664241347E-2</v>
      </c>
      <c r="E6" s="42">
        <f t="shared" si="12"/>
        <v>0.125</v>
      </c>
      <c r="F6" s="5">
        <f t="shared" si="13"/>
        <v>0.125</v>
      </c>
      <c r="G6" s="1">
        <f t="shared" si="0"/>
        <v>49</v>
      </c>
      <c r="H6" s="1">
        <f t="shared" si="1"/>
        <v>1</v>
      </c>
      <c r="I6" s="1">
        <f t="shared" si="2"/>
        <v>0</v>
      </c>
      <c r="J6" s="1">
        <f t="shared" si="3"/>
        <v>0</v>
      </c>
      <c r="K6" s="1">
        <f t="shared" si="4"/>
        <v>0</v>
      </c>
      <c r="L6" s="1">
        <f t="shared" si="5"/>
        <v>0</v>
      </c>
      <c r="M6" s="1">
        <f t="shared" si="6"/>
        <v>0</v>
      </c>
      <c r="O6" s="1">
        <f t="shared" si="7"/>
        <v>0</v>
      </c>
      <c r="P6" s="1">
        <f t="shared" si="8"/>
        <v>0</v>
      </c>
      <c r="Q6" s="1">
        <f t="shared" si="9"/>
        <v>0</v>
      </c>
      <c r="R6" s="1">
        <f t="shared" si="10"/>
        <v>0</v>
      </c>
      <c r="S6" s="1">
        <f t="shared" si="11"/>
        <v>0</v>
      </c>
      <c r="T6" s="31" t="s">
        <v>5</v>
      </c>
      <c r="U6" s="31" t="s">
        <v>4</v>
      </c>
      <c r="V6" s="31" t="s">
        <v>4</v>
      </c>
      <c r="W6" s="31" t="s">
        <v>4</v>
      </c>
      <c r="X6" s="31" t="s">
        <v>4</v>
      </c>
      <c r="Y6" s="31" t="s">
        <v>4</v>
      </c>
      <c r="Z6" s="31" t="s">
        <v>4</v>
      </c>
      <c r="AA6" s="31" t="s">
        <v>4</v>
      </c>
      <c r="AB6" s="31" t="s">
        <v>4</v>
      </c>
      <c r="AC6" s="31" t="s">
        <v>4</v>
      </c>
      <c r="AD6" s="31" t="s">
        <v>4</v>
      </c>
      <c r="AE6" s="31" t="s">
        <v>4</v>
      </c>
      <c r="AF6" s="31" t="s">
        <v>4</v>
      </c>
      <c r="AG6" s="31" t="s">
        <v>4</v>
      </c>
      <c r="AH6" s="31" t="s">
        <v>4</v>
      </c>
      <c r="AI6" s="31" t="s">
        <v>4</v>
      </c>
      <c r="AJ6" s="31" t="s">
        <v>4</v>
      </c>
      <c r="AK6" s="31" t="s">
        <v>4</v>
      </c>
      <c r="AL6" s="31" t="s">
        <v>4</v>
      </c>
      <c r="AM6" s="31" t="s">
        <v>4</v>
      </c>
      <c r="AN6" s="31" t="s">
        <v>4</v>
      </c>
      <c r="AO6" s="31" t="s">
        <v>4</v>
      </c>
      <c r="AP6" s="31" t="s">
        <v>4</v>
      </c>
      <c r="AQ6" s="31" t="s">
        <v>4</v>
      </c>
      <c r="AR6" s="31" t="s">
        <v>4</v>
      </c>
      <c r="AS6" s="31" t="s">
        <v>4</v>
      </c>
      <c r="AT6" s="31" t="s">
        <v>4</v>
      </c>
      <c r="AU6" s="31" t="s">
        <v>4</v>
      </c>
      <c r="AV6" s="31" t="s">
        <v>4</v>
      </c>
      <c r="AW6" s="31" t="s">
        <v>4</v>
      </c>
      <c r="AX6" s="31" t="s">
        <v>4</v>
      </c>
      <c r="AY6" s="31" t="s">
        <v>4</v>
      </c>
      <c r="AZ6" s="31" t="s">
        <v>4</v>
      </c>
      <c r="BA6" s="31" t="s">
        <v>4</v>
      </c>
      <c r="BB6" s="31" t="s">
        <v>4</v>
      </c>
      <c r="BC6" s="31" t="s">
        <v>4</v>
      </c>
      <c r="BD6" s="31" t="s">
        <v>4</v>
      </c>
      <c r="BE6" s="31" t="s">
        <v>4</v>
      </c>
      <c r="BF6" s="31" t="s">
        <v>4</v>
      </c>
      <c r="BG6" s="31" t="s">
        <v>4</v>
      </c>
      <c r="BH6" s="31" t="s">
        <v>4</v>
      </c>
      <c r="BI6" s="31" t="s">
        <v>4</v>
      </c>
      <c r="BJ6" s="31" t="s">
        <v>4</v>
      </c>
      <c r="BK6" s="31" t="s">
        <v>4</v>
      </c>
      <c r="BL6" s="31" t="s">
        <v>4</v>
      </c>
      <c r="BM6" s="31" t="s">
        <v>4</v>
      </c>
      <c r="BN6" s="31" t="s">
        <v>4</v>
      </c>
      <c r="BO6" s="31" t="s">
        <v>4</v>
      </c>
      <c r="BP6" s="31" t="s">
        <v>4</v>
      </c>
      <c r="BQ6" s="31" t="s">
        <v>4</v>
      </c>
    </row>
    <row r="7" spans="1:69" x14ac:dyDescent="0.3">
      <c r="B7" s="41">
        <v>1</v>
      </c>
      <c r="C7" t="s">
        <v>39</v>
      </c>
      <c r="D7" s="43">
        <f t="shared" ref="D7:D28" si="14">(C7-C6)</f>
        <v>4.1666666664241347E-2</v>
      </c>
      <c r="E7" s="42">
        <f t="shared" si="12"/>
        <v>0.16666666666424135</v>
      </c>
      <c r="F7" s="5">
        <f t="shared" si="13"/>
        <v>0.16666666666424135</v>
      </c>
      <c r="G7" s="1">
        <f t="shared" si="0"/>
        <v>48</v>
      </c>
      <c r="H7" s="1">
        <f t="shared" si="1"/>
        <v>2</v>
      </c>
      <c r="I7" s="1">
        <f t="shared" si="2"/>
        <v>0</v>
      </c>
      <c r="J7" s="1">
        <f t="shared" si="3"/>
        <v>0</v>
      </c>
      <c r="K7" s="1">
        <f t="shared" si="4"/>
        <v>0</v>
      </c>
      <c r="L7" s="1">
        <f t="shared" si="5"/>
        <v>0</v>
      </c>
      <c r="M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">
        <f t="shared" si="10"/>
        <v>0</v>
      </c>
      <c r="S7" s="1">
        <f t="shared" si="11"/>
        <v>0</v>
      </c>
      <c r="T7" s="31" t="s">
        <v>5</v>
      </c>
      <c r="U7" s="31" t="s">
        <v>4</v>
      </c>
      <c r="V7" s="31" t="s">
        <v>4</v>
      </c>
      <c r="W7" s="31" t="s">
        <v>4</v>
      </c>
      <c r="X7" s="31" t="s">
        <v>4</v>
      </c>
      <c r="Y7" s="31" t="s">
        <v>4</v>
      </c>
      <c r="Z7" s="31" t="s">
        <v>4</v>
      </c>
      <c r="AA7" s="31" t="s">
        <v>4</v>
      </c>
      <c r="AB7" s="31" t="s">
        <v>4</v>
      </c>
      <c r="AC7" s="31" t="s">
        <v>4</v>
      </c>
      <c r="AD7" s="31" t="s">
        <v>5</v>
      </c>
      <c r="AE7" s="31" t="s">
        <v>4</v>
      </c>
      <c r="AF7" s="31" t="s">
        <v>4</v>
      </c>
      <c r="AG7" s="31" t="s">
        <v>4</v>
      </c>
      <c r="AH7" s="31" t="s">
        <v>4</v>
      </c>
      <c r="AI7" s="31" t="s">
        <v>4</v>
      </c>
      <c r="AJ7" s="31" t="s">
        <v>4</v>
      </c>
      <c r="AK7" s="31" t="s">
        <v>4</v>
      </c>
      <c r="AL7" s="31" t="s">
        <v>4</v>
      </c>
      <c r="AM7" s="31" t="s">
        <v>4</v>
      </c>
      <c r="AN7" s="31" t="s">
        <v>4</v>
      </c>
      <c r="AO7" s="31" t="s">
        <v>4</v>
      </c>
      <c r="AP7" s="31" t="s">
        <v>4</v>
      </c>
      <c r="AQ7" s="31" t="s">
        <v>4</v>
      </c>
      <c r="AR7" s="31" t="s">
        <v>4</v>
      </c>
      <c r="AS7" s="31" t="s">
        <v>4</v>
      </c>
      <c r="AT7" s="31" t="s">
        <v>4</v>
      </c>
      <c r="AU7" s="31" t="s">
        <v>4</v>
      </c>
      <c r="AV7" s="31" t="s">
        <v>4</v>
      </c>
      <c r="AW7" s="31" t="s">
        <v>4</v>
      </c>
      <c r="AX7" s="31" t="s">
        <v>4</v>
      </c>
      <c r="AY7" s="31" t="s">
        <v>4</v>
      </c>
      <c r="AZ7" s="31" t="s">
        <v>4</v>
      </c>
      <c r="BA7" s="31" t="s">
        <v>4</v>
      </c>
      <c r="BB7" s="31" t="s">
        <v>4</v>
      </c>
      <c r="BC7" s="31" t="s">
        <v>4</v>
      </c>
      <c r="BD7" s="31" t="s">
        <v>4</v>
      </c>
      <c r="BE7" s="31" t="s">
        <v>4</v>
      </c>
      <c r="BF7" s="31" t="s">
        <v>4</v>
      </c>
      <c r="BG7" s="31" t="s">
        <v>4</v>
      </c>
      <c r="BH7" s="31" t="s">
        <v>4</v>
      </c>
      <c r="BI7" s="31" t="s">
        <v>4</v>
      </c>
      <c r="BJ7" s="31" t="s">
        <v>4</v>
      </c>
      <c r="BK7" s="31" t="s">
        <v>4</v>
      </c>
      <c r="BL7" s="31" t="s">
        <v>4</v>
      </c>
      <c r="BM7" s="31" t="s">
        <v>4</v>
      </c>
      <c r="BN7" s="31" t="s">
        <v>4</v>
      </c>
      <c r="BO7" s="31" t="s">
        <v>4</v>
      </c>
      <c r="BP7" s="31" t="s">
        <v>4</v>
      </c>
      <c r="BQ7" s="31" t="s">
        <v>4</v>
      </c>
    </row>
    <row r="8" spans="1:69" x14ac:dyDescent="0.3">
      <c r="B8" s="41">
        <v>1</v>
      </c>
      <c r="C8" t="s">
        <v>40</v>
      </c>
      <c r="D8" s="43">
        <f t="shared" si="14"/>
        <v>4.1666666671517305E-2</v>
      </c>
      <c r="E8" s="42">
        <f t="shared" si="12"/>
        <v>0.20833333333575865</v>
      </c>
      <c r="F8" s="5">
        <f t="shared" si="13"/>
        <v>0.20833333333575865</v>
      </c>
      <c r="G8" s="1">
        <f t="shared" si="0"/>
        <v>48</v>
      </c>
      <c r="H8" s="1">
        <f t="shared" si="1"/>
        <v>2</v>
      </c>
      <c r="I8" s="1">
        <f t="shared" si="2"/>
        <v>0</v>
      </c>
      <c r="J8" s="1">
        <f t="shared" si="3"/>
        <v>0</v>
      </c>
      <c r="K8" s="1">
        <f t="shared" si="4"/>
        <v>0</v>
      </c>
      <c r="L8" s="1">
        <f t="shared" si="5"/>
        <v>0</v>
      </c>
      <c r="M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">
        <f t="shared" si="10"/>
        <v>0</v>
      </c>
      <c r="S8" s="1">
        <f t="shared" si="11"/>
        <v>0</v>
      </c>
      <c r="T8" s="31" t="s">
        <v>5</v>
      </c>
      <c r="U8" s="31" t="s">
        <v>4</v>
      </c>
      <c r="V8" s="31" t="s">
        <v>4</v>
      </c>
      <c r="W8" s="31" t="s">
        <v>4</v>
      </c>
      <c r="X8" s="31" t="s">
        <v>4</v>
      </c>
      <c r="Y8" s="31" t="s">
        <v>4</v>
      </c>
      <c r="Z8" s="31" t="s">
        <v>4</v>
      </c>
      <c r="AA8" s="31" t="s">
        <v>4</v>
      </c>
      <c r="AB8" s="31" t="s">
        <v>4</v>
      </c>
      <c r="AC8" s="31" t="s">
        <v>4</v>
      </c>
      <c r="AD8" s="31" t="s">
        <v>5</v>
      </c>
      <c r="AE8" s="31" t="s">
        <v>4</v>
      </c>
      <c r="AF8" s="31" t="s">
        <v>4</v>
      </c>
      <c r="AG8" s="31" t="s">
        <v>4</v>
      </c>
      <c r="AH8" s="31" t="s">
        <v>4</v>
      </c>
      <c r="AI8" s="31" t="s">
        <v>4</v>
      </c>
      <c r="AJ8" s="31" t="s">
        <v>4</v>
      </c>
      <c r="AK8" s="31" t="s">
        <v>4</v>
      </c>
      <c r="AL8" s="31" t="s">
        <v>4</v>
      </c>
      <c r="AM8" s="31" t="s">
        <v>4</v>
      </c>
      <c r="AN8" s="31" t="s">
        <v>4</v>
      </c>
      <c r="AO8" s="31" t="s">
        <v>4</v>
      </c>
      <c r="AP8" s="31" t="s">
        <v>4</v>
      </c>
      <c r="AQ8" s="31" t="s">
        <v>4</v>
      </c>
      <c r="AR8" s="31" t="s">
        <v>4</v>
      </c>
      <c r="AS8" s="31" t="s">
        <v>4</v>
      </c>
      <c r="AT8" s="31" t="s">
        <v>4</v>
      </c>
      <c r="AU8" s="31" t="s">
        <v>4</v>
      </c>
      <c r="AV8" s="31" t="s">
        <v>4</v>
      </c>
      <c r="AW8" s="31" t="s">
        <v>4</v>
      </c>
      <c r="AX8" s="31" t="s">
        <v>4</v>
      </c>
      <c r="AY8" s="31" t="s">
        <v>4</v>
      </c>
      <c r="AZ8" s="31" t="s">
        <v>4</v>
      </c>
      <c r="BA8" s="31" t="s">
        <v>4</v>
      </c>
      <c r="BB8" s="31" t="s">
        <v>4</v>
      </c>
      <c r="BC8" s="31" t="s">
        <v>4</v>
      </c>
      <c r="BD8" s="31" t="s">
        <v>4</v>
      </c>
      <c r="BE8" s="31" t="s">
        <v>4</v>
      </c>
      <c r="BF8" s="31" t="s">
        <v>4</v>
      </c>
      <c r="BG8" s="31" t="s">
        <v>4</v>
      </c>
      <c r="BH8" s="31" t="s">
        <v>4</v>
      </c>
      <c r="BI8" s="31" t="s">
        <v>4</v>
      </c>
      <c r="BJ8" s="31" t="s">
        <v>4</v>
      </c>
      <c r="BK8" s="31" t="s">
        <v>4</v>
      </c>
      <c r="BL8" s="31" t="s">
        <v>4</v>
      </c>
      <c r="BM8" s="31" t="s">
        <v>4</v>
      </c>
      <c r="BN8" s="31" t="s">
        <v>4</v>
      </c>
      <c r="BO8" s="31" t="s">
        <v>4</v>
      </c>
      <c r="BP8" s="31" t="s">
        <v>4</v>
      </c>
      <c r="BQ8" s="31" t="s">
        <v>4</v>
      </c>
    </row>
    <row r="9" spans="1:69" x14ac:dyDescent="0.3">
      <c r="B9" s="41">
        <v>1</v>
      </c>
      <c r="C9" t="s">
        <v>41</v>
      </c>
      <c r="D9" s="43">
        <f t="shared" si="14"/>
        <v>4.1666666664241347E-2</v>
      </c>
      <c r="E9" s="42">
        <f>E8+D9</f>
        <v>0.25</v>
      </c>
      <c r="F9" s="5">
        <f t="shared" si="13"/>
        <v>0.25</v>
      </c>
      <c r="G9" s="1">
        <f t="shared" si="0"/>
        <v>48</v>
      </c>
      <c r="H9" s="1">
        <f t="shared" si="1"/>
        <v>2</v>
      </c>
      <c r="I9" s="1">
        <f t="shared" si="2"/>
        <v>0</v>
      </c>
      <c r="J9" s="1">
        <f t="shared" si="3"/>
        <v>0</v>
      </c>
      <c r="K9" s="1">
        <f t="shared" si="4"/>
        <v>0</v>
      </c>
      <c r="L9" s="1">
        <f t="shared" si="5"/>
        <v>0</v>
      </c>
      <c r="M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">
        <f t="shared" si="10"/>
        <v>0</v>
      </c>
      <c r="S9" s="1">
        <f t="shared" si="11"/>
        <v>0</v>
      </c>
      <c r="T9" s="31" t="s">
        <v>5</v>
      </c>
      <c r="U9" s="31" t="s">
        <v>4</v>
      </c>
      <c r="V9" s="31" t="s">
        <v>4</v>
      </c>
      <c r="W9" s="31" t="s">
        <v>4</v>
      </c>
      <c r="X9" s="31" t="s">
        <v>4</v>
      </c>
      <c r="Y9" s="31" t="s">
        <v>4</v>
      </c>
      <c r="Z9" s="31" t="s">
        <v>4</v>
      </c>
      <c r="AA9" s="31" t="s">
        <v>4</v>
      </c>
      <c r="AB9" s="31" t="s">
        <v>4</v>
      </c>
      <c r="AC9" s="31" t="s">
        <v>4</v>
      </c>
      <c r="AD9" s="31" t="s">
        <v>5</v>
      </c>
      <c r="AE9" s="31" t="s">
        <v>4</v>
      </c>
      <c r="AF9" s="31" t="s">
        <v>4</v>
      </c>
      <c r="AG9" s="31" t="s">
        <v>4</v>
      </c>
      <c r="AH9" s="31" t="s">
        <v>4</v>
      </c>
      <c r="AI9" s="31" t="s">
        <v>4</v>
      </c>
      <c r="AJ9" s="31" t="s">
        <v>4</v>
      </c>
      <c r="AK9" s="31" t="s">
        <v>4</v>
      </c>
      <c r="AL9" s="31" t="s">
        <v>4</v>
      </c>
      <c r="AM9" s="31" t="s">
        <v>4</v>
      </c>
      <c r="AN9" s="31" t="s">
        <v>4</v>
      </c>
      <c r="AO9" s="31" t="s">
        <v>4</v>
      </c>
      <c r="AP9" s="31" t="s">
        <v>4</v>
      </c>
      <c r="AQ9" s="31" t="s">
        <v>4</v>
      </c>
      <c r="AR9" s="31" t="s">
        <v>4</v>
      </c>
      <c r="AS9" s="31" t="s">
        <v>4</v>
      </c>
      <c r="AT9" s="31" t="s">
        <v>4</v>
      </c>
      <c r="AU9" s="31" t="s">
        <v>4</v>
      </c>
      <c r="AV9" s="31" t="s">
        <v>4</v>
      </c>
      <c r="AW9" s="31" t="s">
        <v>4</v>
      </c>
      <c r="AX9" s="31" t="s">
        <v>4</v>
      </c>
      <c r="AY9" s="31" t="s">
        <v>4</v>
      </c>
      <c r="AZ9" s="31" t="s">
        <v>4</v>
      </c>
      <c r="BA9" s="31" t="s">
        <v>4</v>
      </c>
      <c r="BB9" s="31" t="s">
        <v>4</v>
      </c>
      <c r="BC9" s="31" t="s">
        <v>4</v>
      </c>
      <c r="BD9" s="31" t="s">
        <v>4</v>
      </c>
      <c r="BE9" s="31" t="s">
        <v>4</v>
      </c>
      <c r="BF9" s="31" t="s">
        <v>4</v>
      </c>
      <c r="BG9" s="31" t="s">
        <v>4</v>
      </c>
      <c r="BH9" s="31" t="s">
        <v>4</v>
      </c>
      <c r="BI9" s="31" t="s">
        <v>4</v>
      </c>
      <c r="BJ9" s="31" t="s">
        <v>4</v>
      </c>
      <c r="BK9" s="31" t="s">
        <v>4</v>
      </c>
      <c r="BL9" s="31" t="s">
        <v>4</v>
      </c>
      <c r="BM9" s="31" t="s">
        <v>4</v>
      </c>
      <c r="BN9" s="31" t="s">
        <v>4</v>
      </c>
      <c r="BO9" s="31" t="s">
        <v>4</v>
      </c>
      <c r="BP9" s="31" t="s">
        <v>4</v>
      </c>
      <c r="BQ9" s="31" t="s">
        <v>4</v>
      </c>
    </row>
    <row r="10" spans="1:69" x14ac:dyDescent="0.3">
      <c r="B10" s="41">
        <v>1</v>
      </c>
      <c r="C10" t="s">
        <v>42</v>
      </c>
      <c r="D10" s="43">
        <f t="shared" si="14"/>
        <v>4.1666666664241347E-2</v>
      </c>
      <c r="E10" s="44">
        <f>E9+D10</f>
        <v>0.29166666666424135</v>
      </c>
      <c r="F10" s="5">
        <f t="shared" si="13"/>
        <v>0.29166666666424135</v>
      </c>
      <c r="G10" s="1">
        <f t="shared" si="0"/>
        <v>40</v>
      </c>
      <c r="H10" s="1">
        <f t="shared" si="1"/>
        <v>2</v>
      </c>
      <c r="I10" s="1">
        <f t="shared" si="2"/>
        <v>0</v>
      </c>
      <c r="J10" s="1">
        <f t="shared" si="3"/>
        <v>0</v>
      </c>
      <c r="K10" s="1">
        <f t="shared" si="4"/>
        <v>0</v>
      </c>
      <c r="L10" s="1">
        <f t="shared" si="5"/>
        <v>0</v>
      </c>
      <c r="M10" s="1">
        <f t="shared" si="6"/>
        <v>0</v>
      </c>
      <c r="O10" s="1">
        <f t="shared" si="7"/>
        <v>8</v>
      </c>
      <c r="P10" s="1">
        <f t="shared" si="8"/>
        <v>0</v>
      </c>
      <c r="Q10" s="1">
        <f t="shared" si="9"/>
        <v>0</v>
      </c>
      <c r="R10" s="1">
        <f t="shared" si="10"/>
        <v>0</v>
      </c>
      <c r="S10" s="1">
        <f t="shared" si="11"/>
        <v>0</v>
      </c>
      <c r="T10" s="31" t="s">
        <v>5</v>
      </c>
      <c r="U10" s="31" t="s">
        <v>17</v>
      </c>
      <c r="V10" s="31" t="s">
        <v>17</v>
      </c>
      <c r="W10" s="31" t="s">
        <v>17</v>
      </c>
      <c r="X10" s="31" t="s">
        <v>17</v>
      </c>
      <c r="Y10" s="31" t="s">
        <v>17</v>
      </c>
      <c r="Z10" s="31" t="s">
        <v>17</v>
      </c>
      <c r="AA10" s="31" t="s">
        <v>17</v>
      </c>
      <c r="AB10" s="31" t="s">
        <v>4</v>
      </c>
      <c r="AC10" s="31" t="s">
        <v>17</v>
      </c>
      <c r="AD10" s="31" t="s">
        <v>5</v>
      </c>
      <c r="AE10" s="31" t="s">
        <v>4</v>
      </c>
      <c r="AF10" s="31" t="s">
        <v>4</v>
      </c>
      <c r="AG10" s="31" t="s">
        <v>4</v>
      </c>
      <c r="AH10" s="31" t="s">
        <v>4</v>
      </c>
      <c r="AI10" s="31" t="s">
        <v>4</v>
      </c>
      <c r="AJ10" s="31" t="s">
        <v>4</v>
      </c>
      <c r="AK10" s="31" t="s">
        <v>4</v>
      </c>
      <c r="AL10" s="31" t="s">
        <v>4</v>
      </c>
      <c r="AM10" s="31" t="s">
        <v>4</v>
      </c>
      <c r="AN10" s="31" t="s">
        <v>4</v>
      </c>
      <c r="AO10" s="31" t="s">
        <v>4</v>
      </c>
      <c r="AP10" s="31" t="s">
        <v>4</v>
      </c>
      <c r="AQ10" s="31" t="s">
        <v>4</v>
      </c>
      <c r="AR10" s="31" t="s">
        <v>4</v>
      </c>
      <c r="AS10" s="31" t="s">
        <v>4</v>
      </c>
      <c r="AT10" s="31" t="s">
        <v>4</v>
      </c>
      <c r="AU10" s="31" t="s">
        <v>4</v>
      </c>
      <c r="AV10" s="31" t="s">
        <v>4</v>
      </c>
      <c r="AW10" s="31" t="s">
        <v>4</v>
      </c>
      <c r="AX10" s="31" t="s">
        <v>4</v>
      </c>
      <c r="AY10" s="31" t="s">
        <v>4</v>
      </c>
      <c r="AZ10" s="31" t="s">
        <v>4</v>
      </c>
      <c r="BA10" s="31" t="s">
        <v>4</v>
      </c>
      <c r="BB10" s="31" t="s">
        <v>4</v>
      </c>
      <c r="BC10" s="31" t="s">
        <v>4</v>
      </c>
      <c r="BD10" s="31" t="s">
        <v>4</v>
      </c>
      <c r="BE10" s="31" t="s">
        <v>4</v>
      </c>
      <c r="BF10" s="31" t="s">
        <v>4</v>
      </c>
      <c r="BG10" s="31" t="s">
        <v>4</v>
      </c>
      <c r="BH10" s="31" t="s">
        <v>4</v>
      </c>
      <c r="BI10" s="31" t="s">
        <v>4</v>
      </c>
      <c r="BJ10" s="31" t="s">
        <v>4</v>
      </c>
      <c r="BK10" s="31" t="s">
        <v>4</v>
      </c>
      <c r="BL10" s="31" t="s">
        <v>4</v>
      </c>
      <c r="BM10" s="31" t="s">
        <v>4</v>
      </c>
      <c r="BN10" s="31" t="s">
        <v>4</v>
      </c>
      <c r="BO10" s="31" t="s">
        <v>4</v>
      </c>
      <c r="BP10" s="31" t="s">
        <v>4</v>
      </c>
      <c r="BQ10" s="31" t="s">
        <v>4</v>
      </c>
    </row>
    <row r="11" spans="1:69" x14ac:dyDescent="0.3">
      <c r="B11" s="41">
        <v>2</v>
      </c>
      <c r="C11" t="s">
        <v>43</v>
      </c>
      <c r="D11" s="43">
        <f>(C11-C10)</f>
        <v>0.41666666667151731</v>
      </c>
      <c r="E11" s="42">
        <f t="shared" si="12"/>
        <v>0.70833333333575865</v>
      </c>
      <c r="F11" s="5">
        <f t="shared" ref="F11:F28" si="15">F10+D11</f>
        <v>0.70833333333575865</v>
      </c>
      <c r="G11" s="1">
        <f t="shared" si="0"/>
        <v>25</v>
      </c>
      <c r="H11" s="1">
        <f t="shared" si="1"/>
        <v>2</v>
      </c>
      <c r="I11" s="1">
        <f t="shared" si="2"/>
        <v>0</v>
      </c>
      <c r="J11" s="1">
        <f t="shared" si="3"/>
        <v>0</v>
      </c>
      <c r="K11" s="1">
        <f t="shared" si="4"/>
        <v>0</v>
      </c>
      <c r="L11" s="1">
        <f t="shared" si="5"/>
        <v>0</v>
      </c>
      <c r="M11" s="1">
        <f t="shared" si="6"/>
        <v>0</v>
      </c>
      <c r="O11" s="1">
        <f t="shared" si="7"/>
        <v>23</v>
      </c>
      <c r="P11" s="1">
        <f t="shared" si="8"/>
        <v>0</v>
      </c>
      <c r="Q11" s="1">
        <f t="shared" si="9"/>
        <v>0</v>
      </c>
      <c r="R11" s="1">
        <f t="shared" si="10"/>
        <v>0</v>
      </c>
      <c r="S11" s="1">
        <f t="shared" si="11"/>
        <v>0</v>
      </c>
      <c r="T11" s="31" t="s">
        <v>5</v>
      </c>
      <c r="U11" s="31" t="s">
        <v>17</v>
      </c>
      <c r="V11" s="31" t="s">
        <v>17</v>
      </c>
      <c r="W11" s="31" t="s">
        <v>17</v>
      </c>
      <c r="X11" s="31" t="s">
        <v>17</v>
      </c>
      <c r="Y11" s="31" t="s">
        <v>17</v>
      </c>
      <c r="Z11" s="31" t="s">
        <v>17</v>
      </c>
      <c r="AA11" s="31" t="s">
        <v>17</v>
      </c>
      <c r="AB11" s="31" t="s">
        <v>4</v>
      </c>
      <c r="AC11" s="31" t="s">
        <v>17</v>
      </c>
      <c r="AD11" s="31" t="s">
        <v>5</v>
      </c>
      <c r="AE11" s="31" t="s">
        <v>4</v>
      </c>
      <c r="AF11" s="31" t="s">
        <v>4</v>
      </c>
      <c r="AG11" s="31" t="s">
        <v>4</v>
      </c>
      <c r="AH11" s="31" t="s">
        <v>17</v>
      </c>
      <c r="AI11" s="31" t="s">
        <v>17</v>
      </c>
      <c r="AJ11" s="31" t="s">
        <v>17</v>
      </c>
      <c r="AK11" s="31" t="s">
        <v>17</v>
      </c>
      <c r="AL11" s="31" t="s">
        <v>17</v>
      </c>
      <c r="AM11" s="31" t="s">
        <v>17</v>
      </c>
      <c r="AN11" s="31" t="s">
        <v>4</v>
      </c>
      <c r="AO11" s="31" t="s">
        <v>4</v>
      </c>
      <c r="AP11" s="31" t="s">
        <v>4</v>
      </c>
      <c r="AQ11" s="31" t="s">
        <v>4</v>
      </c>
      <c r="AR11" s="31" t="s">
        <v>17</v>
      </c>
      <c r="AS11" s="31" t="s">
        <v>4</v>
      </c>
      <c r="AT11" s="31" t="s">
        <v>4</v>
      </c>
      <c r="AU11" s="31" t="s">
        <v>4</v>
      </c>
      <c r="AV11" s="31" t="s">
        <v>4</v>
      </c>
      <c r="AW11" s="31" t="s">
        <v>17</v>
      </c>
      <c r="AX11" s="31" t="s">
        <v>17</v>
      </c>
      <c r="AY11" s="31" t="s">
        <v>17</v>
      </c>
      <c r="AZ11" s="31" t="s">
        <v>4</v>
      </c>
      <c r="BA11" s="31" t="s">
        <v>4</v>
      </c>
      <c r="BB11" s="31" t="s">
        <v>17</v>
      </c>
      <c r="BC11" s="31" t="s">
        <v>4</v>
      </c>
      <c r="BD11" s="31" t="s">
        <v>4</v>
      </c>
      <c r="BE11" s="31" t="s">
        <v>4</v>
      </c>
      <c r="BF11" s="31" t="s">
        <v>17</v>
      </c>
      <c r="BG11" s="31" t="s">
        <v>17</v>
      </c>
      <c r="BH11" s="31" t="s">
        <v>17</v>
      </c>
      <c r="BI11" s="31" t="s">
        <v>17</v>
      </c>
      <c r="BJ11" s="31" t="s">
        <v>4</v>
      </c>
      <c r="BK11" s="31" t="s">
        <v>4</v>
      </c>
      <c r="BL11" s="31" t="s">
        <v>4</v>
      </c>
      <c r="BM11" s="31" t="s">
        <v>4</v>
      </c>
      <c r="BN11" s="31" t="s">
        <v>4</v>
      </c>
      <c r="BO11" s="31" t="s">
        <v>4</v>
      </c>
      <c r="BP11" s="31" t="s">
        <v>4</v>
      </c>
      <c r="BQ11" s="31" t="s">
        <v>4</v>
      </c>
    </row>
    <row r="12" spans="1:69" x14ac:dyDescent="0.3">
      <c r="B12" s="41">
        <v>2</v>
      </c>
      <c r="C12" t="s">
        <v>44</v>
      </c>
      <c r="D12" s="43">
        <f t="shared" si="14"/>
        <v>4.1666666664241347E-2</v>
      </c>
      <c r="E12" s="42">
        <f t="shared" si="12"/>
        <v>0.75</v>
      </c>
      <c r="F12" s="5">
        <f>F11+D12</f>
        <v>0.75</v>
      </c>
      <c r="G12" s="1">
        <f t="shared" si="0"/>
        <v>25</v>
      </c>
      <c r="H12" s="1">
        <f t="shared" si="1"/>
        <v>2</v>
      </c>
      <c r="I12" s="1">
        <f t="shared" si="2"/>
        <v>0</v>
      </c>
      <c r="J12" s="1">
        <f t="shared" si="3"/>
        <v>0</v>
      </c>
      <c r="K12" s="1">
        <f t="shared" si="4"/>
        <v>0</v>
      </c>
      <c r="L12" s="1">
        <f t="shared" si="5"/>
        <v>0</v>
      </c>
      <c r="M12" s="1">
        <f t="shared" si="6"/>
        <v>0</v>
      </c>
      <c r="O12" s="1">
        <f t="shared" si="7"/>
        <v>23</v>
      </c>
      <c r="P12" s="1">
        <f t="shared" si="8"/>
        <v>0</v>
      </c>
      <c r="Q12" s="1">
        <f t="shared" si="9"/>
        <v>0</v>
      </c>
      <c r="R12" s="1">
        <f t="shared" si="10"/>
        <v>0</v>
      </c>
      <c r="S12" s="1">
        <f t="shared" si="11"/>
        <v>0</v>
      </c>
      <c r="T12" s="31" t="s">
        <v>5</v>
      </c>
      <c r="U12" s="31" t="s">
        <v>17</v>
      </c>
      <c r="V12" s="31" t="s">
        <v>17</v>
      </c>
      <c r="W12" s="31" t="s">
        <v>17</v>
      </c>
      <c r="X12" s="31" t="s">
        <v>17</v>
      </c>
      <c r="Y12" s="31" t="s">
        <v>17</v>
      </c>
      <c r="Z12" s="31" t="s">
        <v>17</v>
      </c>
      <c r="AA12" s="31" t="s">
        <v>17</v>
      </c>
      <c r="AB12" s="31" t="s">
        <v>4</v>
      </c>
      <c r="AC12" s="31" t="s">
        <v>17</v>
      </c>
      <c r="AD12" s="31" t="s">
        <v>5</v>
      </c>
      <c r="AE12" s="31" t="s">
        <v>4</v>
      </c>
      <c r="AF12" s="31" t="s">
        <v>4</v>
      </c>
      <c r="AG12" s="31" t="s">
        <v>4</v>
      </c>
      <c r="AH12" s="31" t="s">
        <v>17</v>
      </c>
      <c r="AI12" s="31" t="s">
        <v>17</v>
      </c>
      <c r="AJ12" s="31" t="s">
        <v>17</v>
      </c>
      <c r="AK12" s="31" t="s">
        <v>17</v>
      </c>
      <c r="AL12" s="31" t="s">
        <v>17</v>
      </c>
      <c r="AM12" s="31" t="s">
        <v>17</v>
      </c>
      <c r="AN12" s="31" t="s">
        <v>4</v>
      </c>
      <c r="AO12" s="31" t="s">
        <v>4</v>
      </c>
      <c r="AP12" s="31" t="s">
        <v>4</v>
      </c>
      <c r="AQ12" s="31" t="s">
        <v>4</v>
      </c>
      <c r="AR12" s="31" t="s">
        <v>17</v>
      </c>
      <c r="AS12" s="31" t="s">
        <v>4</v>
      </c>
      <c r="AT12" s="31" t="s">
        <v>4</v>
      </c>
      <c r="AU12" s="31" t="s">
        <v>4</v>
      </c>
      <c r="AV12" s="31" t="s">
        <v>4</v>
      </c>
      <c r="AW12" s="31" t="s">
        <v>17</v>
      </c>
      <c r="AX12" s="31" t="s">
        <v>17</v>
      </c>
      <c r="AY12" s="31" t="s">
        <v>17</v>
      </c>
      <c r="AZ12" s="31" t="s">
        <v>4</v>
      </c>
      <c r="BA12" s="31" t="s">
        <v>4</v>
      </c>
      <c r="BB12" s="31" t="s">
        <v>17</v>
      </c>
      <c r="BC12" s="31" t="s">
        <v>4</v>
      </c>
      <c r="BD12" s="31" t="s">
        <v>4</v>
      </c>
      <c r="BE12" s="31" t="s">
        <v>4</v>
      </c>
      <c r="BF12" s="31" t="s">
        <v>17</v>
      </c>
      <c r="BG12" s="31" t="s">
        <v>17</v>
      </c>
      <c r="BH12" s="31" t="s">
        <v>17</v>
      </c>
      <c r="BI12" s="31" t="s">
        <v>17</v>
      </c>
      <c r="BJ12" s="31" t="s">
        <v>4</v>
      </c>
      <c r="BK12" s="31" t="s">
        <v>4</v>
      </c>
      <c r="BL12" s="31" t="s">
        <v>4</v>
      </c>
      <c r="BM12" s="31" t="s">
        <v>4</v>
      </c>
      <c r="BN12" s="31" t="s">
        <v>4</v>
      </c>
      <c r="BO12" s="31" t="s">
        <v>4</v>
      </c>
      <c r="BP12" s="31" t="s">
        <v>4</v>
      </c>
      <c r="BQ12" s="31" t="s">
        <v>4</v>
      </c>
    </row>
    <row r="13" spans="1:69" x14ac:dyDescent="0.3">
      <c r="B13" s="41">
        <v>2</v>
      </c>
      <c r="C13" t="s">
        <v>45</v>
      </c>
      <c r="D13" s="43">
        <f t="shared" si="14"/>
        <v>4.1666666664241347E-2</v>
      </c>
      <c r="E13" s="42">
        <f t="shared" si="12"/>
        <v>0.79166666666424135</v>
      </c>
      <c r="F13" s="5">
        <f t="shared" si="15"/>
        <v>0.79166666666424135</v>
      </c>
      <c r="G13" s="1">
        <f t="shared" si="0"/>
        <v>25</v>
      </c>
      <c r="H13" s="1">
        <f t="shared" si="1"/>
        <v>2</v>
      </c>
      <c r="I13" s="1">
        <f t="shared" si="2"/>
        <v>0</v>
      </c>
      <c r="J13" s="1">
        <f t="shared" si="3"/>
        <v>0</v>
      </c>
      <c r="K13" s="1">
        <f t="shared" si="4"/>
        <v>0</v>
      </c>
      <c r="L13" s="1">
        <f t="shared" si="5"/>
        <v>0</v>
      </c>
      <c r="M13" s="1">
        <f t="shared" si="6"/>
        <v>0</v>
      </c>
      <c r="O13" s="1">
        <f t="shared" si="7"/>
        <v>23</v>
      </c>
      <c r="P13" s="1">
        <f t="shared" si="8"/>
        <v>0</v>
      </c>
      <c r="Q13" s="1">
        <f t="shared" si="9"/>
        <v>0</v>
      </c>
      <c r="R13" s="1">
        <f t="shared" si="10"/>
        <v>0</v>
      </c>
      <c r="S13" s="1">
        <f t="shared" si="11"/>
        <v>0</v>
      </c>
      <c r="T13" s="31" t="s">
        <v>5</v>
      </c>
      <c r="U13" s="31" t="s">
        <v>17</v>
      </c>
      <c r="V13" s="31" t="s">
        <v>17</v>
      </c>
      <c r="W13" s="31" t="s">
        <v>17</v>
      </c>
      <c r="X13" s="31" t="s">
        <v>17</v>
      </c>
      <c r="Y13" s="31" t="s">
        <v>17</v>
      </c>
      <c r="Z13" s="31" t="s">
        <v>17</v>
      </c>
      <c r="AA13" s="31" t="s">
        <v>17</v>
      </c>
      <c r="AB13" s="31" t="s">
        <v>4</v>
      </c>
      <c r="AC13" s="31" t="s">
        <v>17</v>
      </c>
      <c r="AD13" s="31" t="s">
        <v>5</v>
      </c>
      <c r="AE13" s="31" t="s">
        <v>4</v>
      </c>
      <c r="AF13" s="31" t="s">
        <v>4</v>
      </c>
      <c r="AG13" s="31" t="s">
        <v>4</v>
      </c>
      <c r="AH13" s="31" t="s">
        <v>17</v>
      </c>
      <c r="AI13" s="31" t="s">
        <v>17</v>
      </c>
      <c r="AJ13" s="31" t="s">
        <v>17</v>
      </c>
      <c r="AK13" s="31" t="s">
        <v>17</v>
      </c>
      <c r="AL13" s="31" t="s">
        <v>17</v>
      </c>
      <c r="AM13" s="31" t="s">
        <v>17</v>
      </c>
      <c r="AN13" s="31" t="s">
        <v>4</v>
      </c>
      <c r="AO13" s="31" t="s">
        <v>4</v>
      </c>
      <c r="AP13" s="31" t="s">
        <v>4</v>
      </c>
      <c r="AQ13" s="31" t="s">
        <v>4</v>
      </c>
      <c r="AR13" s="31" t="s">
        <v>17</v>
      </c>
      <c r="AS13" s="31" t="s">
        <v>4</v>
      </c>
      <c r="AT13" s="31" t="s">
        <v>4</v>
      </c>
      <c r="AU13" s="31" t="s">
        <v>4</v>
      </c>
      <c r="AV13" s="31" t="s">
        <v>4</v>
      </c>
      <c r="AW13" s="31" t="s">
        <v>17</v>
      </c>
      <c r="AX13" s="31" t="s">
        <v>17</v>
      </c>
      <c r="AY13" s="31" t="s">
        <v>17</v>
      </c>
      <c r="AZ13" s="31" t="s">
        <v>4</v>
      </c>
      <c r="BA13" s="31" t="s">
        <v>4</v>
      </c>
      <c r="BB13" s="31" t="s">
        <v>17</v>
      </c>
      <c r="BC13" s="31" t="s">
        <v>4</v>
      </c>
      <c r="BD13" s="31" t="s">
        <v>4</v>
      </c>
      <c r="BE13" s="31" t="s">
        <v>4</v>
      </c>
      <c r="BF13" s="31" t="s">
        <v>17</v>
      </c>
      <c r="BG13" s="31" t="s">
        <v>17</v>
      </c>
      <c r="BH13" s="31" t="s">
        <v>17</v>
      </c>
      <c r="BI13" s="31" t="s">
        <v>17</v>
      </c>
      <c r="BJ13" s="31" t="s">
        <v>4</v>
      </c>
      <c r="BK13" s="31" t="s">
        <v>4</v>
      </c>
      <c r="BL13" s="31" t="s">
        <v>4</v>
      </c>
      <c r="BM13" s="31" t="s">
        <v>4</v>
      </c>
      <c r="BN13" s="31" t="s">
        <v>4</v>
      </c>
      <c r="BO13" s="31" t="s">
        <v>4</v>
      </c>
      <c r="BP13" s="31" t="s">
        <v>4</v>
      </c>
      <c r="BQ13" s="31" t="s">
        <v>4</v>
      </c>
    </row>
    <row r="14" spans="1:69" x14ac:dyDescent="0.3">
      <c r="B14" s="41">
        <v>2</v>
      </c>
      <c r="C14" t="s">
        <v>46</v>
      </c>
      <c r="D14" s="43">
        <f t="shared" si="14"/>
        <v>4.1666666671517305E-2</v>
      </c>
      <c r="E14" s="42">
        <f t="shared" si="12"/>
        <v>0.83333333333575865</v>
      </c>
      <c r="F14" s="5">
        <f t="shared" si="15"/>
        <v>0.83333333333575865</v>
      </c>
      <c r="G14" s="1">
        <f t="shared" si="0"/>
        <v>21</v>
      </c>
      <c r="H14" s="1">
        <f t="shared" si="1"/>
        <v>2</v>
      </c>
      <c r="I14" s="1">
        <f t="shared" si="2"/>
        <v>0</v>
      </c>
      <c r="J14" s="1">
        <f t="shared" si="3"/>
        <v>0</v>
      </c>
      <c r="K14" s="1">
        <f t="shared" si="4"/>
        <v>0</v>
      </c>
      <c r="L14" s="1">
        <f t="shared" si="5"/>
        <v>0</v>
      </c>
      <c r="M14" s="1">
        <f t="shared" si="6"/>
        <v>0</v>
      </c>
      <c r="O14" s="1">
        <f t="shared" si="7"/>
        <v>27</v>
      </c>
      <c r="P14" s="1">
        <f t="shared" si="8"/>
        <v>0</v>
      </c>
      <c r="Q14" s="1">
        <f t="shared" si="9"/>
        <v>0</v>
      </c>
      <c r="R14" s="1">
        <f t="shared" si="10"/>
        <v>0</v>
      </c>
      <c r="S14" s="1">
        <f t="shared" si="11"/>
        <v>0</v>
      </c>
      <c r="T14" s="31" t="s">
        <v>5</v>
      </c>
      <c r="U14" s="31" t="s">
        <v>17</v>
      </c>
      <c r="V14" s="31" t="s">
        <v>17</v>
      </c>
      <c r="W14" s="31" t="s">
        <v>17</v>
      </c>
      <c r="X14" s="31" t="s">
        <v>17</v>
      </c>
      <c r="Y14" s="31" t="s">
        <v>17</v>
      </c>
      <c r="Z14" s="31" t="s">
        <v>17</v>
      </c>
      <c r="AA14" s="31" t="s">
        <v>17</v>
      </c>
      <c r="AB14" s="31" t="s">
        <v>4</v>
      </c>
      <c r="AC14" s="31" t="s">
        <v>17</v>
      </c>
      <c r="AD14" s="31" t="s">
        <v>5</v>
      </c>
      <c r="AE14" s="31" t="s">
        <v>4</v>
      </c>
      <c r="AF14" s="31" t="s">
        <v>4</v>
      </c>
      <c r="AG14" s="31" t="s">
        <v>4</v>
      </c>
      <c r="AH14" s="31" t="s">
        <v>17</v>
      </c>
      <c r="AI14" s="31" t="s">
        <v>17</v>
      </c>
      <c r="AJ14" s="31" t="s">
        <v>17</v>
      </c>
      <c r="AK14" s="31" t="s">
        <v>17</v>
      </c>
      <c r="AL14" s="31" t="s">
        <v>17</v>
      </c>
      <c r="AM14" s="31" t="s">
        <v>17</v>
      </c>
      <c r="AN14" s="31" t="s">
        <v>4</v>
      </c>
      <c r="AO14" s="31" t="s">
        <v>4</v>
      </c>
      <c r="AP14" s="31" t="s">
        <v>4</v>
      </c>
      <c r="AQ14" s="31" t="s">
        <v>4</v>
      </c>
      <c r="AR14" s="31" t="s">
        <v>17</v>
      </c>
      <c r="AS14" s="31" t="s">
        <v>4</v>
      </c>
      <c r="AT14" s="31" t="s">
        <v>4</v>
      </c>
      <c r="AU14" s="31" t="s">
        <v>4</v>
      </c>
      <c r="AV14" s="31" t="s">
        <v>4</v>
      </c>
      <c r="AW14" s="31" t="s">
        <v>17</v>
      </c>
      <c r="AX14" s="31" t="s">
        <v>17</v>
      </c>
      <c r="AY14" s="31" t="s">
        <v>17</v>
      </c>
      <c r="AZ14" s="31" t="s">
        <v>4</v>
      </c>
      <c r="BA14" s="31" t="s">
        <v>4</v>
      </c>
      <c r="BB14" s="31" t="s">
        <v>17</v>
      </c>
      <c r="BC14" s="31" t="s">
        <v>17</v>
      </c>
      <c r="BD14" s="31" t="s">
        <v>17</v>
      </c>
      <c r="BE14" s="31" t="s">
        <v>4</v>
      </c>
      <c r="BF14" s="31" t="s">
        <v>17</v>
      </c>
      <c r="BG14" s="31" t="s">
        <v>17</v>
      </c>
      <c r="BH14" s="31" t="s">
        <v>17</v>
      </c>
      <c r="BI14" s="31" t="s">
        <v>17</v>
      </c>
      <c r="BJ14" s="31" t="s">
        <v>17</v>
      </c>
      <c r="BK14" s="31" t="s">
        <v>17</v>
      </c>
      <c r="BL14" s="31" t="s">
        <v>4</v>
      </c>
      <c r="BM14" s="31" t="s">
        <v>4</v>
      </c>
      <c r="BN14" s="31" t="s">
        <v>4</v>
      </c>
      <c r="BO14" s="31" t="s">
        <v>4</v>
      </c>
      <c r="BP14" s="31" t="s">
        <v>4</v>
      </c>
      <c r="BQ14" s="31" t="s">
        <v>4</v>
      </c>
    </row>
    <row r="15" spans="1:69" x14ac:dyDescent="0.3">
      <c r="B15" s="41">
        <v>2</v>
      </c>
      <c r="C15" t="s">
        <v>47</v>
      </c>
      <c r="D15" s="43">
        <f t="shared" si="14"/>
        <v>4.1666666664241347E-2</v>
      </c>
      <c r="E15" s="42">
        <f t="shared" si="12"/>
        <v>0.875</v>
      </c>
      <c r="F15" s="5">
        <f t="shared" si="15"/>
        <v>0.875</v>
      </c>
      <c r="G15" s="1">
        <f t="shared" si="0"/>
        <v>21</v>
      </c>
      <c r="H15" s="1">
        <f t="shared" si="1"/>
        <v>2</v>
      </c>
      <c r="I15" s="1">
        <f t="shared" si="2"/>
        <v>0</v>
      </c>
      <c r="J15" s="1">
        <f t="shared" si="3"/>
        <v>0</v>
      </c>
      <c r="K15" s="1">
        <f t="shared" si="4"/>
        <v>0</v>
      </c>
      <c r="L15" s="1">
        <f t="shared" si="5"/>
        <v>0</v>
      </c>
      <c r="M15" s="1">
        <f t="shared" si="6"/>
        <v>0</v>
      </c>
      <c r="O15" s="1">
        <f t="shared" si="7"/>
        <v>27</v>
      </c>
      <c r="P15" s="1">
        <f t="shared" si="8"/>
        <v>0</v>
      </c>
      <c r="Q15" s="1">
        <f t="shared" si="9"/>
        <v>0</v>
      </c>
      <c r="R15" s="1">
        <f t="shared" si="10"/>
        <v>0</v>
      </c>
      <c r="S15" s="1">
        <f t="shared" si="11"/>
        <v>0</v>
      </c>
      <c r="T15" s="31" t="s">
        <v>5</v>
      </c>
      <c r="U15" s="31" t="s">
        <v>17</v>
      </c>
      <c r="V15" s="31" t="s">
        <v>17</v>
      </c>
      <c r="W15" s="31" t="s">
        <v>17</v>
      </c>
      <c r="X15" s="31" t="s">
        <v>17</v>
      </c>
      <c r="Y15" s="31" t="s">
        <v>17</v>
      </c>
      <c r="Z15" s="31" t="s">
        <v>17</v>
      </c>
      <c r="AA15" s="31" t="s">
        <v>17</v>
      </c>
      <c r="AB15" s="31" t="s">
        <v>4</v>
      </c>
      <c r="AC15" s="31" t="s">
        <v>17</v>
      </c>
      <c r="AD15" s="31" t="s">
        <v>5</v>
      </c>
      <c r="AE15" s="31" t="s">
        <v>4</v>
      </c>
      <c r="AF15" s="31" t="s">
        <v>4</v>
      </c>
      <c r="AG15" s="31" t="s">
        <v>4</v>
      </c>
      <c r="AH15" s="31" t="s">
        <v>17</v>
      </c>
      <c r="AI15" s="31" t="s">
        <v>17</v>
      </c>
      <c r="AJ15" s="31" t="s">
        <v>17</v>
      </c>
      <c r="AK15" s="31" t="s">
        <v>17</v>
      </c>
      <c r="AL15" s="31" t="s">
        <v>17</v>
      </c>
      <c r="AM15" s="31" t="s">
        <v>17</v>
      </c>
      <c r="AN15" s="31" t="s">
        <v>4</v>
      </c>
      <c r="AO15" s="31" t="s">
        <v>4</v>
      </c>
      <c r="AP15" s="31" t="s">
        <v>4</v>
      </c>
      <c r="AQ15" s="31" t="s">
        <v>4</v>
      </c>
      <c r="AR15" s="31" t="s">
        <v>17</v>
      </c>
      <c r="AS15" s="31" t="s">
        <v>4</v>
      </c>
      <c r="AT15" s="31" t="s">
        <v>4</v>
      </c>
      <c r="AU15" s="31" t="s">
        <v>4</v>
      </c>
      <c r="AV15" s="31" t="s">
        <v>4</v>
      </c>
      <c r="AW15" s="31" t="s">
        <v>17</v>
      </c>
      <c r="AX15" s="31" t="s">
        <v>17</v>
      </c>
      <c r="AY15" s="31" t="s">
        <v>17</v>
      </c>
      <c r="AZ15" s="31" t="s">
        <v>4</v>
      </c>
      <c r="BA15" s="31" t="s">
        <v>4</v>
      </c>
      <c r="BB15" s="31" t="s">
        <v>17</v>
      </c>
      <c r="BC15" s="31" t="s">
        <v>17</v>
      </c>
      <c r="BD15" s="31" t="s">
        <v>17</v>
      </c>
      <c r="BE15" s="31" t="s">
        <v>4</v>
      </c>
      <c r="BF15" s="31" t="s">
        <v>17</v>
      </c>
      <c r="BG15" s="31" t="s">
        <v>17</v>
      </c>
      <c r="BH15" s="31" t="s">
        <v>17</v>
      </c>
      <c r="BI15" s="31" t="s">
        <v>17</v>
      </c>
      <c r="BJ15" s="31" t="s">
        <v>17</v>
      </c>
      <c r="BK15" s="31" t="s">
        <v>17</v>
      </c>
      <c r="BL15" s="31" t="s">
        <v>4</v>
      </c>
      <c r="BM15" s="31" t="s">
        <v>4</v>
      </c>
      <c r="BN15" s="31" t="s">
        <v>4</v>
      </c>
      <c r="BO15" s="31" t="s">
        <v>4</v>
      </c>
      <c r="BP15" s="31" t="s">
        <v>4</v>
      </c>
      <c r="BQ15" s="31" t="s">
        <v>4</v>
      </c>
    </row>
    <row r="16" spans="1:69" x14ac:dyDescent="0.3">
      <c r="B16" s="41">
        <v>2</v>
      </c>
      <c r="C16" t="s">
        <v>48</v>
      </c>
      <c r="D16" s="43">
        <f t="shared" si="14"/>
        <v>4.1666666664241347E-2</v>
      </c>
      <c r="E16" s="42">
        <f t="shared" si="12"/>
        <v>0.91666666666424135</v>
      </c>
      <c r="F16" s="5">
        <f t="shared" si="15"/>
        <v>0.91666666666424135</v>
      </c>
      <c r="G16" s="1">
        <f t="shared" si="0"/>
        <v>21</v>
      </c>
      <c r="H16" s="1">
        <f t="shared" si="1"/>
        <v>2</v>
      </c>
      <c r="I16" s="1">
        <f t="shared" si="2"/>
        <v>0</v>
      </c>
      <c r="J16" s="1">
        <f t="shared" si="3"/>
        <v>0</v>
      </c>
      <c r="K16" s="1">
        <f t="shared" si="4"/>
        <v>0</v>
      </c>
      <c r="L16" s="1">
        <f t="shared" si="5"/>
        <v>0</v>
      </c>
      <c r="M16" s="1">
        <f t="shared" si="6"/>
        <v>0</v>
      </c>
      <c r="O16" s="1">
        <f t="shared" si="7"/>
        <v>27</v>
      </c>
      <c r="P16" s="1">
        <f t="shared" si="8"/>
        <v>0</v>
      </c>
      <c r="Q16" s="1">
        <f t="shared" si="9"/>
        <v>0</v>
      </c>
      <c r="R16" s="1">
        <f t="shared" si="10"/>
        <v>0</v>
      </c>
      <c r="S16" s="1">
        <f t="shared" si="11"/>
        <v>0</v>
      </c>
      <c r="T16" s="31" t="s">
        <v>5</v>
      </c>
      <c r="U16" s="31" t="s">
        <v>17</v>
      </c>
      <c r="V16" s="31" t="s">
        <v>17</v>
      </c>
      <c r="W16" s="31" t="s">
        <v>17</v>
      </c>
      <c r="X16" s="31" t="s">
        <v>17</v>
      </c>
      <c r="Y16" s="31" t="s">
        <v>17</v>
      </c>
      <c r="Z16" s="31" t="s">
        <v>17</v>
      </c>
      <c r="AA16" s="31" t="s">
        <v>17</v>
      </c>
      <c r="AB16" s="31" t="s">
        <v>4</v>
      </c>
      <c r="AC16" s="31" t="s">
        <v>17</v>
      </c>
      <c r="AD16" s="31" t="s">
        <v>5</v>
      </c>
      <c r="AE16" s="31" t="s">
        <v>4</v>
      </c>
      <c r="AF16" s="31" t="s">
        <v>4</v>
      </c>
      <c r="AG16" s="31" t="s">
        <v>4</v>
      </c>
      <c r="AH16" s="31" t="s">
        <v>17</v>
      </c>
      <c r="AI16" s="31" t="s">
        <v>17</v>
      </c>
      <c r="AJ16" s="31" t="s">
        <v>17</v>
      </c>
      <c r="AK16" s="31" t="s">
        <v>17</v>
      </c>
      <c r="AL16" s="31" t="s">
        <v>17</v>
      </c>
      <c r="AM16" s="31" t="s">
        <v>17</v>
      </c>
      <c r="AN16" s="31" t="s">
        <v>4</v>
      </c>
      <c r="AO16" s="31" t="s">
        <v>4</v>
      </c>
      <c r="AP16" s="31" t="s">
        <v>4</v>
      </c>
      <c r="AQ16" s="31" t="s">
        <v>4</v>
      </c>
      <c r="AR16" s="31" t="s">
        <v>17</v>
      </c>
      <c r="AS16" s="31" t="s">
        <v>4</v>
      </c>
      <c r="AT16" s="31" t="s">
        <v>4</v>
      </c>
      <c r="AU16" s="31" t="s">
        <v>4</v>
      </c>
      <c r="AV16" s="31" t="s">
        <v>4</v>
      </c>
      <c r="AW16" s="31" t="s">
        <v>17</v>
      </c>
      <c r="AX16" s="31" t="s">
        <v>17</v>
      </c>
      <c r="AY16" s="31" t="s">
        <v>17</v>
      </c>
      <c r="AZ16" s="31" t="s">
        <v>4</v>
      </c>
      <c r="BA16" s="31" t="s">
        <v>4</v>
      </c>
      <c r="BB16" s="31" t="s">
        <v>17</v>
      </c>
      <c r="BC16" s="31" t="s">
        <v>17</v>
      </c>
      <c r="BD16" s="31" t="s">
        <v>17</v>
      </c>
      <c r="BE16" s="31" t="s">
        <v>4</v>
      </c>
      <c r="BF16" s="31" t="s">
        <v>17</v>
      </c>
      <c r="BG16" s="31" t="s">
        <v>17</v>
      </c>
      <c r="BH16" s="31" t="s">
        <v>17</v>
      </c>
      <c r="BI16" s="31" t="s">
        <v>17</v>
      </c>
      <c r="BJ16" s="31" t="s">
        <v>17</v>
      </c>
      <c r="BK16" s="31" t="s">
        <v>17</v>
      </c>
      <c r="BL16" s="31" t="s">
        <v>4</v>
      </c>
      <c r="BM16" s="31" t="s">
        <v>4</v>
      </c>
      <c r="BN16" s="31" t="s">
        <v>4</v>
      </c>
      <c r="BO16" s="31" t="s">
        <v>4</v>
      </c>
      <c r="BP16" s="31" t="s">
        <v>4</v>
      </c>
      <c r="BQ16" s="31" t="s">
        <v>4</v>
      </c>
    </row>
    <row r="17" spans="2:69" x14ac:dyDescent="0.3">
      <c r="B17" s="41">
        <v>2</v>
      </c>
      <c r="C17" t="s">
        <v>49</v>
      </c>
      <c r="D17" s="43">
        <f t="shared" si="14"/>
        <v>4.1666666671517305E-2</v>
      </c>
      <c r="E17" s="44">
        <f>E16+D17</f>
        <v>0.95833333333575865</v>
      </c>
      <c r="F17" s="5">
        <f t="shared" si="15"/>
        <v>0.95833333333575865</v>
      </c>
      <c r="G17" s="1">
        <f t="shared" si="0"/>
        <v>1</v>
      </c>
      <c r="H17" s="1">
        <f t="shared" si="1"/>
        <v>2</v>
      </c>
      <c r="I17" s="1">
        <f t="shared" si="2"/>
        <v>0</v>
      </c>
      <c r="J17" s="1">
        <f t="shared" si="3"/>
        <v>0</v>
      </c>
      <c r="K17" s="1">
        <f t="shared" si="4"/>
        <v>0</v>
      </c>
      <c r="L17" s="1">
        <f t="shared" si="5"/>
        <v>0</v>
      </c>
      <c r="M17" s="1">
        <f t="shared" si="6"/>
        <v>0</v>
      </c>
      <c r="O17" s="1">
        <f t="shared" si="7"/>
        <v>47</v>
      </c>
      <c r="P17" s="1">
        <f t="shared" si="8"/>
        <v>0</v>
      </c>
      <c r="Q17" s="1">
        <f t="shared" si="9"/>
        <v>0</v>
      </c>
      <c r="R17" s="1">
        <f t="shared" si="10"/>
        <v>0</v>
      </c>
      <c r="S17" s="1">
        <f t="shared" si="11"/>
        <v>0</v>
      </c>
      <c r="T17" s="31" t="s">
        <v>5</v>
      </c>
      <c r="U17" s="31" t="s">
        <v>17</v>
      </c>
      <c r="V17" s="31" t="s">
        <v>17</v>
      </c>
      <c r="W17" s="31" t="s">
        <v>17</v>
      </c>
      <c r="X17" s="31" t="s">
        <v>17</v>
      </c>
      <c r="Y17" s="31" t="s">
        <v>17</v>
      </c>
      <c r="Z17" s="31" t="s">
        <v>17</v>
      </c>
      <c r="AA17" s="31" t="s">
        <v>17</v>
      </c>
      <c r="AB17" s="31" t="s">
        <v>4</v>
      </c>
      <c r="AC17" s="31" t="s">
        <v>17</v>
      </c>
      <c r="AD17" s="31" t="s">
        <v>5</v>
      </c>
      <c r="AE17" s="31" t="s">
        <v>17</v>
      </c>
      <c r="AF17" s="31" t="s">
        <v>17</v>
      </c>
      <c r="AG17" s="31" t="s">
        <v>17</v>
      </c>
      <c r="AH17" s="31" t="s">
        <v>17</v>
      </c>
      <c r="AI17" s="31" t="s">
        <v>17</v>
      </c>
      <c r="AJ17" s="31" t="s">
        <v>17</v>
      </c>
      <c r="AK17" s="31" t="s">
        <v>17</v>
      </c>
      <c r="AL17" s="31" t="s">
        <v>17</v>
      </c>
      <c r="AM17" s="31" t="s">
        <v>17</v>
      </c>
      <c r="AN17" s="31" t="s">
        <v>17</v>
      </c>
      <c r="AO17" s="31" t="s">
        <v>17</v>
      </c>
      <c r="AP17" s="31" t="s">
        <v>17</v>
      </c>
      <c r="AQ17" s="31" t="s">
        <v>17</v>
      </c>
      <c r="AR17" s="31" t="s">
        <v>17</v>
      </c>
      <c r="AS17" s="31" t="s">
        <v>17</v>
      </c>
      <c r="AT17" s="31" t="s">
        <v>17</v>
      </c>
      <c r="AU17" s="31" t="s">
        <v>17</v>
      </c>
      <c r="AV17" s="31" t="s">
        <v>17</v>
      </c>
      <c r="AW17" s="31" t="s">
        <v>17</v>
      </c>
      <c r="AX17" s="31" t="s">
        <v>17</v>
      </c>
      <c r="AY17" s="31" t="s">
        <v>17</v>
      </c>
      <c r="AZ17" s="31" t="s">
        <v>17</v>
      </c>
      <c r="BA17" s="31" t="s">
        <v>17</v>
      </c>
      <c r="BB17" s="31" t="s">
        <v>17</v>
      </c>
      <c r="BC17" s="31" t="s">
        <v>17</v>
      </c>
      <c r="BD17" s="31" t="s">
        <v>17</v>
      </c>
      <c r="BE17" s="31" t="s">
        <v>17</v>
      </c>
      <c r="BF17" s="31" t="s">
        <v>17</v>
      </c>
      <c r="BG17" s="31" t="s">
        <v>17</v>
      </c>
      <c r="BH17" s="31" t="s">
        <v>17</v>
      </c>
      <c r="BI17" s="31" t="s">
        <v>17</v>
      </c>
      <c r="BJ17" s="31" t="s">
        <v>17</v>
      </c>
      <c r="BK17" s="31" t="s">
        <v>17</v>
      </c>
      <c r="BL17" s="31" t="s">
        <v>17</v>
      </c>
      <c r="BM17" s="31" t="s">
        <v>17</v>
      </c>
      <c r="BN17" s="31" t="s">
        <v>17</v>
      </c>
      <c r="BO17" s="31" t="s">
        <v>17</v>
      </c>
      <c r="BP17" s="31" t="s">
        <v>17</v>
      </c>
      <c r="BQ17" s="31" t="s">
        <v>17</v>
      </c>
    </row>
    <row r="18" spans="2:69" x14ac:dyDescent="0.3">
      <c r="B18" s="41">
        <v>2</v>
      </c>
      <c r="C18" t="s">
        <v>50</v>
      </c>
      <c r="D18" s="43">
        <f t="shared" si="14"/>
        <v>8.3333333328482695E-2</v>
      </c>
      <c r="E18" s="42">
        <f t="shared" si="12"/>
        <v>1.0416666666642413</v>
      </c>
      <c r="F18" s="5">
        <f t="shared" si="15"/>
        <v>1.0416666666642413</v>
      </c>
      <c r="G18" s="1">
        <f t="shared" si="0"/>
        <v>0</v>
      </c>
      <c r="H18" s="1">
        <f t="shared" si="1"/>
        <v>2</v>
      </c>
      <c r="I18" s="1">
        <f t="shared" si="2"/>
        <v>0</v>
      </c>
      <c r="J18" s="1">
        <f t="shared" si="3"/>
        <v>0</v>
      </c>
      <c r="K18" s="1">
        <f t="shared" si="4"/>
        <v>0</v>
      </c>
      <c r="L18" s="1">
        <f t="shared" si="5"/>
        <v>0</v>
      </c>
      <c r="M18" s="1">
        <f t="shared" si="6"/>
        <v>0</v>
      </c>
      <c r="O18" s="1">
        <f t="shared" si="7"/>
        <v>48</v>
      </c>
      <c r="P18" s="1">
        <f t="shared" si="8"/>
        <v>0</v>
      </c>
      <c r="Q18" s="1">
        <f t="shared" si="9"/>
        <v>0</v>
      </c>
      <c r="R18" s="1">
        <f t="shared" si="10"/>
        <v>0</v>
      </c>
      <c r="S18" s="1">
        <f t="shared" si="11"/>
        <v>0</v>
      </c>
      <c r="T18" s="31" t="s">
        <v>5</v>
      </c>
      <c r="U18" s="31" t="s">
        <v>17</v>
      </c>
      <c r="V18" s="31" t="s">
        <v>17</v>
      </c>
      <c r="W18" s="31" t="s">
        <v>17</v>
      </c>
      <c r="X18" s="31" t="s">
        <v>17</v>
      </c>
      <c r="Y18" s="31" t="s">
        <v>17</v>
      </c>
      <c r="Z18" s="31" t="s">
        <v>17</v>
      </c>
      <c r="AA18" s="31" t="s">
        <v>17</v>
      </c>
      <c r="AB18" s="31" t="s">
        <v>17</v>
      </c>
      <c r="AC18" s="31" t="s">
        <v>17</v>
      </c>
      <c r="AD18" s="31" t="s">
        <v>5</v>
      </c>
      <c r="AE18" s="31" t="s">
        <v>17</v>
      </c>
      <c r="AF18" s="31" t="s">
        <v>17</v>
      </c>
      <c r="AG18" s="31" t="s">
        <v>17</v>
      </c>
      <c r="AH18" s="31" t="s">
        <v>17</v>
      </c>
      <c r="AI18" s="31" t="s">
        <v>17</v>
      </c>
      <c r="AJ18" s="31" t="s">
        <v>17</v>
      </c>
      <c r="AK18" s="31" t="s">
        <v>17</v>
      </c>
      <c r="AL18" s="31" t="s">
        <v>17</v>
      </c>
      <c r="AM18" s="31" t="s">
        <v>17</v>
      </c>
      <c r="AN18" s="31" t="s">
        <v>17</v>
      </c>
      <c r="AO18" s="31" t="s">
        <v>17</v>
      </c>
      <c r="AP18" s="31" t="s">
        <v>17</v>
      </c>
      <c r="AQ18" s="31" t="s">
        <v>17</v>
      </c>
      <c r="AR18" s="31" t="s">
        <v>17</v>
      </c>
      <c r="AS18" s="31" t="s">
        <v>17</v>
      </c>
      <c r="AT18" s="31" t="s">
        <v>17</v>
      </c>
      <c r="AU18" s="31" t="s">
        <v>17</v>
      </c>
      <c r="AV18" s="31" t="s">
        <v>17</v>
      </c>
      <c r="AW18" s="31" t="s">
        <v>17</v>
      </c>
      <c r="AX18" s="31" t="s">
        <v>17</v>
      </c>
      <c r="AY18" s="31" t="s">
        <v>17</v>
      </c>
      <c r="AZ18" s="31" t="s">
        <v>17</v>
      </c>
      <c r="BA18" s="31" t="s">
        <v>17</v>
      </c>
      <c r="BB18" s="31" t="s">
        <v>17</v>
      </c>
      <c r="BC18" s="31" t="s">
        <v>17</v>
      </c>
      <c r="BD18" s="31" t="s">
        <v>17</v>
      </c>
      <c r="BE18" s="31" t="s">
        <v>17</v>
      </c>
      <c r="BF18" s="31" t="s">
        <v>17</v>
      </c>
      <c r="BG18" s="31" t="s">
        <v>17</v>
      </c>
      <c r="BH18" s="31" t="s">
        <v>17</v>
      </c>
      <c r="BI18" s="31" t="s">
        <v>17</v>
      </c>
      <c r="BJ18" s="31" t="s">
        <v>17</v>
      </c>
      <c r="BK18" s="31" t="s">
        <v>17</v>
      </c>
      <c r="BL18" s="31" t="s">
        <v>17</v>
      </c>
      <c r="BM18" s="31" t="s">
        <v>17</v>
      </c>
      <c r="BN18" s="31" t="s">
        <v>17</v>
      </c>
      <c r="BO18" s="31" t="s">
        <v>17</v>
      </c>
      <c r="BP18" s="31" t="s">
        <v>17</v>
      </c>
      <c r="BQ18" s="31" t="s">
        <v>17</v>
      </c>
    </row>
    <row r="19" spans="2:69" x14ac:dyDescent="0.3">
      <c r="B19" s="41">
        <v>2</v>
      </c>
      <c r="C19" t="s">
        <v>51</v>
      </c>
      <c r="D19" s="43">
        <f t="shared" si="14"/>
        <v>4.1666666671517305E-2</v>
      </c>
      <c r="E19" s="42">
        <f t="shared" si="12"/>
        <v>1.0833333333357587</v>
      </c>
      <c r="F19" s="5">
        <f t="shared" si="15"/>
        <v>1.0833333333357587</v>
      </c>
      <c r="G19" s="1">
        <f t="shared" si="0"/>
        <v>0</v>
      </c>
      <c r="H19" s="1">
        <f t="shared" si="1"/>
        <v>2</v>
      </c>
      <c r="I19" s="1">
        <f t="shared" si="2"/>
        <v>0</v>
      </c>
      <c r="J19" s="1">
        <f t="shared" si="3"/>
        <v>0</v>
      </c>
      <c r="K19" s="1">
        <f t="shared" si="4"/>
        <v>0</v>
      </c>
      <c r="L19" s="1">
        <f t="shared" si="5"/>
        <v>0</v>
      </c>
      <c r="M19" s="1">
        <f t="shared" si="6"/>
        <v>0</v>
      </c>
      <c r="O19" s="1">
        <f t="shared" si="7"/>
        <v>48</v>
      </c>
      <c r="P19" s="1">
        <f t="shared" si="8"/>
        <v>0</v>
      </c>
      <c r="Q19" s="1">
        <f t="shared" si="9"/>
        <v>0</v>
      </c>
      <c r="R19" s="1">
        <f t="shared" si="10"/>
        <v>0</v>
      </c>
      <c r="S19" s="1">
        <f t="shared" si="11"/>
        <v>0</v>
      </c>
      <c r="T19" s="31" t="s">
        <v>5</v>
      </c>
      <c r="U19" s="31" t="s">
        <v>17</v>
      </c>
      <c r="V19" s="31" t="s">
        <v>17</v>
      </c>
      <c r="W19" s="31" t="s">
        <v>17</v>
      </c>
      <c r="X19" s="31" t="s">
        <v>17</v>
      </c>
      <c r="Y19" s="31" t="s">
        <v>17</v>
      </c>
      <c r="Z19" s="31" t="s">
        <v>17</v>
      </c>
      <c r="AA19" s="31" t="s">
        <v>17</v>
      </c>
      <c r="AB19" s="31" t="s">
        <v>17</v>
      </c>
      <c r="AC19" s="31" t="s">
        <v>17</v>
      </c>
      <c r="AD19" s="31" t="s">
        <v>5</v>
      </c>
      <c r="AE19" s="31" t="s">
        <v>17</v>
      </c>
      <c r="AF19" s="31" t="s">
        <v>17</v>
      </c>
      <c r="AG19" s="31" t="s">
        <v>17</v>
      </c>
      <c r="AH19" s="31" t="s">
        <v>17</v>
      </c>
      <c r="AI19" s="31" t="s">
        <v>17</v>
      </c>
      <c r="AJ19" s="31" t="s">
        <v>17</v>
      </c>
      <c r="AK19" s="31" t="s">
        <v>17</v>
      </c>
      <c r="AL19" s="31" t="s">
        <v>17</v>
      </c>
      <c r="AM19" s="31" t="s">
        <v>17</v>
      </c>
      <c r="AN19" s="31" t="s">
        <v>17</v>
      </c>
      <c r="AO19" s="31" t="s">
        <v>17</v>
      </c>
      <c r="AP19" s="31" t="s">
        <v>17</v>
      </c>
      <c r="AQ19" s="31" t="s">
        <v>17</v>
      </c>
      <c r="AR19" s="31" t="s">
        <v>17</v>
      </c>
      <c r="AS19" s="31" t="s">
        <v>17</v>
      </c>
      <c r="AT19" s="31" t="s">
        <v>17</v>
      </c>
      <c r="AU19" s="31" t="s">
        <v>17</v>
      </c>
      <c r="AV19" s="31" t="s">
        <v>17</v>
      </c>
      <c r="AW19" s="31" t="s">
        <v>17</v>
      </c>
      <c r="AX19" s="31" t="s">
        <v>17</v>
      </c>
      <c r="AY19" s="31" t="s">
        <v>17</v>
      </c>
      <c r="AZ19" s="31" t="s">
        <v>17</v>
      </c>
      <c r="BA19" s="31" t="s">
        <v>17</v>
      </c>
      <c r="BB19" s="31" t="s">
        <v>17</v>
      </c>
      <c r="BC19" s="31" t="s">
        <v>17</v>
      </c>
      <c r="BD19" s="31" t="s">
        <v>17</v>
      </c>
      <c r="BE19" s="31" t="s">
        <v>17</v>
      </c>
      <c r="BF19" s="31" t="s">
        <v>17</v>
      </c>
      <c r="BG19" s="31" t="s">
        <v>17</v>
      </c>
      <c r="BH19" s="31" t="s">
        <v>17</v>
      </c>
      <c r="BI19" s="31" t="s">
        <v>17</v>
      </c>
      <c r="BJ19" s="31" t="s">
        <v>17</v>
      </c>
      <c r="BK19" s="31" t="s">
        <v>17</v>
      </c>
      <c r="BL19" s="31" t="s">
        <v>17</v>
      </c>
      <c r="BM19" s="31" t="s">
        <v>17</v>
      </c>
      <c r="BN19" s="31" t="s">
        <v>17</v>
      </c>
      <c r="BO19" s="31" t="s">
        <v>17</v>
      </c>
      <c r="BP19" s="31" t="s">
        <v>17</v>
      </c>
      <c r="BQ19" s="31" t="s">
        <v>17</v>
      </c>
    </row>
    <row r="20" spans="2:69" x14ac:dyDescent="0.3">
      <c r="B20" s="41">
        <v>2</v>
      </c>
      <c r="C20" t="s">
        <v>52</v>
      </c>
      <c r="D20" s="43">
        <f>(C20-C19)</f>
        <v>8.3333333328482695E-2</v>
      </c>
      <c r="E20" s="42">
        <f t="shared" si="12"/>
        <v>1.1666666666642413</v>
      </c>
      <c r="F20" s="5">
        <f t="shared" si="15"/>
        <v>1.1666666666642413</v>
      </c>
      <c r="G20" s="1">
        <f t="shared" si="0"/>
        <v>0</v>
      </c>
      <c r="H20" s="1">
        <f t="shared" si="1"/>
        <v>2</v>
      </c>
      <c r="I20" s="1">
        <f t="shared" si="2"/>
        <v>0</v>
      </c>
      <c r="J20" s="1">
        <f t="shared" si="3"/>
        <v>0</v>
      </c>
      <c r="K20" s="1">
        <f t="shared" si="4"/>
        <v>0</v>
      </c>
      <c r="L20" s="1">
        <f t="shared" si="5"/>
        <v>0</v>
      </c>
      <c r="M20" s="1">
        <f t="shared" si="6"/>
        <v>0</v>
      </c>
      <c r="O20" s="1">
        <f t="shared" si="7"/>
        <v>48</v>
      </c>
      <c r="P20" s="1">
        <f t="shared" si="8"/>
        <v>0</v>
      </c>
      <c r="Q20" s="1">
        <f t="shared" si="9"/>
        <v>0</v>
      </c>
      <c r="R20" s="1">
        <f t="shared" si="10"/>
        <v>0</v>
      </c>
      <c r="S20" s="1">
        <f t="shared" si="11"/>
        <v>0</v>
      </c>
      <c r="T20" s="31" t="s">
        <v>5</v>
      </c>
      <c r="U20" s="31" t="s">
        <v>17</v>
      </c>
      <c r="V20" s="31" t="s">
        <v>17</v>
      </c>
      <c r="W20" s="31" t="s">
        <v>17</v>
      </c>
      <c r="X20" s="31" t="s">
        <v>17</v>
      </c>
      <c r="Y20" s="31" t="s">
        <v>17</v>
      </c>
      <c r="Z20" s="31" t="s">
        <v>17</v>
      </c>
      <c r="AA20" s="31" t="s">
        <v>17</v>
      </c>
      <c r="AB20" s="31" t="s">
        <v>17</v>
      </c>
      <c r="AC20" s="31" t="s">
        <v>17</v>
      </c>
      <c r="AD20" s="31" t="s">
        <v>5</v>
      </c>
      <c r="AE20" s="31" t="s">
        <v>17</v>
      </c>
      <c r="AF20" s="31" t="s">
        <v>17</v>
      </c>
      <c r="AG20" s="31" t="s">
        <v>17</v>
      </c>
      <c r="AH20" s="31" t="s">
        <v>17</v>
      </c>
      <c r="AI20" s="31" t="s">
        <v>17</v>
      </c>
      <c r="AJ20" s="31" t="s">
        <v>17</v>
      </c>
      <c r="AK20" s="31" t="s">
        <v>17</v>
      </c>
      <c r="AL20" s="31" t="s">
        <v>17</v>
      </c>
      <c r="AM20" s="31" t="s">
        <v>17</v>
      </c>
      <c r="AN20" s="31" t="s">
        <v>17</v>
      </c>
      <c r="AO20" s="31" t="s">
        <v>17</v>
      </c>
      <c r="AP20" s="31" t="s">
        <v>17</v>
      </c>
      <c r="AQ20" s="31" t="s">
        <v>17</v>
      </c>
      <c r="AR20" s="31" t="s">
        <v>17</v>
      </c>
      <c r="AS20" s="31" t="s">
        <v>17</v>
      </c>
      <c r="AT20" s="31" t="s">
        <v>17</v>
      </c>
      <c r="AU20" s="31" t="s">
        <v>17</v>
      </c>
      <c r="AV20" s="31" t="s">
        <v>17</v>
      </c>
      <c r="AW20" s="31" t="s">
        <v>17</v>
      </c>
      <c r="AX20" s="31" t="s">
        <v>17</v>
      </c>
      <c r="AY20" s="31" t="s">
        <v>17</v>
      </c>
      <c r="AZ20" s="31" t="s">
        <v>17</v>
      </c>
      <c r="BA20" s="31" t="s">
        <v>17</v>
      </c>
      <c r="BB20" s="31" t="s">
        <v>17</v>
      </c>
      <c r="BC20" s="31" t="s">
        <v>17</v>
      </c>
      <c r="BD20" s="31" t="s">
        <v>17</v>
      </c>
      <c r="BE20" s="31" t="s">
        <v>17</v>
      </c>
      <c r="BF20" s="31" t="s">
        <v>17</v>
      </c>
      <c r="BG20" s="31" t="s">
        <v>17</v>
      </c>
      <c r="BH20" s="31" t="s">
        <v>17</v>
      </c>
      <c r="BI20" s="31" t="s">
        <v>17</v>
      </c>
      <c r="BJ20" s="31" t="s">
        <v>17</v>
      </c>
      <c r="BK20" s="31" t="s">
        <v>17</v>
      </c>
      <c r="BL20" s="31" t="s">
        <v>17</v>
      </c>
      <c r="BM20" s="31" t="s">
        <v>17</v>
      </c>
      <c r="BN20" s="31" t="s">
        <v>17</v>
      </c>
      <c r="BO20" s="31" t="s">
        <v>17</v>
      </c>
      <c r="BP20" s="31" t="s">
        <v>17</v>
      </c>
      <c r="BQ20" s="31" t="s">
        <v>17</v>
      </c>
    </row>
    <row r="21" spans="2:69" x14ac:dyDescent="0.3">
      <c r="B21" s="41">
        <v>2</v>
      </c>
      <c r="C21" t="s">
        <v>53</v>
      </c>
      <c r="D21" s="43">
        <f t="shared" si="14"/>
        <v>4.1666666671517305E-2</v>
      </c>
      <c r="E21" s="42">
        <f t="shared" si="12"/>
        <v>1.2083333333357587</v>
      </c>
      <c r="F21" s="5">
        <f t="shared" si="15"/>
        <v>1.2083333333357587</v>
      </c>
      <c r="G21" s="1">
        <f t="shared" si="0"/>
        <v>0</v>
      </c>
      <c r="H21" s="1">
        <f t="shared" si="1"/>
        <v>2</v>
      </c>
      <c r="I21" s="1">
        <f t="shared" si="2"/>
        <v>0</v>
      </c>
      <c r="J21" s="1">
        <f t="shared" si="3"/>
        <v>0</v>
      </c>
      <c r="K21" s="1">
        <f t="shared" si="4"/>
        <v>0</v>
      </c>
      <c r="L21" s="1">
        <f t="shared" si="5"/>
        <v>0</v>
      </c>
      <c r="M21" s="1">
        <f t="shared" si="6"/>
        <v>0</v>
      </c>
      <c r="O21" s="1">
        <f t="shared" si="7"/>
        <v>48</v>
      </c>
      <c r="P21" s="1">
        <f t="shared" si="8"/>
        <v>0</v>
      </c>
      <c r="Q21" s="1">
        <f t="shared" si="9"/>
        <v>0</v>
      </c>
      <c r="R21" s="1">
        <f t="shared" si="10"/>
        <v>0</v>
      </c>
      <c r="S21" s="1">
        <f t="shared" si="11"/>
        <v>0</v>
      </c>
      <c r="T21" s="31" t="s">
        <v>5</v>
      </c>
      <c r="U21" s="31" t="s">
        <v>17</v>
      </c>
      <c r="V21" s="31" t="s">
        <v>17</v>
      </c>
      <c r="W21" s="31" t="s">
        <v>17</v>
      </c>
      <c r="X21" s="31" t="s">
        <v>17</v>
      </c>
      <c r="Y21" s="31" t="s">
        <v>17</v>
      </c>
      <c r="Z21" s="31" t="s">
        <v>17</v>
      </c>
      <c r="AA21" s="31" t="s">
        <v>17</v>
      </c>
      <c r="AB21" s="31" t="s">
        <v>17</v>
      </c>
      <c r="AC21" s="31" t="s">
        <v>17</v>
      </c>
      <c r="AD21" s="31" t="s">
        <v>5</v>
      </c>
      <c r="AE21" s="31" t="s">
        <v>17</v>
      </c>
      <c r="AF21" s="31" t="s">
        <v>17</v>
      </c>
      <c r="AG21" s="31" t="s">
        <v>17</v>
      </c>
      <c r="AH21" s="31" t="s">
        <v>17</v>
      </c>
      <c r="AI21" s="31" t="s">
        <v>17</v>
      </c>
      <c r="AJ21" s="31" t="s">
        <v>17</v>
      </c>
      <c r="AK21" s="31" t="s">
        <v>17</v>
      </c>
      <c r="AL21" s="31" t="s">
        <v>17</v>
      </c>
      <c r="AM21" s="31" t="s">
        <v>17</v>
      </c>
      <c r="AN21" s="31" t="s">
        <v>17</v>
      </c>
      <c r="AO21" s="31" t="s">
        <v>17</v>
      </c>
      <c r="AP21" s="31" t="s">
        <v>17</v>
      </c>
      <c r="AQ21" s="31" t="s">
        <v>17</v>
      </c>
      <c r="AR21" s="31" t="s">
        <v>17</v>
      </c>
      <c r="AS21" s="31" t="s">
        <v>17</v>
      </c>
      <c r="AT21" s="31" t="s">
        <v>17</v>
      </c>
      <c r="AU21" s="31" t="s">
        <v>17</v>
      </c>
      <c r="AV21" s="31" t="s">
        <v>17</v>
      </c>
      <c r="AW21" s="31" t="s">
        <v>17</v>
      </c>
      <c r="AX21" s="31" t="s">
        <v>17</v>
      </c>
      <c r="AY21" s="31" t="s">
        <v>17</v>
      </c>
      <c r="AZ21" s="31" t="s">
        <v>17</v>
      </c>
      <c r="BA21" s="31" t="s">
        <v>17</v>
      </c>
      <c r="BB21" s="31" t="s">
        <v>17</v>
      </c>
      <c r="BC21" s="31" t="s">
        <v>17</v>
      </c>
      <c r="BD21" s="31" t="s">
        <v>17</v>
      </c>
      <c r="BE21" s="31" t="s">
        <v>17</v>
      </c>
      <c r="BF21" s="31" t="s">
        <v>17</v>
      </c>
      <c r="BG21" s="31" t="s">
        <v>17</v>
      </c>
      <c r="BH21" s="31" t="s">
        <v>17</v>
      </c>
      <c r="BI21" s="31" t="s">
        <v>17</v>
      </c>
      <c r="BJ21" s="31" t="s">
        <v>17</v>
      </c>
      <c r="BK21" s="31" t="s">
        <v>17</v>
      </c>
      <c r="BL21" s="31" t="s">
        <v>17</v>
      </c>
      <c r="BM21" s="31" t="s">
        <v>17</v>
      </c>
      <c r="BN21" s="31" t="s">
        <v>17</v>
      </c>
      <c r="BO21" s="31" t="s">
        <v>17</v>
      </c>
      <c r="BP21" s="31" t="s">
        <v>17</v>
      </c>
      <c r="BQ21" s="31" t="s">
        <v>17</v>
      </c>
    </row>
    <row r="22" spans="2:69" x14ac:dyDescent="0.3">
      <c r="B22" s="41">
        <v>2</v>
      </c>
      <c r="C22" t="s">
        <v>54</v>
      </c>
      <c r="D22" s="43">
        <f t="shared" si="14"/>
        <v>4.1666666664241347E-2</v>
      </c>
      <c r="E22" s="42">
        <f t="shared" si="12"/>
        <v>1.25</v>
      </c>
      <c r="F22" s="5">
        <f t="shared" si="15"/>
        <v>1.25</v>
      </c>
      <c r="G22" s="1">
        <f t="shared" si="0"/>
        <v>0</v>
      </c>
      <c r="H22" s="1">
        <f t="shared" si="1"/>
        <v>2</v>
      </c>
      <c r="I22" s="1">
        <f t="shared" si="2"/>
        <v>0</v>
      </c>
      <c r="J22" s="1">
        <f t="shared" si="3"/>
        <v>0</v>
      </c>
      <c r="K22" s="1">
        <f t="shared" si="4"/>
        <v>0</v>
      </c>
      <c r="L22" s="1">
        <f t="shared" si="5"/>
        <v>0</v>
      </c>
      <c r="M22" s="1">
        <f t="shared" si="6"/>
        <v>0</v>
      </c>
      <c r="O22" s="1">
        <f t="shared" si="7"/>
        <v>48</v>
      </c>
      <c r="P22" s="1">
        <f t="shared" si="8"/>
        <v>0</v>
      </c>
      <c r="Q22" s="1">
        <f t="shared" si="9"/>
        <v>0</v>
      </c>
      <c r="R22" s="1">
        <f t="shared" si="10"/>
        <v>0</v>
      </c>
      <c r="S22" s="1">
        <f t="shared" si="11"/>
        <v>0</v>
      </c>
      <c r="T22" s="31" t="s">
        <v>5</v>
      </c>
      <c r="U22" s="31" t="s">
        <v>17</v>
      </c>
      <c r="V22" s="31" t="s">
        <v>17</v>
      </c>
      <c r="W22" s="31" t="s">
        <v>17</v>
      </c>
      <c r="X22" s="31" t="s">
        <v>17</v>
      </c>
      <c r="Y22" s="31" t="s">
        <v>17</v>
      </c>
      <c r="Z22" s="31" t="s">
        <v>17</v>
      </c>
      <c r="AA22" s="31" t="s">
        <v>17</v>
      </c>
      <c r="AB22" s="31" t="s">
        <v>17</v>
      </c>
      <c r="AC22" s="31" t="s">
        <v>17</v>
      </c>
      <c r="AD22" s="31" t="s">
        <v>5</v>
      </c>
      <c r="AE22" s="31" t="s">
        <v>17</v>
      </c>
      <c r="AF22" s="31" t="s">
        <v>17</v>
      </c>
      <c r="AG22" s="31" t="s">
        <v>17</v>
      </c>
      <c r="AH22" s="31" t="s">
        <v>17</v>
      </c>
      <c r="AI22" s="31" t="s">
        <v>17</v>
      </c>
      <c r="AJ22" s="31" t="s">
        <v>17</v>
      </c>
      <c r="AK22" s="31" t="s">
        <v>17</v>
      </c>
      <c r="AL22" s="31" t="s">
        <v>17</v>
      </c>
      <c r="AM22" s="31" t="s">
        <v>17</v>
      </c>
      <c r="AN22" s="31" t="s">
        <v>17</v>
      </c>
      <c r="AO22" s="31" t="s">
        <v>17</v>
      </c>
      <c r="AP22" s="31" t="s">
        <v>17</v>
      </c>
      <c r="AQ22" s="31" t="s">
        <v>17</v>
      </c>
      <c r="AR22" s="31" t="s">
        <v>17</v>
      </c>
      <c r="AS22" s="31" t="s">
        <v>17</v>
      </c>
      <c r="AT22" s="31" t="s">
        <v>17</v>
      </c>
      <c r="AU22" s="31" t="s">
        <v>17</v>
      </c>
      <c r="AV22" s="31" t="s">
        <v>17</v>
      </c>
      <c r="AW22" s="31" t="s">
        <v>17</v>
      </c>
      <c r="AX22" s="31" t="s">
        <v>17</v>
      </c>
      <c r="AY22" s="31" t="s">
        <v>17</v>
      </c>
      <c r="AZ22" s="31" t="s">
        <v>17</v>
      </c>
      <c r="BA22" s="31" t="s">
        <v>17</v>
      </c>
      <c r="BB22" s="31" t="s">
        <v>17</v>
      </c>
      <c r="BC22" s="31" t="s">
        <v>17</v>
      </c>
      <c r="BD22" s="31" t="s">
        <v>17</v>
      </c>
      <c r="BE22" s="31" t="s">
        <v>17</v>
      </c>
      <c r="BF22" s="31" t="s">
        <v>17</v>
      </c>
      <c r="BG22" s="31" t="s">
        <v>17</v>
      </c>
      <c r="BH22" s="31" t="s">
        <v>17</v>
      </c>
      <c r="BI22" s="31" t="s">
        <v>17</v>
      </c>
      <c r="BJ22" s="31" t="s">
        <v>17</v>
      </c>
      <c r="BK22" s="31" t="s">
        <v>17</v>
      </c>
      <c r="BL22" s="31" t="s">
        <v>17</v>
      </c>
      <c r="BM22" s="31" t="s">
        <v>17</v>
      </c>
      <c r="BN22" s="31" t="s">
        <v>17</v>
      </c>
      <c r="BO22" s="31" t="s">
        <v>17</v>
      </c>
      <c r="BP22" s="31" t="s">
        <v>17</v>
      </c>
      <c r="BQ22" s="31" t="s">
        <v>17</v>
      </c>
    </row>
    <row r="23" spans="2:69" x14ac:dyDescent="0.3">
      <c r="B23" s="41">
        <v>3</v>
      </c>
      <c r="C23" t="s">
        <v>55</v>
      </c>
      <c r="D23" s="43">
        <f>(C23-C22)</f>
        <v>0.41666666666424135</v>
      </c>
      <c r="E23" s="42">
        <f t="shared" si="12"/>
        <v>1.6666666666642413</v>
      </c>
      <c r="F23" s="5">
        <f t="shared" si="15"/>
        <v>1.6666666666642413</v>
      </c>
      <c r="G23" s="1">
        <f t="shared" si="0"/>
        <v>0</v>
      </c>
      <c r="H23" s="1">
        <f t="shared" si="1"/>
        <v>1</v>
      </c>
      <c r="I23" s="1">
        <f t="shared" si="2"/>
        <v>0</v>
      </c>
      <c r="J23" s="1">
        <f t="shared" si="3"/>
        <v>0</v>
      </c>
      <c r="K23" s="1">
        <f t="shared" si="4"/>
        <v>0</v>
      </c>
      <c r="L23" s="1">
        <f t="shared" si="5"/>
        <v>0</v>
      </c>
      <c r="M23" s="1">
        <f t="shared" si="6"/>
        <v>0</v>
      </c>
      <c r="O23" s="1">
        <f t="shared" si="7"/>
        <v>48</v>
      </c>
      <c r="P23" s="1">
        <f t="shared" si="8"/>
        <v>1</v>
      </c>
      <c r="Q23" s="1">
        <f t="shared" si="9"/>
        <v>0</v>
      </c>
      <c r="R23" s="1">
        <f t="shared" si="10"/>
        <v>0</v>
      </c>
      <c r="S23" s="1">
        <f t="shared" si="11"/>
        <v>0</v>
      </c>
      <c r="T23" s="31" t="s">
        <v>5</v>
      </c>
      <c r="U23" s="31" t="s">
        <v>17</v>
      </c>
      <c r="V23" s="31" t="s">
        <v>17</v>
      </c>
      <c r="W23" s="31" t="s">
        <v>17</v>
      </c>
      <c r="X23" s="31" t="s">
        <v>17</v>
      </c>
      <c r="Y23" s="31" t="s">
        <v>17</v>
      </c>
      <c r="Z23" s="31" t="s">
        <v>17</v>
      </c>
      <c r="AA23" s="31" t="s">
        <v>17</v>
      </c>
      <c r="AB23" s="31" t="s">
        <v>17</v>
      </c>
      <c r="AC23" s="31" t="s">
        <v>17</v>
      </c>
      <c r="AD23" s="31" t="s">
        <v>18</v>
      </c>
      <c r="AE23" s="31" t="s">
        <v>17</v>
      </c>
      <c r="AF23" s="31" t="s">
        <v>17</v>
      </c>
      <c r="AG23" s="31" t="s">
        <v>17</v>
      </c>
      <c r="AH23" s="31" t="s">
        <v>17</v>
      </c>
      <c r="AI23" s="31" t="s">
        <v>17</v>
      </c>
      <c r="AJ23" s="31" t="s">
        <v>17</v>
      </c>
      <c r="AK23" s="31" t="s">
        <v>17</v>
      </c>
      <c r="AL23" s="31" t="s">
        <v>17</v>
      </c>
      <c r="AM23" s="31" t="s">
        <v>17</v>
      </c>
      <c r="AN23" s="31" t="s">
        <v>17</v>
      </c>
      <c r="AO23" s="31" t="s">
        <v>17</v>
      </c>
      <c r="AP23" s="31" t="s">
        <v>17</v>
      </c>
      <c r="AQ23" s="31" t="s">
        <v>17</v>
      </c>
      <c r="AR23" s="31" t="s">
        <v>17</v>
      </c>
      <c r="AS23" s="31" t="s">
        <v>17</v>
      </c>
      <c r="AT23" s="31" t="s">
        <v>17</v>
      </c>
      <c r="AU23" s="31" t="s">
        <v>17</v>
      </c>
      <c r="AV23" s="31" t="s">
        <v>17</v>
      </c>
      <c r="AW23" s="31" t="s">
        <v>17</v>
      </c>
      <c r="AX23" s="31" t="s">
        <v>17</v>
      </c>
      <c r="AY23" s="31" t="s">
        <v>17</v>
      </c>
      <c r="AZ23" s="31" t="s">
        <v>17</v>
      </c>
      <c r="BA23" s="31" t="s">
        <v>17</v>
      </c>
      <c r="BB23" s="31" t="s">
        <v>17</v>
      </c>
      <c r="BC23" s="31" t="s">
        <v>17</v>
      </c>
      <c r="BD23" s="31" t="s">
        <v>17</v>
      </c>
      <c r="BE23" s="31" t="s">
        <v>17</v>
      </c>
      <c r="BF23" s="31" t="s">
        <v>17</v>
      </c>
      <c r="BG23" s="31" t="s">
        <v>17</v>
      </c>
      <c r="BH23" s="31" t="s">
        <v>17</v>
      </c>
      <c r="BI23" s="31" t="s">
        <v>17</v>
      </c>
      <c r="BJ23" s="31" t="s">
        <v>17</v>
      </c>
      <c r="BK23" s="31" t="s">
        <v>17</v>
      </c>
      <c r="BL23" s="31" t="s">
        <v>17</v>
      </c>
      <c r="BM23" s="31" t="s">
        <v>17</v>
      </c>
      <c r="BN23" s="31" t="s">
        <v>17</v>
      </c>
      <c r="BO23" s="31" t="s">
        <v>17</v>
      </c>
      <c r="BP23" s="31" t="s">
        <v>17</v>
      </c>
      <c r="BQ23" s="31" t="s">
        <v>17</v>
      </c>
    </row>
    <row r="24" spans="2:69" x14ac:dyDescent="0.3">
      <c r="B24" s="41">
        <v>3</v>
      </c>
      <c r="C24" t="s">
        <v>56</v>
      </c>
      <c r="D24" s="43">
        <f t="shared" si="14"/>
        <v>4.1666666671517305E-2</v>
      </c>
      <c r="E24" s="42">
        <f t="shared" si="12"/>
        <v>1.7083333333357587</v>
      </c>
      <c r="F24" s="5">
        <f t="shared" si="15"/>
        <v>1.7083333333357587</v>
      </c>
      <c r="G24" s="1">
        <f t="shared" si="0"/>
        <v>0</v>
      </c>
      <c r="H24" s="1">
        <f t="shared" si="1"/>
        <v>1</v>
      </c>
      <c r="I24" s="1">
        <f t="shared" si="2"/>
        <v>0</v>
      </c>
      <c r="J24" s="1">
        <f t="shared" si="3"/>
        <v>0</v>
      </c>
      <c r="K24" s="1">
        <f t="shared" si="4"/>
        <v>0</v>
      </c>
      <c r="L24" s="1">
        <f t="shared" si="5"/>
        <v>0</v>
      </c>
      <c r="M24" s="1">
        <f t="shared" si="6"/>
        <v>0</v>
      </c>
      <c r="O24" s="1">
        <f t="shared" si="7"/>
        <v>48</v>
      </c>
      <c r="P24" s="1">
        <f>COUNTIF($T24:$BQ24, "L1_D")</f>
        <v>1</v>
      </c>
      <c r="Q24" s="1">
        <f t="shared" si="9"/>
        <v>0</v>
      </c>
      <c r="R24" s="1">
        <f t="shared" si="10"/>
        <v>0</v>
      </c>
      <c r="S24" s="1">
        <f t="shared" si="11"/>
        <v>0</v>
      </c>
      <c r="T24" s="31" t="s">
        <v>5</v>
      </c>
      <c r="U24" s="31" t="s">
        <v>17</v>
      </c>
      <c r="V24" s="31" t="s">
        <v>17</v>
      </c>
      <c r="W24" s="31" t="s">
        <v>17</v>
      </c>
      <c r="X24" s="31" t="s">
        <v>17</v>
      </c>
      <c r="Y24" s="31" t="s">
        <v>17</v>
      </c>
      <c r="Z24" s="31" t="s">
        <v>17</v>
      </c>
      <c r="AA24" s="31" t="s">
        <v>17</v>
      </c>
      <c r="AB24" s="31" t="s">
        <v>17</v>
      </c>
      <c r="AC24" s="31" t="s">
        <v>17</v>
      </c>
      <c r="AD24" s="31" t="s">
        <v>18</v>
      </c>
      <c r="AE24" s="31" t="s">
        <v>17</v>
      </c>
      <c r="AF24" s="31" t="s">
        <v>17</v>
      </c>
      <c r="AG24" s="31" t="s">
        <v>17</v>
      </c>
      <c r="AH24" s="31" t="s">
        <v>17</v>
      </c>
      <c r="AI24" s="31" t="s">
        <v>17</v>
      </c>
      <c r="AJ24" s="31" t="s">
        <v>17</v>
      </c>
      <c r="AK24" s="31" t="s">
        <v>17</v>
      </c>
      <c r="AL24" s="31" t="s">
        <v>17</v>
      </c>
      <c r="AM24" s="31" t="s">
        <v>17</v>
      </c>
      <c r="AN24" s="31" t="s">
        <v>17</v>
      </c>
      <c r="AO24" s="31" t="s">
        <v>17</v>
      </c>
      <c r="AP24" s="31" t="s">
        <v>17</v>
      </c>
      <c r="AQ24" s="31" t="s">
        <v>17</v>
      </c>
      <c r="AR24" s="31" t="s">
        <v>17</v>
      </c>
      <c r="AS24" s="31" t="s">
        <v>17</v>
      </c>
      <c r="AT24" s="31" t="s">
        <v>17</v>
      </c>
      <c r="AU24" s="31" t="s">
        <v>17</v>
      </c>
      <c r="AV24" s="31" t="s">
        <v>17</v>
      </c>
      <c r="AW24" s="31" t="s">
        <v>17</v>
      </c>
      <c r="AX24" s="31" t="s">
        <v>17</v>
      </c>
      <c r="AY24" s="31" t="s">
        <v>17</v>
      </c>
      <c r="AZ24" s="31" t="s">
        <v>17</v>
      </c>
      <c r="BA24" s="31" t="s">
        <v>17</v>
      </c>
      <c r="BB24" s="31" t="s">
        <v>17</v>
      </c>
      <c r="BC24" s="31" t="s">
        <v>17</v>
      </c>
      <c r="BD24" s="31" t="s">
        <v>17</v>
      </c>
      <c r="BE24" s="31" t="s">
        <v>17</v>
      </c>
      <c r="BF24" s="31" t="s">
        <v>17</v>
      </c>
      <c r="BG24" s="31" t="s">
        <v>17</v>
      </c>
      <c r="BH24" s="31" t="s">
        <v>17</v>
      </c>
      <c r="BI24" s="31" t="s">
        <v>17</v>
      </c>
      <c r="BJ24" s="31" t="s">
        <v>17</v>
      </c>
      <c r="BK24" s="31" t="s">
        <v>17</v>
      </c>
      <c r="BL24" s="31" t="s">
        <v>17</v>
      </c>
      <c r="BM24" s="31" t="s">
        <v>17</v>
      </c>
      <c r="BN24" s="31" t="s">
        <v>17</v>
      </c>
      <c r="BO24" s="31" t="s">
        <v>17</v>
      </c>
      <c r="BP24" s="31" t="s">
        <v>17</v>
      </c>
      <c r="BQ24" s="31" t="s">
        <v>17</v>
      </c>
    </row>
    <row r="25" spans="2:69" x14ac:dyDescent="0.3">
      <c r="B25" s="41">
        <v>3</v>
      </c>
      <c r="C25" t="s">
        <v>57</v>
      </c>
      <c r="D25" s="43">
        <f t="shared" si="14"/>
        <v>4.1666666664241347E-2</v>
      </c>
      <c r="E25" s="42">
        <f t="shared" si="12"/>
        <v>1.75</v>
      </c>
      <c r="F25" s="5">
        <f t="shared" si="15"/>
        <v>1.75</v>
      </c>
      <c r="G25" s="1">
        <f t="shared" si="0"/>
        <v>0</v>
      </c>
      <c r="H25" s="1">
        <f t="shared" si="1"/>
        <v>1</v>
      </c>
      <c r="I25" s="1">
        <f t="shared" si="2"/>
        <v>0</v>
      </c>
      <c r="J25" s="1">
        <f t="shared" si="3"/>
        <v>0</v>
      </c>
      <c r="K25" s="1">
        <f t="shared" si="4"/>
        <v>0</v>
      </c>
      <c r="L25" s="1">
        <f t="shared" si="5"/>
        <v>0</v>
      </c>
      <c r="M25" s="1">
        <f t="shared" si="6"/>
        <v>0</v>
      </c>
      <c r="O25" s="1">
        <f t="shared" si="7"/>
        <v>48</v>
      </c>
      <c r="P25" s="1">
        <f t="shared" si="8"/>
        <v>1</v>
      </c>
      <c r="Q25" s="1">
        <f t="shared" si="9"/>
        <v>0</v>
      </c>
      <c r="R25" s="1">
        <f t="shared" si="10"/>
        <v>0</v>
      </c>
      <c r="S25" s="1">
        <f t="shared" si="11"/>
        <v>0</v>
      </c>
      <c r="T25" s="31" t="s">
        <v>5</v>
      </c>
      <c r="U25" s="31" t="s">
        <v>17</v>
      </c>
      <c r="V25" s="31" t="s">
        <v>17</v>
      </c>
      <c r="W25" s="31" t="s">
        <v>17</v>
      </c>
      <c r="X25" s="31" t="s">
        <v>17</v>
      </c>
      <c r="Y25" s="31" t="s">
        <v>17</v>
      </c>
      <c r="Z25" s="31" t="s">
        <v>17</v>
      </c>
      <c r="AA25" s="31" t="s">
        <v>17</v>
      </c>
      <c r="AB25" s="31" t="s">
        <v>17</v>
      </c>
      <c r="AC25" s="31" t="s">
        <v>17</v>
      </c>
      <c r="AD25" s="31" t="s">
        <v>18</v>
      </c>
      <c r="AE25" s="31" t="s">
        <v>17</v>
      </c>
      <c r="AF25" s="31" t="s">
        <v>17</v>
      </c>
      <c r="AG25" s="31" t="s">
        <v>17</v>
      </c>
      <c r="AH25" s="31" t="s">
        <v>17</v>
      </c>
      <c r="AI25" s="31" t="s">
        <v>17</v>
      </c>
      <c r="AJ25" s="31" t="s">
        <v>17</v>
      </c>
      <c r="AK25" s="31" t="s">
        <v>17</v>
      </c>
      <c r="AL25" s="31" t="s">
        <v>17</v>
      </c>
      <c r="AM25" s="31" t="s">
        <v>17</v>
      </c>
      <c r="AN25" s="31" t="s">
        <v>17</v>
      </c>
      <c r="AO25" s="31" t="s">
        <v>17</v>
      </c>
      <c r="AP25" s="31" t="s">
        <v>17</v>
      </c>
      <c r="AQ25" s="31" t="s">
        <v>17</v>
      </c>
      <c r="AR25" s="31" t="s">
        <v>17</v>
      </c>
      <c r="AS25" s="31" t="s">
        <v>17</v>
      </c>
      <c r="AT25" s="31" t="s">
        <v>17</v>
      </c>
      <c r="AU25" s="31" t="s">
        <v>17</v>
      </c>
      <c r="AV25" s="31" t="s">
        <v>17</v>
      </c>
      <c r="AW25" s="31" t="s">
        <v>17</v>
      </c>
      <c r="AX25" s="31" t="s">
        <v>17</v>
      </c>
      <c r="AY25" s="31" t="s">
        <v>17</v>
      </c>
      <c r="AZ25" s="31" t="s">
        <v>17</v>
      </c>
      <c r="BA25" s="31" t="s">
        <v>17</v>
      </c>
      <c r="BB25" s="31" t="s">
        <v>17</v>
      </c>
      <c r="BC25" s="31" t="s">
        <v>17</v>
      </c>
      <c r="BD25" s="31" t="s">
        <v>17</v>
      </c>
      <c r="BE25" s="31" t="s">
        <v>17</v>
      </c>
      <c r="BF25" s="31" t="s">
        <v>17</v>
      </c>
      <c r="BG25" s="31" t="s">
        <v>17</v>
      </c>
      <c r="BH25" s="31" t="s">
        <v>17</v>
      </c>
      <c r="BI25" s="31" t="s">
        <v>17</v>
      </c>
      <c r="BJ25" s="31" t="s">
        <v>17</v>
      </c>
      <c r="BK25" s="31" t="s">
        <v>17</v>
      </c>
      <c r="BL25" s="31" t="s">
        <v>17</v>
      </c>
      <c r="BM25" s="31" t="s">
        <v>17</v>
      </c>
      <c r="BN25" s="31" t="s">
        <v>17</v>
      </c>
      <c r="BO25" s="31" t="s">
        <v>17</v>
      </c>
      <c r="BP25" s="31" t="s">
        <v>17</v>
      </c>
      <c r="BQ25" s="31" t="s">
        <v>17</v>
      </c>
    </row>
    <row r="26" spans="2:69" x14ac:dyDescent="0.3">
      <c r="B26" s="41">
        <v>3</v>
      </c>
      <c r="C26" t="s">
        <v>58</v>
      </c>
      <c r="D26" s="43">
        <f t="shared" si="14"/>
        <v>4.1666666664241347E-2</v>
      </c>
      <c r="E26" s="42">
        <f t="shared" si="12"/>
        <v>1.7916666666642413</v>
      </c>
      <c r="F26" s="5">
        <f t="shared" si="15"/>
        <v>1.7916666666642413</v>
      </c>
      <c r="G26" s="1">
        <f t="shared" si="0"/>
        <v>0</v>
      </c>
      <c r="H26" s="1">
        <f t="shared" si="1"/>
        <v>1</v>
      </c>
      <c r="I26" s="1">
        <f t="shared" si="2"/>
        <v>0</v>
      </c>
      <c r="J26" s="1">
        <f t="shared" si="3"/>
        <v>0</v>
      </c>
      <c r="K26" s="1">
        <f t="shared" si="4"/>
        <v>0</v>
      </c>
      <c r="L26" s="1">
        <f t="shared" si="5"/>
        <v>0</v>
      </c>
      <c r="M26" s="1">
        <f t="shared" si="6"/>
        <v>0</v>
      </c>
      <c r="O26" s="1">
        <f t="shared" si="7"/>
        <v>48</v>
      </c>
      <c r="P26" s="1">
        <f t="shared" si="8"/>
        <v>1</v>
      </c>
      <c r="Q26" s="1">
        <f t="shared" si="9"/>
        <v>0</v>
      </c>
      <c r="R26" s="1">
        <f t="shared" si="10"/>
        <v>0</v>
      </c>
      <c r="S26" s="1">
        <f t="shared" si="11"/>
        <v>0</v>
      </c>
      <c r="T26" s="31" t="s">
        <v>5</v>
      </c>
      <c r="U26" s="31" t="s">
        <v>17</v>
      </c>
      <c r="V26" s="31" t="s">
        <v>17</v>
      </c>
      <c r="W26" s="31" t="s">
        <v>17</v>
      </c>
      <c r="X26" s="31" t="s">
        <v>17</v>
      </c>
      <c r="Y26" s="31" t="s">
        <v>17</v>
      </c>
      <c r="Z26" s="31" t="s">
        <v>17</v>
      </c>
      <c r="AA26" s="31" t="s">
        <v>17</v>
      </c>
      <c r="AB26" s="31" t="s">
        <v>17</v>
      </c>
      <c r="AC26" s="31" t="s">
        <v>17</v>
      </c>
      <c r="AD26" s="31" t="s">
        <v>18</v>
      </c>
      <c r="AE26" s="31" t="s">
        <v>17</v>
      </c>
      <c r="AF26" s="31" t="s">
        <v>17</v>
      </c>
      <c r="AG26" s="31" t="s">
        <v>17</v>
      </c>
      <c r="AH26" s="31" t="s">
        <v>17</v>
      </c>
      <c r="AI26" s="31" t="s">
        <v>17</v>
      </c>
      <c r="AJ26" s="31" t="s">
        <v>17</v>
      </c>
      <c r="AK26" s="31" t="s">
        <v>17</v>
      </c>
      <c r="AL26" s="31" t="s">
        <v>17</v>
      </c>
      <c r="AM26" s="31" t="s">
        <v>17</v>
      </c>
      <c r="AN26" s="31" t="s">
        <v>17</v>
      </c>
      <c r="AO26" s="31" t="s">
        <v>17</v>
      </c>
      <c r="AP26" s="31" t="s">
        <v>17</v>
      </c>
      <c r="AQ26" s="31" t="s">
        <v>17</v>
      </c>
      <c r="AR26" s="31" t="s">
        <v>17</v>
      </c>
      <c r="AS26" s="31" t="s">
        <v>17</v>
      </c>
      <c r="AT26" s="31" t="s">
        <v>17</v>
      </c>
      <c r="AU26" s="31" t="s">
        <v>17</v>
      </c>
      <c r="AV26" s="31" t="s">
        <v>17</v>
      </c>
      <c r="AW26" s="31" t="s">
        <v>17</v>
      </c>
      <c r="AX26" s="31" t="s">
        <v>17</v>
      </c>
      <c r="AY26" s="31" t="s">
        <v>17</v>
      </c>
      <c r="AZ26" s="31" t="s">
        <v>17</v>
      </c>
      <c r="BA26" s="31" t="s">
        <v>17</v>
      </c>
      <c r="BB26" s="31" t="s">
        <v>17</v>
      </c>
      <c r="BC26" s="31" t="s">
        <v>17</v>
      </c>
      <c r="BD26" s="31" t="s">
        <v>17</v>
      </c>
      <c r="BE26" s="31" t="s">
        <v>17</v>
      </c>
      <c r="BF26" s="31" t="s">
        <v>17</v>
      </c>
      <c r="BG26" s="31" t="s">
        <v>17</v>
      </c>
      <c r="BH26" s="31" t="s">
        <v>17</v>
      </c>
      <c r="BI26" s="31" t="s">
        <v>17</v>
      </c>
      <c r="BJ26" s="31" t="s">
        <v>17</v>
      </c>
      <c r="BK26" s="31" t="s">
        <v>17</v>
      </c>
      <c r="BL26" s="31" t="s">
        <v>17</v>
      </c>
      <c r="BM26" s="31" t="s">
        <v>17</v>
      </c>
      <c r="BN26" s="31" t="s">
        <v>17</v>
      </c>
      <c r="BO26" s="31" t="s">
        <v>17</v>
      </c>
      <c r="BP26" s="31" t="s">
        <v>17</v>
      </c>
      <c r="BQ26" s="31" t="s">
        <v>17</v>
      </c>
    </row>
    <row r="27" spans="2:69" x14ac:dyDescent="0.3">
      <c r="B27" s="41">
        <v>3</v>
      </c>
      <c r="C27" t="s">
        <v>59</v>
      </c>
      <c r="D27" s="43">
        <f t="shared" si="14"/>
        <v>4.1666666671517305E-2</v>
      </c>
      <c r="E27" s="42">
        <f t="shared" si="12"/>
        <v>1.8333333333357587</v>
      </c>
      <c r="F27" s="5">
        <f>F26+D27</f>
        <v>1.8333333333357587</v>
      </c>
      <c r="G27" s="1">
        <f t="shared" si="0"/>
        <v>0</v>
      </c>
      <c r="H27" s="1">
        <f t="shared" si="1"/>
        <v>1</v>
      </c>
      <c r="I27" s="1">
        <f t="shared" si="2"/>
        <v>0</v>
      </c>
      <c r="J27" s="1">
        <f t="shared" si="3"/>
        <v>0</v>
      </c>
      <c r="K27" s="1">
        <f t="shared" si="4"/>
        <v>0</v>
      </c>
      <c r="L27" s="1">
        <f t="shared" si="5"/>
        <v>0</v>
      </c>
      <c r="M27" s="1">
        <f t="shared" si="6"/>
        <v>0</v>
      </c>
      <c r="O27" s="1">
        <f t="shared" si="7"/>
        <v>48</v>
      </c>
      <c r="P27" s="1">
        <f t="shared" si="8"/>
        <v>1</v>
      </c>
      <c r="Q27" s="1">
        <f t="shared" si="9"/>
        <v>0</v>
      </c>
      <c r="R27" s="1">
        <f t="shared" si="10"/>
        <v>0</v>
      </c>
      <c r="S27" s="1">
        <f t="shared" si="11"/>
        <v>0</v>
      </c>
      <c r="T27" s="31" t="s">
        <v>5</v>
      </c>
      <c r="U27" s="31" t="s">
        <v>17</v>
      </c>
      <c r="V27" s="31" t="s">
        <v>17</v>
      </c>
      <c r="W27" s="31" t="s">
        <v>17</v>
      </c>
      <c r="X27" s="31" t="s">
        <v>17</v>
      </c>
      <c r="Y27" s="31" t="s">
        <v>17</v>
      </c>
      <c r="Z27" s="31" t="s">
        <v>17</v>
      </c>
      <c r="AA27" s="31" t="s">
        <v>17</v>
      </c>
      <c r="AB27" s="31" t="s">
        <v>17</v>
      </c>
      <c r="AC27" s="31" t="s">
        <v>17</v>
      </c>
      <c r="AD27" s="31" t="s">
        <v>18</v>
      </c>
      <c r="AE27" s="31" t="s">
        <v>17</v>
      </c>
      <c r="AF27" s="31" t="s">
        <v>17</v>
      </c>
      <c r="AG27" s="31" t="s">
        <v>17</v>
      </c>
      <c r="AH27" s="31" t="s">
        <v>17</v>
      </c>
      <c r="AI27" s="31" t="s">
        <v>17</v>
      </c>
      <c r="AJ27" s="31" t="s">
        <v>17</v>
      </c>
      <c r="AK27" s="31" t="s">
        <v>17</v>
      </c>
      <c r="AL27" s="31" t="s">
        <v>17</v>
      </c>
      <c r="AM27" s="31" t="s">
        <v>17</v>
      </c>
      <c r="AN27" s="31" t="s">
        <v>17</v>
      </c>
      <c r="AO27" s="31" t="s">
        <v>17</v>
      </c>
      <c r="AP27" s="31" t="s">
        <v>17</v>
      </c>
      <c r="AQ27" s="31" t="s">
        <v>17</v>
      </c>
      <c r="AR27" s="31" t="s">
        <v>17</v>
      </c>
      <c r="AS27" s="31" t="s">
        <v>17</v>
      </c>
      <c r="AT27" s="31" t="s">
        <v>17</v>
      </c>
      <c r="AU27" s="31" t="s">
        <v>17</v>
      </c>
      <c r="AV27" s="31" t="s">
        <v>17</v>
      </c>
      <c r="AW27" s="31" t="s">
        <v>17</v>
      </c>
      <c r="AX27" s="31" t="s">
        <v>17</v>
      </c>
      <c r="AY27" s="31" t="s">
        <v>17</v>
      </c>
      <c r="AZ27" s="31" t="s">
        <v>17</v>
      </c>
      <c r="BA27" s="31" t="s">
        <v>17</v>
      </c>
      <c r="BB27" s="31" t="s">
        <v>17</v>
      </c>
      <c r="BC27" s="31" t="s">
        <v>17</v>
      </c>
      <c r="BD27" s="31" t="s">
        <v>17</v>
      </c>
      <c r="BE27" s="31" t="s">
        <v>17</v>
      </c>
      <c r="BF27" s="31" t="s">
        <v>17</v>
      </c>
      <c r="BG27" s="31" t="s">
        <v>17</v>
      </c>
      <c r="BH27" s="31" t="s">
        <v>17</v>
      </c>
      <c r="BI27" s="31" t="s">
        <v>17</v>
      </c>
      <c r="BJ27" s="31" t="s">
        <v>17</v>
      </c>
      <c r="BK27" s="31" t="s">
        <v>17</v>
      </c>
      <c r="BL27" s="31" t="s">
        <v>17</v>
      </c>
      <c r="BM27" s="31" t="s">
        <v>17</v>
      </c>
      <c r="BN27" s="31" t="s">
        <v>17</v>
      </c>
      <c r="BO27" s="31" t="s">
        <v>17</v>
      </c>
      <c r="BP27" s="31" t="s">
        <v>17</v>
      </c>
      <c r="BQ27" s="31" t="s">
        <v>17</v>
      </c>
    </row>
    <row r="28" spans="2:69" x14ac:dyDescent="0.3">
      <c r="B28" s="41">
        <v>3</v>
      </c>
      <c r="C28" t="s">
        <v>60</v>
      </c>
      <c r="D28" s="43">
        <f t="shared" si="14"/>
        <v>4.1666666664241347E-2</v>
      </c>
      <c r="E28" s="42">
        <f t="shared" si="12"/>
        <v>1.875</v>
      </c>
      <c r="F28" s="5">
        <f t="shared" si="15"/>
        <v>1.875</v>
      </c>
      <c r="G28" s="1">
        <f t="shared" si="0"/>
        <v>0</v>
      </c>
      <c r="H28" s="1">
        <f t="shared" si="1"/>
        <v>0</v>
      </c>
      <c r="I28" s="1">
        <f t="shared" si="2"/>
        <v>0</v>
      </c>
      <c r="J28" s="1">
        <f t="shared" si="3"/>
        <v>0</v>
      </c>
      <c r="K28" s="1">
        <f t="shared" si="4"/>
        <v>0</v>
      </c>
      <c r="L28" s="1">
        <f t="shared" si="5"/>
        <v>0</v>
      </c>
      <c r="M28" s="1">
        <f t="shared" si="6"/>
        <v>0</v>
      </c>
      <c r="O28" s="1">
        <f t="shared" si="7"/>
        <v>48</v>
      </c>
      <c r="P28" s="1">
        <f t="shared" si="8"/>
        <v>2</v>
      </c>
      <c r="Q28" s="1">
        <f t="shared" si="9"/>
        <v>0</v>
      </c>
      <c r="R28" s="1">
        <f t="shared" si="10"/>
        <v>0</v>
      </c>
      <c r="S28" s="1">
        <f t="shared" si="11"/>
        <v>0</v>
      </c>
      <c r="T28" s="31" t="s">
        <v>18</v>
      </c>
      <c r="U28" s="31" t="s">
        <v>17</v>
      </c>
      <c r="V28" s="31" t="s">
        <v>17</v>
      </c>
      <c r="W28" s="31" t="s">
        <v>17</v>
      </c>
      <c r="X28" s="31" t="s">
        <v>17</v>
      </c>
      <c r="Y28" s="31" t="s">
        <v>17</v>
      </c>
      <c r="Z28" s="31" t="s">
        <v>17</v>
      </c>
      <c r="AA28" s="31" t="s">
        <v>17</v>
      </c>
      <c r="AB28" s="31" t="s">
        <v>17</v>
      </c>
      <c r="AC28" s="31" t="s">
        <v>17</v>
      </c>
      <c r="AD28" s="31" t="s">
        <v>18</v>
      </c>
      <c r="AE28" s="31" t="s">
        <v>17</v>
      </c>
      <c r="AF28" s="31" t="s">
        <v>17</v>
      </c>
      <c r="AG28" s="31" t="s">
        <v>17</v>
      </c>
      <c r="AH28" s="31" t="s">
        <v>17</v>
      </c>
      <c r="AI28" s="31" t="s">
        <v>17</v>
      </c>
      <c r="AJ28" s="31" t="s">
        <v>17</v>
      </c>
      <c r="AK28" s="31" t="s">
        <v>17</v>
      </c>
      <c r="AL28" s="31" t="s">
        <v>17</v>
      </c>
      <c r="AM28" s="31" t="s">
        <v>17</v>
      </c>
      <c r="AN28" s="31" t="s">
        <v>17</v>
      </c>
      <c r="AO28" s="31" t="s">
        <v>17</v>
      </c>
      <c r="AP28" s="31" t="s">
        <v>17</v>
      </c>
      <c r="AQ28" s="31" t="s">
        <v>17</v>
      </c>
      <c r="AR28" s="31" t="s">
        <v>17</v>
      </c>
      <c r="AS28" s="31" t="s">
        <v>17</v>
      </c>
      <c r="AT28" s="31" t="s">
        <v>17</v>
      </c>
      <c r="AU28" s="31" t="s">
        <v>17</v>
      </c>
      <c r="AV28" s="31" t="s">
        <v>17</v>
      </c>
      <c r="AW28" s="31" t="s">
        <v>17</v>
      </c>
      <c r="AX28" s="31" t="s">
        <v>17</v>
      </c>
      <c r="AY28" s="31" t="s">
        <v>17</v>
      </c>
      <c r="AZ28" s="31" t="s">
        <v>17</v>
      </c>
      <c r="BA28" s="31" t="s">
        <v>17</v>
      </c>
      <c r="BB28" s="31" t="s">
        <v>17</v>
      </c>
      <c r="BC28" s="31" t="s">
        <v>17</v>
      </c>
      <c r="BD28" s="31" t="s">
        <v>17</v>
      </c>
      <c r="BE28" s="31" t="s">
        <v>17</v>
      </c>
      <c r="BF28" s="31" t="s">
        <v>17</v>
      </c>
      <c r="BG28" s="31" t="s">
        <v>17</v>
      </c>
      <c r="BH28" s="31" t="s">
        <v>17</v>
      </c>
      <c r="BI28" s="31" t="s">
        <v>17</v>
      </c>
      <c r="BJ28" s="31" t="s">
        <v>17</v>
      </c>
      <c r="BK28" s="31" t="s">
        <v>17</v>
      </c>
      <c r="BL28" s="31" t="s">
        <v>17</v>
      </c>
      <c r="BM28" s="31" t="s">
        <v>17</v>
      </c>
      <c r="BN28" s="31" t="s">
        <v>17</v>
      </c>
      <c r="BO28" s="31" t="s">
        <v>17</v>
      </c>
      <c r="BP28" s="31" t="s">
        <v>17</v>
      </c>
      <c r="BQ28" s="31" t="s">
        <v>17</v>
      </c>
    </row>
    <row r="29" spans="2:69" x14ac:dyDescent="0.3">
      <c r="B29" s="41"/>
      <c r="D29" s="43"/>
      <c r="E29" s="42"/>
      <c r="F29" s="5"/>
      <c r="G29" s="1"/>
      <c r="H29" s="1"/>
      <c r="I29" s="1"/>
      <c r="J29" s="1"/>
      <c r="K29" s="1"/>
      <c r="L29" s="1"/>
      <c r="M29" s="1"/>
      <c r="O29" s="1"/>
      <c r="P29" s="1"/>
      <c r="Q29" s="1"/>
      <c r="R29" s="1"/>
      <c r="S29" s="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</row>
    <row r="30" spans="2:69" x14ac:dyDescent="0.3">
      <c r="B30" s="41"/>
      <c r="D30" s="43"/>
      <c r="E30" s="42"/>
      <c r="F30" s="5"/>
      <c r="G30" s="1"/>
      <c r="H30" s="1"/>
      <c r="I30" s="1"/>
      <c r="J30" s="1"/>
      <c r="K30" s="1"/>
      <c r="L30" s="1"/>
      <c r="M30" s="1"/>
      <c r="N30" s="5"/>
      <c r="O30" s="1"/>
      <c r="P30" s="1"/>
      <c r="Q30" s="1"/>
      <c r="R30" s="1"/>
      <c r="S30" s="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</row>
    <row r="31" spans="2:69" x14ac:dyDescent="0.3">
      <c r="B31" s="41"/>
      <c r="D31" s="43"/>
      <c r="E31" s="42"/>
      <c r="F31" s="5"/>
      <c r="G31" s="1"/>
      <c r="H31" s="1"/>
      <c r="I31" s="1"/>
      <c r="J31" s="1"/>
      <c r="K31" s="1"/>
      <c r="L31" s="1"/>
      <c r="M31" s="1"/>
      <c r="N31" s="5"/>
      <c r="O31" s="1"/>
      <c r="P31" s="1"/>
      <c r="Q31" s="1"/>
      <c r="R31" s="1"/>
      <c r="S31" s="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</row>
    <row r="32" spans="2:69" x14ac:dyDescent="0.3">
      <c r="B32" s="41"/>
      <c r="D32" s="43"/>
      <c r="E32" s="42"/>
      <c r="F32" s="5"/>
      <c r="G32" s="1"/>
      <c r="H32" s="1"/>
      <c r="I32" s="1"/>
      <c r="J32" s="1"/>
      <c r="K32" s="1"/>
      <c r="L32" s="1"/>
      <c r="M32" s="1"/>
      <c r="N32" s="5"/>
      <c r="O32" s="1"/>
      <c r="P32" s="1"/>
      <c r="Q32" s="1"/>
      <c r="R32" s="1"/>
      <c r="S32" s="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</row>
    <row r="33" spans="2:69" x14ac:dyDescent="0.3">
      <c r="B33" s="41"/>
      <c r="D33" s="43"/>
      <c r="E33" s="42"/>
      <c r="F33" s="5"/>
      <c r="G33" s="1"/>
      <c r="H33" s="1"/>
      <c r="I33" s="1"/>
      <c r="J33" s="1"/>
      <c r="K33" s="1"/>
      <c r="L33" s="1"/>
      <c r="M33" s="1"/>
      <c r="N33" s="5"/>
      <c r="O33" s="1"/>
      <c r="P33" s="1"/>
      <c r="Q33" s="1"/>
      <c r="R33" s="1"/>
      <c r="S33" s="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</row>
    <row r="34" spans="2:69" x14ac:dyDescent="0.3">
      <c r="B34" s="41"/>
      <c r="D34" s="43"/>
      <c r="E34" s="42"/>
      <c r="F34" s="5"/>
      <c r="G34" s="1"/>
      <c r="H34" s="1"/>
      <c r="I34" s="1"/>
      <c r="J34" s="1"/>
      <c r="K34" s="1"/>
      <c r="L34" s="1"/>
      <c r="M34" s="1"/>
      <c r="N34" s="5"/>
      <c r="O34" s="1"/>
      <c r="P34" s="1"/>
      <c r="Q34" s="1"/>
      <c r="R34" s="1"/>
      <c r="S34" s="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</row>
    <row r="35" spans="2:69" x14ac:dyDescent="0.3">
      <c r="B35" s="41"/>
      <c r="D35" s="43"/>
      <c r="E35" s="42"/>
      <c r="F35" s="5"/>
      <c r="G35" s="1"/>
      <c r="H35" s="1"/>
      <c r="I35" s="1"/>
      <c r="J35" s="1"/>
      <c r="K35" s="1"/>
      <c r="L35" s="1"/>
      <c r="M35" s="1"/>
      <c r="N35" s="5"/>
      <c r="O35" s="1"/>
      <c r="P35" s="1"/>
      <c r="Q35" s="1"/>
      <c r="R35" s="1"/>
      <c r="S35" s="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</row>
    <row r="36" spans="2:69" x14ac:dyDescent="0.3">
      <c r="B36" s="41"/>
      <c r="D36" s="43"/>
      <c r="E36" s="42"/>
      <c r="F36" s="5"/>
      <c r="G36" s="1"/>
      <c r="H36" s="1"/>
      <c r="I36" s="1"/>
      <c r="J36" s="1"/>
      <c r="K36" s="1"/>
      <c r="L36" s="1"/>
      <c r="M36" s="1"/>
      <c r="N36" s="5"/>
      <c r="O36" s="1"/>
      <c r="P36" s="1"/>
      <c r="Q36" s="1"/>
      <c r="R36" s="1"/>
      <c r="S36" s="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</row>
    <row r="37" spans="2:69" x14ac:dyDescent="0.3">
      <c r="B37" s="41"/>
      <c r="D37" s="43"/>
      <c r="E37" s="42"/>
      <c r="F37" s="5"/>
      <c r="G37" s="1"/>
      <c r="H37" s="1"/>
      <c r="I37" s="1"/>
      <c r="J37" s="1"/>
      <c r="K37" s="1"/>
      <c r="L37" s="1"/>
      <c r="M37" s="1"/>
      <c r="N37" s="5"/>
      <c r="O37" s="1"/>
      <c r="P37" s="1"/>
      <c r="Q37" s="1"/>
      <c r="R37" s="1"/>
      <c r="S37" s="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</row>
    <row r="38" spans="2:69" x14ac:dyDescent="0.3">
      <c r="B38" s="41"/>
      <c r="D38" s="43"/>
      <c r="E38" s="42"/>
      <c r="F38" s="5"/>
      <c r="G38" s="1"/>
      <c r="H38" s="1"/>
      <c r="I38" s="1"/>
      <c r="J38" s="1"/>
      <c r="K38" s="1"/>
      <c r="L38" s="1"/>
      <c r="M38" s="1"/>
      <c r="N38" s="5"/>
      <c r="O38" s="1"/>
      <c r="P38" s="1"/>
      <c r="Q38" s="1"/>
      <c r="R38" s="1"/>
      <c r="S38" s="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</row>
    <row r="39" spans="2:69" x14ac:dyDescent="0.3">
      <c r="B39" s="41"/>
      <c r="D39" s="43"/>
      <c r="E39" s="42"/>
      <c r="F39" s="5"/>
      <c r="G39" s="1"/>
      <c r="H39" s="1"/>
      <c r="I39" s="1"/>
      <c r="J39" s="1"/>
      <c r="K39" s="1"/>
      <c r="L39" s="1"/>
      <c r="M39" s="1"/>
      <c r="N39" s="5"/>
      <c r="O39" s="1"/>
      <c r="P39" s="1"/>
      <c r="Q39" s="1"/>
      <c r="R39" s="1"/>
      <c r="S39" s="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</row>
    <row r="40" spans="2:69" x14ac:dyDescent="0.3">
      <c r="B40" s="41"/>
      <c r="D40" s="43"/>
      <c r="E40" s="42"/>
      <c r="F40" s="5"/>
      <c r="G40" s="1"/>
      <c r="H40" s="1"/>
      <c r="I40" s="1"/>
      <c r="J40" s="1"/>
      <c r="K40" s="1"/>
      <c r="L40" s="1"/>
      <c r="M40" s="1"/>
      <c r="N40" s="5"/>
      <c r="O40" s="1"/>
      <c r="P40" s="1"/>
      <c r="Q40" s="1"/>
      <c r="R40" s="1"/>
      <c r="S40" s="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</row>
    <row r="41" spans="2:69" x14ac:dyDescent="0.3">
      <c r="B41" s="41"/>
      <c r="D41" s="43"/>
      <c r="E41" s="42"/>
      <c r="F41" s="5"/>
      <c r="G41" s="1"/>
      <c r="H41" s="1"/>
      <c r="I41" s="1"/>
      <c r="J41" s="1"/>
      <c r="K41" s="1"/>
      <c r="L41" s="1"/>
      <c r="M41" s="1"/>
      <c r="N41" s="5"/>
      <c r="O41" s="1"/>
      <c r="P41" s="1"/>
      <c r="Q41" s="1"/>
      <c r="R41" s="1"/>
      <c r="S41" s="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</row>
    <row r="42" spans="2:69" x14ac:dyDescent="0.3">
      <c r="B42" s="41"/>
      <c r="D42" s="43"/>
      <c r="E42" s="42"/>
      <c r="F42" s="5"/>
      <c r="G42" s="1"/>
      <c r="H42" s="1"/>
      <c r="I42" s="1"/>
      <c r="J42" s="1"/>
      <c r="K42" s="1"/>
      <c r="L42" s="1"/>
      <c r="M42" s="1"/>
      <c r="N42" s="5"/>
      <c r="O42" s="1"/>
      <c r="P42" s="1"/>
      <c r="Q42" s="1"/>
      <c r="R42" s="1"/>
      <c r="S42" s="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</row>
    <row r="43" spans="2:69" x14ac:dyDescent="0.3">
      <c r="B43" s="41"/>
      <c r="D43" s="43"/>
      <c r="E43" s="42"/>
      <c r="F43" s="5"/>
      <c r="G43" s="1"/>
      <c r="H43" s="1"/>
      <c r="I43" s="1"/>
      <c r="J43" s="1"/>
      <c r="K43" s="1"/>
      <c r="L43" s="1"/>
      <c r="M43" s="1"/>
      <c r="N43" s="5"/>
      <c r="O43" s="1"/>
      <c r="P43" s="1"/>
      <c r="Q43" s="1"/>
      <c r="R43" s="1"/>
      <c r="S43" s="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</row>
    <row r="44" spans="2:69" x14ac:dyDescent="0.3">
      <c r="B44" s="41"/>
      <c r="D44" s="43"/>
      <c r="E44" s="42"/>
      <c r="F44" s="5"/>
      <c r="G44" s="1"/>
      <c r="H44" s="1"/>
      <c r="I44" s="1"/>
      <c r="J44" s="1"/>
      <c r="K44" s="1"/>
      <c r="L44" s="1"/>
      <c r="M44" s="1"/>
      <c r="N44" s="5"/>
      <c r="O44" s="1"/>
      <c r="P44" s="1"/>
      <c r="Q44" s="1"/>
      <c r="R44" s="1"/>
      <c r="S44" s="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</row>
    <row r="45" spans="2:69" x14ac:dyDescent="0.3">
      <c r="B45" s="41"/>
      <c r="D45" s="43"/>
      <c r="E45" s="42"/>
      <c r="F45" s="5"/>
      <c r="G45" s="1"/>
      <c r="H45" s="1"/>
      <c r="I45" s="1"/>
      <c r="J45" s="1"/>
      <c r="K45" s="1"/>
      <c r="L45" s="1"/>
      <c r="M45" s="1"/>
      <c r="N45" s="5"/>
      <c r="O45" s="1"/>
      <c r="P45" s="1"/>
      <c r="Q45" s="1"/>
      <c r="R45" s="1"/>
      <c r="S45" s="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</row>
    <row r="46" spans="2:69" x14ac:dyDescent="0.3">
      <c r="B46" s="41"/>
      <c r="D46" s="43"/>
      <c r="E46" s="42"/>
      <c r="F46" s="5"/>
      <c r="G46" s="1"/>
      <c r="H46" s="1"/>
      <c r="I46" s="1"/>
      <c r="J46" s="1"/>
      <c r="K46" s="1"/>
      <c r="L46" s="1"/>
      <c r="M46" s="1"/>
      <c r="N46" s="5"/>
      <c r="O46" s="1"/>
      <c r="P46" s="1"/>
      <c r="Q46" s="1"/>
      <c r="R46" s="1"/>
      <c r="S46" s="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</row>
    <row r="47" spans="2:69" x14ac:dyDescent="0.3">
      <c r="B47" s="41"/>
      <c r="D47" s="43"/>
      <c r="E47" s="42"/>
      <c r="F47" s="5"/>
      <c r="G47" s="1"/>
      <c r="H47" s="1"/>
      <c r="I47" s="1"/>
      <c r="J47" s="1"/>
      <c r="K47" s="1"/>
      <c r="L47" s="1"/>
      <c r="M47" s="1"/>
      <c r="N47" s="5"/>
      <c r="O47" s="1"/>
      <c r="P47" s="1"/>
      <c r="Q47" s="1"/>
      <c r="R47" s="1"/>
      <c r="S47" s="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</row>
    <row r="48" spans="2:69" x14ac:dyDescent="0.3">
      <c r="B48" s="41"/>
      <c r="D48" s="43"/>
      <c r="E48" s="42"/>
      <c r="F48" s="5"/>
      <c r="G48" s="1"/>
      <c r="H48" s="1"/>
      <c r="I48" s="1"/>
      <c r="J48" s="1"/>
      <c r="K48" s="1"/>
      <c r="L48" s="1"/>
      <c r="M48" s="1"/>
      <c r="N48" s="5"/>
      <c r="O48" s="1"/>
      <c r="P48" s="1"/>
      <c r="Q48" s="1"/>
      <c r="R48" s="1"/>
      <c r="S48" s="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</row>
    <row r="49" spans="2:69" x14ac:dyDescent="0.3">
      <c r="B49" s="41"/>
      <c r="D49" s="43"/>
      <c r="E49" s="42"/>
      <c r="F49" s="5"/>
      <c r="G49" s="1"/>
      <c r="H49" s="1"/>
      <c r="I49" s="1"/>
      <c r="J49" s="1"/>
      <c r="K49" s="1"/>
      <c r="L49" s="1"/>
      <c r="M49" s="1"/>
      <c r="N49" s="5"/>
      <c r="O49" s="1"/>
      <c r="P49" s="1"/>
      <c r="Q49" s="1"/>
      <c r="R49" s="1"/>
      <c r="S49" s="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</row>
    <row r="50" spans="2:69" x14ac:dyDescent="0.3">
      <c r="B50" s="41"/>
      <c r="D50" s="43"/>
      <c r="E50" s="42"/>
      <c r="F50" s="5"/>
      <c r="G50" s="1"/>
      <c r="H50" s="1"/>
      <c r="I50" s="1"/>
      <c r="J50" s="1"/>
      <c r="K50" s="1"/>
      <c r="L50" s="1"/>
      <c r="M50" s="1"/>
      <c r="N50" s="5"/>
      <c r="O50" s="1"/>
      <c r="P50" s="1"/>
      <c r="Q50" s="1"/>
      <c r="R50" s="1"/>
      <c r="S50" s="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</row>
    <row r="51" spans="2:69" x14ac:dyDescent="0.3">
      <c r="B51" s="41"/>
      <c r="D51" s="43"/>
      <c r="E51" s="42"/>
      <c r="F51" s="5"/>
      <c r="G51" s="1"/>
      <c r="H51" s="1"/>
      <c r="I51" s="1"/>
      <c r="J51" s="1"/>
      <c r="K51" s="1"/>
      <c r="L51" s="1"/>
      <c r="M51" s="1"/>
      <c r="N51" s="5"/>
      <c r="O51" s="1"/>
      <c r="P51" s="1"/>
      <c r="Q51" s="1"/>
      <c r="R51" s="1"/>
      <c r="S51" s="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</row>
    <row r="52" spans="2:69" x14ac:dyDescent="0.3">
      <c r="B52" s="41"/>
      <c r="D52" s="43"/>
      <c r="E52" s="42"/>
      <c r="F52" s="5"/>
      <c r="G52" s="1"/>
      <c r="H52" s="1"/>
      <c r="I52" s="1"/>
      <c r="J52" s="1"/>
      <c r="K52" s="1"/>
      <c r="L52" s="1"/>
      <c r="M52" s="1"/>
      <c r="N52" s="5"/>
      <c r="O52" s="1"/>
      <c r="P52" s="1"/>
      <c r="Q52" s="1"/>
      <c r="R52" s="1"/>
      <c r="S52" s="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</row>
    <row r="53" spans="2:69" x14ac:dyDescent="0.3">
      <c r="B53" s="41"/>
      <c r="D53" s="43"/>
      <c r="E53" s="42"/>
      <c r="F53" s="5"/>
      <c r="G53" s="1"/>
      <c r="H53" s="1"/>
      <c r="I53" s="1"/>
      <c r="J53" s="1"/>
      <c r="K53" s="1"/>
      <c r="L53" s="1"/>
      <c r="M53" s="1"/>
      <c r="N53" s="5"/>
      <c r="O53" s="1"/>
      <c r="P53" s="1"/>
      <c r="Q53" s="1"/>
      <c r="R53" s="1"/>
      <c r="S53" s="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</row>
    <row r="54" spans="2:69" x14ac:dyDescent="0.3">
      <c r="B54" s="41"/>
      <c r="D54" s="43"/>
      <c r="E54" s="42"/>
      <c r="F54" s="5"/>
      <c r="G54" s="1"/>
      <c r="H54" s="1"/>
      <c r="I54" s="1"/>
      <c r="J54" s="1"/>
      <c r="K54" s="1"/>
      <c r="L54" s="1"/>
      <c r="M54" s="1"/>
      <c r="N54" s="5"/>
      <c r="O54" s="1"/>
      <c r="P54" s="1"/>
      <c r="Q54" s="1"/>
      <c r="R54" s="1"/>
      <c r="S54" s="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</row>
    <row r="55" spans="2:69" x14ac:dyDescent="0.3">
      <c r="B55" s="41"/>
      <c r="D55" s="43"/>
      <c r="E55" s="42"/>
      <c r="F55" s="5"/>
      <c r="G55" s="1"/>
      <c r="H55" s="1"/>
      <c r="I55" s="1"/>
      <c r="J55" s="1"/>
      <c r="K55" s="1"/>
      <c r="L55" s="1"/>
      <c r="M55" s="1"/>
      <c r="N55" s="5"/>
      <c r="O55" s="1"/>
      <c r="P55" s="1"/>
      <c r="Q55" s="1"/>
      <c r="R55" s="1"/>
      <c r="S55" s="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</row>
    <row r="56" spans="2:69" x14ac:dyDescent="0.3">
      <c r="B56" s="41"/>
      <c r="D56" s="43"/>
      <c r="E56" s="42"/>
      <c r="F56" s="5"/>
      <c r="G56" s="1"/>
      <c r="H56" s="1"/>
      <c r="I56" s="1"/>
      <c r="J56" s="1"/>
      <c r="K56" s="1"/>
      <c r="L56" s="1"/>
      <c r="M56" s="1"/>
      <c r="O56" s="1"/>
      <c r="P56" s="1"/>
      <c r="Q56" s="1"/>
      <c r="R56" s="1"/>
      <c r="S56" s="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</row>
    <row r="57" spans="2:69" x14ac:dyDescent="0.3">
      <c r="B57" s="41"/>
      <c r="D57" s="43"/>
      <c r="E57" s="42"/>
      <c r="F57" s="5"/>
      <c r="G57" s="1"/>
      <c r="H57" s="1"/>
      <c r="I57" s="1"/>
      <c r="J57" s="1"/>
      <c r="K57" s="1"/>
      <c r="L57" s="1"/>
      <c r="M57" s="1"/>
      <c r="N57" s="5"/>
      <c r="O57" s="1"/>
      <c r="P57" s="1"/>
      <c r="Q57" s="1"/>
      <c r="R57" s="1"/>
      <c r="S57" s="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</row>
    <row r="58" spans="2:69" x14ac:dyDescent="0.3">
      <c r="B58" s="41"/>
      <c r="D58" s="43"/>
      <c r="E58" s="42"/>
      <c r="F58" s="5"/>
      <c r="G58" s="1"/>
      <c r="H58" s="1"/>
      <c r="I58" s="1"/>
      <c r="J58" s="1"/>
      <c r="K58" s="1"/>
      <c r="L58" s="1"/>
      <c r="M58" s="1"/>
      <c r="N58" s="5"/>
      <c r="O58" s="1"/>
      <c r="P58" s="1"/>
      <c r="Q58" s="1"/>
      <c r="R58" s="1"/>
      <c r="S58" s="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</row>
    <row r="59" spans="2:69" x14ac:dyDescent="0.3">
      <c r="B59" s="41"/>
      <c r="D59" s="43"/>
      <c r="E59" s="42"/>
      <c r="F59" s="5"/>
      <c r="G59" s="1"/>
      <c r="H59" s="1"/>
      <c r="I59" s="1"/>
      <c r="J59" s="1"/>
      <c r="K59" s="1"/>
      <c r="L59" s="1"/>
      <c r="M59" s="1"/>
      <c r="N59" s="5"/>
      <c r="O59" s="1"/>
      <c r="P59" s="1"/>
      <c r="Q59" s="1"/>
      <c r="R59" s="1"/>
      <c r="S59" s="1"/>
    </row>
    <row r="60" spans="2:69" x14ac:dyDescent="0.3">
      <c r="N60" s="5"/>
      <c r="O60" s="1"/>
      <c r="P60" s="1"/>
      <c r="Q60" s="1"/>
      <c r="R60" s="1"/>
      <c r="S60" s="1"/>
    </row>
    <row r="61" spans="2:69" x14ac:dyDescent="0.3">
      <c r="N61" s="5"/>
      <c r="O61" s="1"/>
      <c r="P61" s="1"/>
      <c r="Q61" s="1"/>
      <c r="R61" s="1"/>
      <c r="S61" s="1"/>
    </row>
    <row r="62" spans="2:69" x14ac:dyDescent="0.3">
      <c r="N62" s="5"/>
      <c r="O62" s="1"/>
      <c r="P62" s="1"/>
      <c r="Q62" s="1"/>
      <c r="R62" s="1"/>
      <c r="S62" s="1"/>
    </row>
    <row r="63" spans="2:69" x14ac:dyDescent="0.3">
      <c r="N63" s="5"/>
      <c r="O63" s="1"/>
      <c r="P63" s="1"/>
      <c r="Q63" s="1"/>
      <c r="R63" s="1"/>
      <c r="S63" s="1"/>
    </row>
    <row r="64" spans="2:69" x14ac:dyDescent="0.3">
      <c r="N64" s="5"/>
      <c r="O64" s="1"/>
      <c r="P64" s="1"/>
      <c r="Q64" s="1"/>
      <c r="R64" s="1"/>
      <c r="S64" s="1"/>
    </row>
    <row r="65" spans="14:19" x14ac:dyDescent="0.3">
      <c r="N65" s="5"/>
      <c r="O65" s="1"/>
      <c r="P65" s="1"/>
      <c r="Q65" s="1"/>
      <c r="R65" s="1"/>
      <c r="S65" s="1"/>
    </row>
    <row r="66" spans="14:19" x14ac:dyDescent="0.3">
      <c r="N66" s="5"/>
      <c r="O66" s="1"/>
      <c r="P66" s="1"/>
      <c r="Q66" s="1"/>
      <c r="R66" s="1"/>
      <c r="S66" s="1"/>
    </row>
    <row r="67" spans="14:19" x14ac:dyDescent="0.3">
      <c r="N67" s="5"/>
      <c r="O67" s="1"/>
      <c r="P67" s="1"/>
      <c r="Q67" s="1"/>
      <c r="R67" s="1"/>
      <c r="S67" s="1"/>
    </row>
    <row r="68" spans="14:19" x14ac:dyDescent="0.3">
      <c r="N68" s="5"/>
      <c r="O68" s="1"/>
      <c r="P68" s="1"/>
      <c r="Q68" s="1"/>
      <c r="R68" s="1"/>
      <c r="S68" s="1"/>
    </row>
    <row r="69" spans="14:19" x14ac:dyDescent="0.3">
      <c r="N69" s="5"/>
      <c r="O69" s="1"/>
      <c r="P69" s="1"/>
      <c r="Q69" s="1"/>
      <c r="R69" s="1"/>
      <c r="S69" s="1"/>
    </row>
    <row r="70" spans="14:19" x14ac:dyDescent="0.3">
      <c r="N70" s="5"/>
      <c r="O70" s="1"/>
      <c r="P70" s="1"/>
      <c r="Q70" s="1"/>
      <c r="R70" s="1"/>
      <c r="S70" s="1"/>
    </row>
    <row r="71" spans="14:19" x14ac:dyDescent="0.3">
      <c r="N71" s="5"/>
      <c r="O71" s="1"/>
      <c r="P71" s="1"/>
      <c r="Q71" s="1"/>
      <c r="R71" s="1"/>
      <c r="S71" s="1"/>
    </row>
    <row r="72" spans="14:19" x14ac:dyDescent="0.3">
      <c r="N72" s="5"/>
      <c r="O72" s="1"/>
      <c r="P72" s="1"/>
      <c r="Q72" s="1"/>
      <c r="R72" s="1"/>
      <c r="S72" s="1"/>
    </row>
    <row r="73" spans="14:19" x14ac:dyDescent="0.3">
      <c r="N73" s="5"/>
      <c r="O73" s="1"/>
      <c r="P73" s="1"/>
      <c r="Q73" s="1"/>
      <c r="R73" s="1"/>
      <c r="S73" s="1"/>
    </row>
    <row r="74" spans="14:19" x14ac:dyDescent="0.3">
      <c r="N74" s="5"/>
      <c r="O74" s="1"/>
      <c r="P74" s="1"/>
      <c r="Q74" s="1"/>
      <c r="R74" s="1"/>
      <c r="S74" s="1"/>
    </row>
    <row r="75" spans="14:19" x14ac:dyDescent="0.3">
      <c r="N75" s="5"/>
      <c r="O75" s="1"/>
      <c r="P75" s="1"/>
      <c r="Q75" s="1"/>
      <c r="R75" s="1"/>
      <c r="S75" s="1"/>
    </row>
    <row r="76" spans="14:19" x14ac:dyDescent="0.3">
      <c r="N76" s="5"/>
      <c r="O76" s="1"/>
      <c r="P76" s="1"/>
      <c r="Q76" s="1"/>
      <c r="R76" s="1"/>
      <c r="S76" s="1"/>
    </row>
    <row r="77" spans="14:19" x14ac:dyDescent="0.3">
      <c r="N77" s="5"/>
      <c r="O77" s="1"/>
      <c r="P77" s="1"/>
      <c r="Q77" s="1"/>
      <c r="R77" s="1"/>
      <c r="S77" s="1"/>
    </row>
    <row r="78" spans="14:19" x14ac:dyDescent="0.3">
      <c r="N78" s="5"/>
      <c r="O78" s="1"/>
      <c r="P78" s="1"/>
      <c r="Q78" s="1"/>
      <c r="R78" s="1"/>
      <c r="S78" s="1"/>
    </row>
    <row r="79" spans="14:19" x14ac:dyDescent="0.3">
      <c r="N79" s="5"/>
      <c r="O79" s="1"/>
      <c r="P79" s="1"/>
      <c r="Q79" s="1"/>
      <c r="R79" s="1"/>
      <c r="S79" s="1"/>
    </row>
    <row r="80" spans="14:19" x14ac:dyDescent="0.3">
      <c r="N80" s="5"/>
      <c r="O80" s="1"/>
      <c r="P80" s="1"/>
      <c r="Q80" s="1"/>
      <c r="R80" s="1"/>
      <c r="S80" s="1"/>
    </row>
    <row r="81" spans="14:19" x14ac:dyDescent="0.3">
      <c r="N81" s="5"/>
      <c r="O81" s="1"/>
      <c r="P81" s="1"/>
      <c r="Q81" s="1"/>
      <c r="R81" s="1"/>
      <c r="S81" s="1"/>
    </row>
    <row r="82" spans="14:19" x14ac:dyDescent="0.3">
      <c r="N82" s="5"/>
      <c r="O82" s="1"/>
      <c r="P82" s="1"/>
      <c r="Q82" s="1"/>
      <c r="R82" s="1"/>
      <c r="S82" s="1"/>
    </row>
  </sheetData>
  <mergeCells count="7">
    <mergeCell ref="O1:S1"/>
    <mergeCell ref="A1:A2"/>
    <mergeCell ref="B1:B2"/>
    <mergeCell ref="T1:BQ2"/>
    <mergeCell ref="C1:C2"/>
    <mergeCell ref="D1:D2"/>
    <mergeCell ref="E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36AA-BED0-48A0-9BA6-42041B4FAD4D}">
  <sheetPr>
    <tabColor theme="5"/>
  </sheetPr>
  <dimension ref="A1:BP41"/>
  <sheetViews>
    <sheetView workbookViewId="0">
      <selection activeCell="B24" sqref="B24"/>
    </sheetView>
  </sheetViews>
  <sheetFormatPr defaultRowHeight="14.4" x14ac:dyDescent="0.3"/>
  <cols>
    <col min="2" max="2" width="20.88671875" bestFit="1" customWidth="1"/>
    <col min="3" max="3" width="12.88671875" bestFit="1" customWidth="1"/>
    <col min="13" max="13" width="2.77734375" customWidth="1"/>
  </cols>
  <sheetData>
    <row r="1" spans="1:68" ht="14.4" customHeight="1" x14ac:dyDescent="0.3">
      <c r="A1" s="103" t="s">
        <v>62</v>
      </c>
      <c r="B1" s="101" t="s">
        <v>34</v>
      </c>
      <c r="C1" s="99" t="s">
        <v>23</v>
      </c>
      <c r="D1" s="99" t="s">
        <v>24</v>
      </c>
      <c r="E1" s="104" t="s">
        <v>25</v>
      </c>
      <c r="F1" s="102" t="s">
        <v>15</v>
      </c>
      <c r="G1" s="89"/>
      <c r="H1" s="89"/>
      <c r="I1" s="89"/>
      <c r="J1" s="89"/>
      <c r="K1" s="89"/>
      <c r="L1" s="89"/>
      <c r="M1" s="36"/>
      <c r="N1" s="89" t="s">
        <v>16</v>
      </c>
      <c r="O1" s="89"/>
      <c r="P1" s="89"/>
      <c r="Q1" s="89"/>
      <c r="R1" s="89"/>
    </row>
    <row r="2" spans="1:68" x14ac:dyDescent="0.3">
      <c r="A2" s="103"/>
      <c r="B2" s="101"/>
      <c r="C2" s="99"/>
      <c r="D2" s="99"/>
      <c r="E2" s="104"/>
      <c r="F2" s="24" t="s">
        <v>9</v>
      </c>
      <c r="G2" s="25" t="s">
        <v>5</v>
      </c>
      <c r="H2" s="16" t="s">
        <v>8</v>
      </c>
      <c r="I2" s="17" t="s">
        <v>10</v>
      </c>
      <c r="J2" s="18" t="s">
        <v>11</v>
      </c>
      <c r="K2" s="19" t="s">
        <v>13</v>
      </c>
      <c r="L2" s="20" t="s">
        <v>14</v>
      </c>
      <c r="M2" s="36"/>
      <c r="N2" s="24" t="s">
        <v>9</v>
      </c>
      <c r="O2" s="25" t="s">
        <v>5</v>
      </c>
      <c r="P2" s="16" t="s">
        <v>8</v>
      </c>
      <c r="Q2" s="17" t="s">
        <v>10</v>
      </c>
      <c r="R2" s="18" t="s">
        <v>11</v>
      </c>
    </row>
    <row r="3" spans="1:68" x14ac:dyDescent="0.3">
      <c r="A3" s="41">
        <v>1</v>
      </c>
      <c r="B3" s="45">
        <v>44775.868055555555</v>
      </c>
      <c r="C3" s="37">
        <v>0</v>
      </c>
      <c r="D3" s="42">
        <v>0</v>
      </c>
      <c r="E3" s="5">
        <v>0</v>
      </c>
      <c r="F3" s="1">
        <f t="shared" ref="F3:F23" si="0">COUNTIF($S3:$BP3, "E")</f>
        <v>50</v>
      </c>
      <c r="G3" s="1">
        <f t="shared" ref="G3:G23" si="1">COUNTIF($S3:$BP3, "L1")</f>
        <v>0</v>
      </c>
      <c r="H3" s="1">
        <f t="shared" ref="H3:H23" si="2">COUNTIF($S3:$BP3, "L2")</f>
        <v>0</v>
      </c>
      <c r="I3" s="1">
        <f t="shared" ref="I3:I23" si="3">COUNTIF($S3:$BP3, "L3")</f>
        <v>0</v>
      </c>
      <c r="J3" s="1">
        <f t="shared" ref="J3:J23" si="4">COUNTIF($S3:$BP3, "P")</f>
        <v>0</v>
      </c>
      <c r="K3" s="1">
        <f t="shared" ref="K3:K23" si="5">COUNTIF($S3:$BP3, "AM")</f>
        <v>0</v>
      </c>
      <c r="L3" s="1">
        <f t="shared" ref="L3:L23" si="6">COUNTIF($S3:$BP3, "AF")</f>
        <v>0</v>
      </c>
      <c r="N3" s="1">
        <f t="shared" ref="N3:N23" si="7">COUNTIF($S3:$BP3, "E_D")</f>
        <v>0</v>
      </c>
      <c r="O3" s="1">
        <f t="shared" ref="O3:O23" si="8">COUNTIF($S3:$BP3, "L1_D")</f>
        <v>0</v>
      </c>
      <c r="P3" s="1">
        <f t="shared" ref="P3:P23" si="9">COUNTIF($S3:$BP3, "L2_D")</f>
        <v>0</v>
      </c>
      <c r="Q3" s="1">
        <f t="shared" ref="Q3:Q23" si="10">COUNTIF($S3:$BP3, "L3_D")</f>
        <v>0</v>
      </c>
      <c r="R3" s="1">
        <f t="shared" ref="R3:R23" si="11">COUNTIF($S3:$BP3, "P_D")</f>
        <v>0</v>
      </c>
      <c r="S3" s="31" t="s">
        <v>4</v>
      </c>
      <c r="T3" s="31" t="s">
        <v>4</v>
      </c>
      <c r="U3" s="31" t="s">
        <v>4</v>
      </c>
      <c r="V3" s="31" t="s">
        <v>4</v>
      </c>
      <c r="W3" s="31" t="s">
        <v>4</v>
      </c>
      <c r="X3" s="31" t="s">
        <v>4</v>
      </c>
      <c r="Y3" s="31" t="s">
        <v>4</v>
      </c>
      <c r="Z3" s="31" t="s">
        <v>4</v>
      </c>
      <c r="AA3" s="31" t="s">
        <v>4</v>
      </c>
      <c r="AB3" s="31" t="s">
        <v>4</v>
      </c>
      <c r="AC3" s="31" t="s">
        <v>4</v>
      </c>
      <c r="AD3" s="31" t="s">
        <v>4</v>
      </c>
      <c r="AE3" s="31" t="s">
        <v>4</v>
      </c>
      <c r="AF3" s="31" t="s">
        <v>4</v>
      </c>
      <c r="AG3" s="31" t="s">
        <v>4</v>
      </c>
      <c r="AH3" s="31" t="s">
        <v>4</v>
      </c>
      <c r="AI3" s="31" t="s">
        <v>4</v>
      </c>
      <c r="AJ3" s="31" t="s">
        <v>4</v>
      </c>
      <c r="AK3" s="31" t="s">
        <v>4</v>
      </c>
      <c r="AL3" s="31" t="s">
        <v>4</v>
      </c>
      <c r="AM3" s="31" t="s">
        <v>4</v>
      </c>
      <c r="AN3" s="31" t="s">
        <v>4</v>
      </c>
      <c r="AO3" s="31" t="s">
        <v>4</v>
      </c>
      <c r="AP3" s="31" t="s">
        <v>4</v>
      </c>
      <c r="AQ3" s="31" t="s">
        <v>4</v>
      </c>
      <c r="AR3" s="31" t="s">
        <v>4</v>
      </c>
      <c r="AS3" s="31" t="s">
        <v>4</v>
      </c>
      <c r="AT3" s="31" t="s">
        <v>4</v>
      </c>
      <c r="AU3" s="31" t="s">
        <v>4</v>
      </c>
      <c r="AV3" s="31" t="s">
        <v>4</v>
      </c>
      <c r="AW3" s="31" t="s">
        <v>4</v>
      </c>
      <c r="AX3" s="31" t="s">
        <v>4</v>
      </c>
      <c r="AY3" s="31" t="s">
        <v>4</v>
      </c>
      <c r="AZ3" s="31" t="s">
        <v>4</v>
      </c>
      <c r="BA3" s="31" t="s">
        <v>4</v>
      </c>
      <c r="BB3" s="31" t="s">
        <v>4</v>
      </c>
      <c r="BC3" s="31" t="s">
        <v>4</v>
      </c>
      <c r="BD3" s="31" t="s">
        <v>4</v>
      </c>
      <c r="BE3" s="31" t="s">
        <v>4</v>
      </c>
      <c r="BF3" s="31" t="s">
        <v>4</v>
      </c>
      <c r="BG3" s="31" t="s">
        <v>4</v>
      </c>
      <c r="BH3" s="31" t="s">
        <v>4</v>
      </c>
      <c r="BI3" s="31" t="s">
        <v>4</v>
      </c>
      <c r="BJ3" s="31" t="s">
        <v>4</v>
      </c>
      <c r="BK3" s="31" t="s">
        <v>4</v>
      </c>
      <c r="BL3" s="31" t="s">
        <v>4</v>
      </c>
      <c r="BM3" s="31" t="s">
        <v>4</v>
      </c>
      <c r="BN3" s="31" t="s">
        <v>4</v>
      </c>
      <c r="BO3" s="31" t="s">
        <v>4</v>
      </c>
      <c r="BP3" s="31" t="s">
        <v>4</v>
      </c>
    </row>
    <row r="4" spans="1:68" x14ac:dyDescent="0.3">
      <c r="A4" s="41">
        <v>1</v>
      </c>
      <c r="B4" s="45">
        <v>44775.951388888891</v>
      </c>
      <c r="C4" s="43">
        <f t="shared" ref="C4:C23" si="12">(B4-B3)</f>
        <v>8.3333333335758653E-2</v>
      </c>
      <c r="D4" s="42">
        <f>D3+C4</f>
        <v>8.3333333335758653E-2</v>
      </c>
      <c r="E4" s="5">
        <f t="shared" ref="E4:E10" si="13">E3+C4</f>
        <v>8.3333333335758653E-2</v>
      </c>
      <c r="F4" s="1">
        <f t="shared" si="0"/>
        <v>50</v>
      </c>
      <c r="G4" s="1">
        <f t="shared" si="1"/>
        <v>0</v>
      </c>
      <c r="H4" s="1">
        <f t="shared" si="2"/>
        <v>0</v>
      </c>
      <c r="I4" s="1">
        <f t="shared" si="3"/>
        <v>0</v>
      </c>
      <c r="J4" s="1">
        <f t="shared" si="4"/>
        <v>0</v>
      </c>
      <c r="K4" s="1">
        <f t="shared" si="5"/>
        <v>0</v>
      </c>
      <c r="L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31" t="s">
        <v>4</v>
      </c>
      <c r="T4" s="31" t="s">
        <v>4</v>
      </c>
      <c r="U4" s="31" t="s">
        <v>4</v>
      </c>
      <c r="V4" s="31" t="s">
        <v>4</v>
      </c>
      <c r="W4" s="31" t="s">
        <v>4</v>
      </c>
      <c r="X4" s="31" t="s">
        <v>4</v>
      </c>
      <c r="Y4" s="31" t="s">
        <v>4</v>
      </c>
      <c r="Z4" s="31" t="s">
        <v>4</v>
      </c>
      <c r="AA4" s="31" t="s">
        <v>4</v>
      </c>
      <c r="AB4" s="31" t="s">
        <v>4</v>
      </c>
      <c r="AC4" s="31" t="s">
        <v>4</v>
      </c>
      <c r="AD4" s="31" t="s">
        <v>4</v>
      </c>
      <c r="AE4" s="31" t="s">
        <v>4</v>
      </c>
      <c r="AF4" s="31" t="s">
        <v>4</v>
      </c>
      <c r="AG4" s="31" t="s">
        <v>4</v>
      </c>
      <c r="AH4" s="31" t="s">
        <v>4</v>
      </c>
      <c r="AI4" s="31" t="s">
        <v>4</v>
      </c>
      <c r="AJ4" s="31" t="s">
        <v>4</v>
      </c>
      <c r="AK4" s="31" t="s">
        <v>4</v>
      </c>
      <c r="AL4" s="31" t="s">
        <v>4</v>
      </c>
      <c r="AM4" s="31" t="s">
        <v>4</v>
      </c>
      <c r="AN4" s="31" t="s">
        <v>4</v>
      </c>
      <c r="AO4" s="31" t="s">
        <v>4</v>
      </c>
      <c r="AP4" s="31" t="s">
        <v>4</v>
      </c>
      <c r="AQ4" s="31" t="s">
        <v>4</v>
      </c>
      <c r="AR4" s="31" t="s">
        <v>4</v>
      </c>
      <c r="AS4" s="31" t="s">
        <v>4</v>
      </c>
      <c r="AT4" s="31" t="s">
        <v>4</v>
      </c>
      <c r="AU4" s="31" t="s">
        <v>4</v>
      </c>
      <c r="AV4" s="31" t="s">
        <v>4</v>
      </c>
      <c r="AW4" s="31" t="s">
        <v>4</v>
      </c>
      <c r="AX4" s="31" t="s">
        <v>4</v>
      </c>
      <c r="AY4" s="31" t="s">
        <v>4</v>
      </c>
      <c r="AZ4" s="31" t="s">
        <v>4</v>
      </c>
      <c r="BA4" s="31" t="s">
        <v>4</v>
      </c>
      <c r="BB4" s="31" t="s">
        <v>4</v>
      </c>
      <c r="BC4" s="31" t="s">
        <v>4</v>
      </c>
      <c r="BD4" s="31" t="s">
        <v>4</v>
      </c>
      <c r="BE4" s="31" t="s">
        <v>4</v>
      </c>
      <c r="BF4" s="31" t="s">
        <v>4</v>
      </c>
      <c r="BG4" s="31" t="s">
        <v>4</v>
      </c>
      <c r="BH4" s="31" t="s">
        <v>4</v>
      </c>
      <c r="BI4" s="31" t="s">
        <v>4</v>
      </c>
      <c r="BJ4" s="31" t="s">
        <v>4</v>
      </c>
      <c r="BK4" s="31" t="s">
        <v>4</v>
      </c>
      <c r="BL4" s="31" t="s">
        <v>4</v>
      </c>
      <c r="BM4" s="31" t="s">
        <v>4</v>
      </c>
      <c r="BN4" s="31" t="s">
        <v>4</v>
      </c>
      <c r="BO4" s="31" t="s">
        <v>4</v>
      </c>
      <c r="BP4" s="31" t="s">
        <v>4</v>
      </c>
    </row>
    <row r="5" spans="1:68" x14ac:dyDescent="0.3">
      <c r="A5" s="41">
        <v>1</v>
      </c>
      <c r="B5" s="45">
        <v>44775.993055555555</v>
      </c>
      <c r="C5" s="43">
        <f t="shared" si="12"/>
        <v>4.1666666664241347E-2</v>
      </c>
      <c r="D5" s="42">
        <f>D4+C5</f>
        <v>0.125</v>
      </c>
      <c r="E5" s="5">
        <f t="shared" si="13"/>
        <v>0.125</v>
      </c>
      <c r="F5" s="1">
        <f t="shared" si="0"/>
        <v>50</v>
      </c>
      <c r="G5" s="1">
        <f t="shared" si="1"/>
        <v>0</v>
      </c>
      <c r="H5" s="1">
        <f t="shared" si="2"/>
        <v>0</v>
      </c>
      <c r="I5" s="1">
        <f t="shared" si="3"/>
        <v>0</v>
      </c>
      <c r="J5" s="1">
        <f t="shared" si="4"/>
        <v>0</v>
      </c>
      <c r="K5" s="1">
        <f t="shared" si="5"/>
        <v>0</v>
      </c>
      <c r="L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0</v>
      </c>
      <c r="Q5" s="1">
        <f t="shared" si="10"/>
        <v>0</v>
      </c>
      <c r="R5" s="1">
        <f t="shared" si="11"/>
        <v>0</v>
      </c>
      <c r="S5" s="31" t="s">
        <v>4</v>
      </c>
      <c r="T5" s="31" t="s">
        <v>4</v>
      </c>
      <c r="U5" s="31" t="s">
        <v>4</v>
      </c>
      <c r="V5" s="31" t="s">
        <v>4</v>
      </c>
      <c r="W5" s="31" t="s">
        <v>4</v>
      </c>
      <c r="X5" s="31" t="s">
        <v>4</v>
      </c>
      <c r="Y5" s="31" t="s">
        <v>4</v>
      </c>
      <c r="Z5" s="31" t="s">
        <v>4</v>
      </c>
      <c r="AA5" s="31" t="s">
        <v>4</v>
      </c>
      <c r="AB5" s="31" t="s">
        <v>4</v>
      </c>
      <c r="AC5" s="31" t="s">
        <v>4</v>
      </c>
      <c r="AD5" s="31" t="s">
        <v>4</v>
      </c>
      <c r="AE5" s="31" t="s">
        <v>4</v>
      </c>
      <c r="AF5" s="31" t="s">
        <v>4</v>
      </c>
      <c r="AG5" s="31" t="s">
        <v>4</v>
      </c>
      <c r="AH5" s="31" t="s">
        <v>4</v>
      </c>
      <c r="AI5" s="31" t="s">
        <v>4</v>
      </c>
      <c r="AJ5" s="31" t="s">
        <v>4</v>
      </c>
      <c r="AK5" s="31" t="s">
        <v>4</v>
      </c>
      <c r="AL5" s="31" t="s">
        <v>4</v>
      </c>
      <c r="AM5" s="31" t="s">
        <v>4</v>
      </c>
      <c r="AN5" s="31" t="s">
        <v>4</v>
      </c>
      <c r="AO5" s="31" t="s">
        <v>4</v>
      </c>
      <c r="AP5" s="31" t="s">
        <v>4</v>
      </c>
      <c r="AQ5" s="31" t="s">
        <v>4</v>
      </c>
      <c r="AR5" s="31" t="s">
        <v>4</v>
      </c>
      <c r="AS5" s="31" t="s">
        <v>4</v>
      </c>
      <c r="AT5" s="31" t="s">
        <v>4</v>
      </c>
      <c r="AU5" s="31" t="s">
        <v>4</v>
      </c>
      <c r="AV5" s="31" t="s">
        <v>4</v>
      </c>
      <c r="AW5" s="31" t="s">
        <v>4</v>
      </c>
      <c r="AX5" s="31" t="s">
        <v>4</v>
      </c>
      <c r="AY5" s="31" t="s">
        <v>4</v>
      </c>
      <c r="AZ5" s="31" t="s">
        <v>4</v>
      </c>
      <c r="BA5" s="31" t="s">
        <v>4</v>
      </c>
      <c r="BB5" s="31" t="s">
        <v>4</v>
      </c>
      <c r="BC5" s="31" t="s">
        <v>4</v>
      </c>
      <c r="BD5" s="31" t="s">
        <v>4</v>
      </c>
      <c r="BE5" s="31" t="s">
        <v>4</v>
      </c>
      <c r="BF5" s="31" t="s">
        <v>4</v>
      </c>
      <c r="BG5" s="31" t="s">
        <v>4</v>
      </c>
      <c r="BH5" s="31" t="s">
        <v>4</v>
      </c>
      <c r="BI5" s="31" t="s">
        <v>4</v>
      </c>
      <c r="BJ5" s="31" t="s">
        <v>4</v>
      </c>
      <c r="BK5" s="31" t="s">
        <v>4</v>
      </c>
      <c r="BL5" s="31" t="s">
        <v>4</v>
      </c>
      <c r="BM5" s="31" t="s">
        <v>4</v>
      </c>
      <c r="BN5" s="31" t="s">
        <v>4</v>
      </c>
      <c r="BO5" s="31" t="s">
        <v>4</v>
      </c>
      <c r="BP5" s="31" t="s">
        <v>4</v>
      </c>
    </row>
    <row r="6" spans="1:68" x14ac:dyDescent="0.3">
      <c r="A6" s="41">
        <v>2</v>
      </c>
      <c r="B6" s="45">
        <v>44776.409722222219</v>
      </c>
      <c r="C6" s="43">
        <f t="shared" si="12"/>
        <v>0.41666666666424135</v>
      </c>
      <c r="D6" s="42">
        <f>D5+C6</f>
        <v>0.54166666666424135</v>
      </c>
      <c r="E6" s="5">
        <f t="shared" si="13"/>
        <v>0.54166666666424135</v>
      </c>
      <c r="F6" s="1">
        <f t="shared" si="0"/>
        <v>50</v>
      </c>
      <c r="G6" s="1">
        <f t="shared" si="1"/>
        <v>0</v>
      </c>
      <c r="H6" s="1">
        <f t="shared" si="2"/>
        <v>0</v>
      </c>
      <c r="I6" s="1">
        <f t="shared" si="3"/>
        <v>0</v>
      </c>
      <c r="J6" s="1">
        <f t="shared" si="4"/>
        <v>0</v>
      </c>
      <c r="K6" s="1">
        <f t="shared" si="5"/>
        <v>0</v>
      </c>
      <c r="L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0</v>
      </c>
      <c r="Q6" s="1">
        <f t="shared" si="10"/>
        <v>0</v>
      </c>
      <c r="R6" s="1">
        <f t="shared" si="11"/>
        <v>0</v>
      </c>
      <c r="S6" s="31" t="s">
        <v>4</v>
      </c>
      <c r="T6" s="31" t="s">
        <v>4</v>
      </c>
      <c r="U6" s="31" t="s">
        <v>4</v>
      </c>
      <c r="V6" s="31" t="s">
        <v>4</v>
      </c>
      <c r="W6" s="31" t="s">
        <v>4</v>
      </c>
      <c r="X6" s="31" t="s">
        <v>4</v>
      </c>
      <c r="Y6" s="31" t="s">
        <v>4</v>
      </c>
      <c r="Z6" s="31" t="s">
        <v>4</v>
      </c>
      <c r="AA6" s="31" t="s">
        <v>4</v>
      </c>
      <c r="AB6" s="31" t="s">
        <v>4</v>
      </c>
      <c r="AC6" s="31" t="s">
        <v>4</v>
      </c>
      <c r="AD6" s="31" t="s">
        <v>4</v>
      </c>
      <c r="AE6" s="31" t="s">
        <v>4</v>
      </c>
      <c r="AF6" s="31" t="s">
        <v>4</v>
      </c>
      <c r="AG6" s="31" t="s">
        <v>4</v>
      </c>
      <c r="AH6" s="31" t="s">
        <v>4</v>
      </c>
      <c r="AI6" s="31" t="s">
        <v>4</v>
      </c>
      <c r="AJ6" s="31" t="s">
        <v>4</v>
      </c>
      <c r="AK6" s="31" t="s">
        <v>4</v>
      </c>
      <c r="AL6" s="31" t="s">
        <v>4</v>
      </c>
      <c r="AM6" s="31" t="s">
        <v>4</v>
      </c>
      <c r="AN6" s="31" t="s">
        <v>4</v>
      </c>
      <c r="AO6" s="31" t="s">
        <v>4</v>
      </c>
      <c r="AP6" s="31" t="s">
        <v>4</v>
      </c>
      <c r="AQ6" s="31" t="s">
        <v>4</v>
      </c>
      <c r="AR6" s="31" t="s">
        <v>4</v>
      </c>
      <c r="AS6" s="31" t="s">
        <v>4</v>
      </c>
      <c r="AT6" s="31" t="s">
        <v>4</v>
      </c>
      <c r="AU6" s="31" t="s">
        <v>4</v>
      </c>
      <c r="AV6" s="31" t="s">
        <v>4</v>
      </c>
      <c r="AW6" s="31" t="s">
        <v>4</v>
      </c>
      <c r="AX6" s="31" t="s">
        <v>4</v>
      </c>
      <c r="AY6" s="31" t="s">
        <v>4</v>
      </c>
      <c r="AZ6" s="31" t="s">
        <v>4</v>
      </c>
      <c r="BA6" s="31" t="s">
        <v>4</v>
      </c>
      <c r="BB6" s="31" t="s">
        <v>4</v>
      </c>
      <c r="BC6" s="31" t="s">
        <v>4</v>
      </c>
      <c r="BD6" s="31" t="s">
        <v>4</v>
      </c>
      <c r="BE6" s="31" t="s">
        <v>4</v>
      </c>
      <c r="BF6" s="31" t="s">
        <v>4</v>
      </c>
      <c r="BG6" s="31" t="s">
        <v>4</v>
      </c>
      <c r="BH6" s="31" t="s">
        <v>4</v>
      </c>
      <c r="BI6" s="31" t="s">
        <v>4</v>
      </c>
      <c r="BJ6" s="31" t="s">
        <v>4</v>
      </c>
      <c r="BK6" s="31" t="s">
        <v>4</v>
      </c>
      <c r="BL6" s="31" t="s">
        <v>4</v>
      </c>
      <c r="BM6" s="31" t="s">
        <v>4</v>
      </c>
      <c r="BN6" s="31" t="s">
        <v>4</v>
      </c>
      <c r="BO6" s="31" t="s">
        <v>4</v>
      </c>
      <c r="BP6" s="31" t="s">
        <v>4</v>
      </c>
    </row>
    <row r="7" spans="1:68" x14ac:dyDescent="0.3">
      <c r="A7" s="41">
        <v>2</v>
      </c>
      <c r="B7" s="45">
        <v>44776.451388888891</v>
      </c>
      <c r="C7" s="43">
        <f t="shared" si="12"/>
        <v>4.1666666671517305E-2</v>
      </c>
      <c r="D7" s="42">
        <f t="shared" ref="D7:D23" si="14">D6+C7</f>
        <v>0.58333333333575865</v>
      </c>
      <c r="E7" s="5">
        <f t="shared" si="13"/>
        <v>0.58333333333575865</v>
      </c>
      <c r="F7" s="1">
        <f t="shared" si="0"/>
        <v>50</v>
      </c>
      <c r="G7" s="1">
        <f t="shared" si="1"/>
        <v>0</v>
      </c>
      <c r="H7" s="1">
        <f t="shared" si="2"/>
        <v>0</v>
      </c>
      <c r="I7" s="1">
        <f t="shared" si="3"/>
        <v>0</v>
      </c>
      <c r="J7" s="1">
        <f t="shared" si="4"/>
        <v>0</v>
      </c>
      <c r="K7" s="1">
        <f t="shared" si="5"/>
        <v>0</v>
      </c>
      <c r="L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0</v>
      </c>
      <c r="Q7" s="1">
        <f t="shared" si="10"/>
        <v>0</v>
      </c>
      <c r="R7" s="1">
        <f t="shared" si="11"/>
        <v>0</v>
      </c>
      <c r="S7" s="31" t="s">
        <v>4</v>
      </c>
      <c r="T7" s="31" t="s">
        <v>4</v>
      </c>
      <c r="U7" s="31" t="s">
        <v>4</v>
      </c>
      <c r="V7" s="31" t="s">
        <v>4</v>
      </c>
      <c r="W7" s="31" t="s">
        <v>4</v>
      </c>
      <c r="X7" s="31" t="s">
        <v>4</v>
      </c>
      <c r="Y7" s="31" t="s">
        <v>4</v>
      </c>
      <c r="Z7" s="31" t="s">
        <v>4</v>
      </c>
      <c r="AA7" s="31" t="s">
        <v>4</v>
      </c>
      <c r="AB7" s="31" t="s">
        <v>4</v>
      </c>
      <c r="AC7" s="31" t="s">
        <v>4</v>
      </c>
      <c r="AD7" s="31" t="s">
        <v>4</v>
      </c>
      <c r="AE7" s="31" t="s">
        <v>4</v>
      </c>
      <c r="AF7" s="31" t="s">
        <v>4</v>
      </c>
      <c r="AG7" s="31" t="s">
        <v>4</v>
      </c>
      <c r="AH7" s="31" t="s">
        <v>4</v>
      </c>
      <c r="AI7" s="31" t="s">
        <v>4</v>
      </c>
      <c r="AJ7" s="31" t="s">
        <v>4</v>
      </c>
      <c r="AK7" s="31" t="s">
        <v>4</v>
      </c>
      <c r="AL7" s="31" t="s">
        <v>4</v>
      </c>
      <c r="AM7" s="31" t="s">
        <v>4</v>
      </c>
      <c r="AN7" s="31" t="s">
        <v>4</v>
      </c>
      <c r="AO7" s="31" t="s">
        <v>4</v>
      </c>
      <c r="AP7" s="31" t="s">
        <v>4</v>
      </c>
      <c r="AQ7" s="31" t="s">
        <v>4</v>
      </c>
      <c r="AR7" s="31" t="s">
        <v>4</v>
      </c>
      <c r="AS7" s="31" t="s">
        <v>4</v>
      </c>
      <c r="AT7" s="31" t="s">
        <v>4</v>
      </c>
      <c r="AU7" s="31" t="s">
        <v>4</v>
      </c>
      <c r="AV7" s="31" t="s">
        <v>4</v>
      </c>
      <c r="AW7" s="31" t="s">
        <v>4</v>
      </c>
      <c r="AX7" s="31" t="s">
        <v>4</v>
      </c>
      <c r="AY7" s="31" t="s">
        <v>4</v>
      </c>
      <c r="AZ7" s="31" t="s">
        <v>4</v>
      </c>
      <c r="BA7" s="31" t="s">
        <v>4</v>
      </c>
      <c r="BB7" s="31" t="s">
        <v>4</v>
      </c>
      <c r="BC7" s="31" t="s">
        <v>4</v>
      </c>
      <c r="BD7" s="31" t="s">
        <v>4</v>
      </c>
      <c r="BE7" s="31" t="s">
        <v>4</v>
      </c>
      <c r="BF7" s="31" t="s">
        <v>4</v>
      </c>
      <c r="BG7" s="31" t="s">
        <v>4</v>
      </c>
      <c r="BH7" s="31" t="s">
        <v>4</v>
      </c>
      <c r="BI7" s="31" t="s">
        <v>4</v>
      </c>
      <c r="BJ7" s="31" t="s">
        <v>4</v>
      </c>
      <c r="BK7" s="31" t="s">
        <v>4</v>
      </c>
      <c r="BL7" s="31" t="s">
        <v>4</v>
      </c>
      <c r="BM7" s="31" t="s">
        <v>4</v>
      </c>
      <c r="BN7" s="31" t="s">
        <v>4</v>
      </c>
      <c r="BO7" s="31" t="s">
        <v>4</v>
      </c>
      <c r="BP7" s="31" t="s">
        <v>4</v>
      </c>
    </row>
    <row r="8" spans="1:68" x14ac:dyDescent="0.3">
      <c r="A8" s="41">
        <v>2</v>
      </c>
      <c r="B8" s="45">
        <v>44776.493055555555</v>
      </c>
      <c r="C8" s="43">
        <f t="shared" si="12"/>
        <v>4.1666666664241347E-2</v>
      </c>
      <c r="D8" s="42">
        <f t="shared" si="14"/>
        <v>0.625</v>
      </c>
      <c r="E8" s="5">
        <f t="shared" si="13"/>
        <v>0.625</v>
      </c>
      <c r="F8" s="1">
        <f t="shared" si="0"/>
        <v>50</v>
      </c>
      <c r="G8" s="1">
        <f t="shared" si="1"/>
        <v>0</v>
      </c>
      <c r="H8" s="1">
        <f t="shared" si="2"/>
        <v>0</v>
      </c>
      <c r="I8" s="1">
        <f t="shared" si="3"/>
        <v>0</v>
      </c>
      <c r="J8" s="1">
        <f t="shared" si="4"/>
        <v>0</v>
      </c>
      <c r="K8" s="1">
        <f t="shared" si="5"/>
        <v>0</v>
      </c>
      <c r="L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0</v>
      </c>
      <c r="Q8" s="1">
        <f t="shared" si="10"/>
        <v>0</v>
      </c>
      <c r="R8" s="1">
        <f t="shared" si="11"/>
        <v>0</v>
      </c>
      <c r="S8" s="31" t="s">
        <v>4</v>
      </c>
      <c r="T8" s="31" t="s">
        <v>4</v>
      </c>
      <c r="U8" s="31" t="s">
        <v>4</v>
      </c>
      <c r="V8" s="31" t="s">
        <v>4</v>
      </c>
      <c r="W8" s="31" t="s">
        <v>4</v>
      </c>
      <c r="X8" s="31" t="s">
        <v>4</v>
      </c>
      <c r="Y8" s="31" t="s">
        <v>4</v>
      </c>
      <c r="Z8" s="31" t="s">
        <v>4</v>
      </c>
      <c r="AA8" s="31" t="s">
        <v>4</v>
      </c>
      <c r="AB8" s="31" t="s">
        <v>4</v>
      </c>
      <c r="AC8" s="31" t="s">
        <v>4</v>
      </c>
      <c r="AD8" s="31" t="s">
        <v>4</v>
      </c>
      <c r="AE8" s="31" t="s">
        <v>4</v>
      </c>
      <c r="AF8" s="31" t="s">
        <v>4</v>
      </c>
      <c r="AG8" s="31" t="s">
        <v>4</v>
      </c>
      <c r="AH8" s="31" t="s">
        <v>4</v>
      </c>
      <c r="AI8" s="31" t="s">
        <v>4</v>
      </c>
      <c r="AJ8" s="31" t="s">
        <v>4</v>
      </c>
      <c r="AK8" s="31" t="s">
        <v>4</v>
      </c>
      <c r="AL8" s="31" t="s">
        <v>4</v>
      </c>
      <c r="AM8" s="31" t="s">
        <v>4</v>
      </c>
      <c r="AN8" s="31" t="s">
        <v>4</v>
      </c>
      <c r="AO8" s="31" t="s">
        <v>4</v>
      </c>
      <c r="AP8" s="31" t="s">
        <v>4</v>
      </c>
      <c r="AQ8" s="31" t="s">
        <v>4</v>
      </c>
      <c r="AR8" s="31" t="s">
        <v>4</v>
      </c>
      <c r="AS8" s="31" t="s">
        <v>4</v>
      </c>
      <c r="AT8" s="31" t="s">
        <v>4</v>
      </c>
      <c r="AU8" s="31" t="s">
        <v>4</v>
      </c>
      <c r="AV8" s="31" t="s">
        <v>4</v>
      </c>
      <c r="AW8" s="31" t="s">
        <v>4</v>
      </c>
      <c r="AX8" s="31" t="s">
        <v>4</v>
      </c>
      <c r="AY8" s="31" t="s">
        <v>4</v>
      </c>
      <c r="AZ8" s="31" t="s">
        <v>4</v>
      </c>
      <c r="BA8" s="31" t="s">
        <v>4</v>
      </c>
      <c r="BB8" s="31" t="s">
        <v>4</v>
      </c>
      <c r="BC8" s="31" t="s">
        <v>4</v>
      </c>
      <c r="BD8" s="31" t="s">
        <v>4</v>
      </c>
      <c r="BE8" s="31" t="s">
        <v>4</v>
      </c>
      <c r="BF8" s="31" t="s">
        <v>4</v>
      </c>
      <c r="BG8" s="31" t="s">
        <v>4</v>
      </c>
      <c r="BH8" s="31" t="s">
        <v>4</v>
      </c>
      <c r="BI8" s="31" t="s">
        <v>4</v>
      </c>
      <c r="BJ8" s="31" t="s">
        <v>4</v>
      </c>
      <c r="BK8" s="31" t="s">
        <v>4</v>
      </c>
      <c r="BL8" s="31" t="s">
        <v>4</v>
      </c>
      <c r="BM8" s="31" t="s">
        <v>4</v>
      </c>
      <c r="BN8" s="31" t="s">
        <v>4</v>
      </c>
      <c r="BO8" s="31" t="s">
        <v>4</v>
      </c>
      <c r="BP8" s="31" t="s">
        <v>4</v>
      </c>
    </row>
    <row r="9" spans="1:68" x14ac:dyDescent="0.3">
      <c r="A9" s="41">
        <v>2</v>
      </c>
      <c r="B9" s="45">
        <v>44776.576388888891</v>
      </c>
      <c r="C9" s="43">
        <f t="shared" si="12"/>
        <v>8.3333333335758653E-2</v>
      </c>
      <c r="D9" s="42">
        <f>D8+C9</f>
        <v>0.70833333333575865</v>
      </c>
      <c r="E9" s="5">
        <f t="shared" si="13"/>
        <v>0.70833333333575865</v>
      </c>
      <c r="F9" s="1">
        <f t="shared" si="0"/>
        <v>50</v>
      </c>
      <c r="G9" s="1">
        <f t="shared" si="1"/>
        <v>0</v>
      </c>
      <c r="H9" s="1">
        <f t="shared" si="2"/>
        <v>0</v>
      </c>
      <c r="I9" s="1">
        <f t="shared" si="3"/>
        <v>0</v>
      </c>
      <c r="J9" s="1">
        <f t="shared" si="4"/>
        <v>0</v>
      </c>
      <c r="K9" s="1">
        <f t="shared" si="5"/>
        <v>0</v>
      </c>
      <c r="L9" s="1">
        <f t="shared" si="6"/>
        <v>0</v>
      </c>
      <c r="N9" s="1">
        <f t="shared" si="7"/>
        <v>0</v>
      </c>
      <c r="O9" s="1">
        <f t="shared" si="8"/>
        <v>0</v>
      </c>
      <c r="P9" s="1">
        <f t="shared" si="9"/>
        <v>0</v>
      </c>
      <c r="Q9" s="1">
        <f t="shared" si="10"/>
        <v>0</v>
      </c>
      <c r="R9" s="1">
        <f t="shared" si="11"/>
        <v>0</v>
      </c>
      <c r="S9" s="31" t="s">
        <v>4</v>
      </c>
      <c r="T9" s="31" t="s">
        <v>4</v>
      </c>
      <c r="U9" s="31" t="s">
        <v>4</v>
      </c>
      <c r="V9" s="31" t="s">
        <v>4</v>
      </c>
      <c r="W9" s="31" t="s">
        <v>4</v>
      </c>
      <c r="X9" s="31" t="s">
        <v>4</v>
      </c>
      <c r="Y9" s="31" t="s">
        <v>4</v>
      </c>
      <c r="Z9" s="31" t="s">
        <v>4</v>
      </c>
      <c r="AA9" s="31" t="s">
        <v>4</v>
      </c>
      <c r="AB9" s="31" t="s">
        <v>4</v>
      </c>
      <c r="AC9" s="31" t="s">
        <v>4</v>
      </c>
      <c r="AD9" s="31" t="s">
        <v>4</v>
      </c>
      <c r="AE9" s="31" t="s">
        <v>4</v>
      </c>
      <c r="AF9" s="31" t="s">
        <v>4</v>
      </c>
      <c r="AG9" s="31" t="s">
        <v>4</v>
      </c>
      <c r="AH9" s="31" t="s">
        <v>4</v>
      </c>
      <c r="AI9" s="31" t="s">
        <v>4</v>
      </c>
      <c r="AJ9" s="31" t="s">
        <v>4</v>
      </c>
      <c r="AK9" s="31" t="s">
        <v>4</v>
      </c>
      <c r="AL9" s="31" t="s">
        <v>4</v>
      </c>
      <c r="AM9" s="31" t="s">
        <v>4</v>
      </c>
      <c r="AN9" s="31" t="s">
        <v>4</v>
      </c>
      <c r="AO9" s="31" t="s">
        <v>4</v>
      </c>
      <c r="AP9" s="31" t="s">
        <v>4</v>
      </c>
      <c r="AQ9" s="31" t="s">
        <v>4</v>
      </c>
      <c r="AR9" s="31" t="s">
        <v>4</v>
      </c>
      <c r="AS9" s="31" t="s">
        <v>4</v>
      </c>
      <c r="AT9" s="31" t="s">
        <v>4</v>
      </c>
      <c r="AU9" s="31" t="s">
        <v>4</v>
      </c>
      <c r="AV9" s="31" t="s">
        <v>4</v>
      </c>
      <c r="AW9" s="31" t="s">
        <v>4</v>
      </c>
      <c r="AX9" s="31" t="s">
        <v>4</v>
      </c>
      <c r="AY9" s="31" t="s">
        <v>4</v>
      </c>
      <c r="AZ9" s="31" t="s">
        <v>4</v>
      </c>
      <c r="BA9" s="31" t="s">
        <v>4</v>
      </c>
      <c r="BB9" s="31" t="s">
        <v>4</v>
      </c>
      <c r="BC9" s="31" t="s">
        <v>4</v>
      </c>
      <c r="BD9" s="31" t="s">
        <v>4</v>
      </c>
      <c r="BE9" s="31" t="s">
        <v>4</v>
      </c>
      <c r="BF9" s="31" t="s">
        <v>4</v>
      </c>
      <c r="BG9" s="31" t="s">
        <v>4</v>
      </c>
      <c r="BH9" s="31" t="s">
        <v>4</v>
      </c>
      <c r="BI9" s="31" t="s">
        <v>4</v>
      </c>
      <c r="BJ9" s="31" t="s">
        <v>4</v>
      </c>
      <c r="BK9" s="31" t="s">
        <v>4</v>
      </c>
      <c r="BL9" s="31" t="s">
        <v>4</v>
      </c>
      <c r="BM9" s="31" t="s">
        <v>4</v>
      </c>
      <c r="BN9" s="31" t="s">
        <v>4</v>
      </c>
      <c r="BO9" s="31" t="s">
        <v>4</v>
      </c>
      <c r="BP9" s="31" t="s">
        <v>4</v>
      </c>
    </row>
    <row r="10" spans="1:68" x14ac:dyDescent="0.3">
      <c r="A10" s="41">
        <v>2</v>
      </c>
      <c r="B10" s="45">
        <v>44776.618055555555</v>
      </c>
      <c r="C10" s="43">
        <f t="shared" si="12"/>
        <v>4.1666666664241347E-2</v>
      </c>
      <c r="D10" s="44">
        <f t="shared" si="14"/>
        <v>0.75</v>
      </c>
      <c r="E10" s="5">
        <f t="shared" si="13"/>
        <v>0.75</v>
      </c>
      <c r="F10" s="1">
        <f t="shared" si="0"/>
        <v>0</v>
      </c>
      <c r="G10" s="1">
        <f t="shared" si="1"/>
        <v>0</v>
      </c>
      <c r="H10" s="1">
        <f t="shared" si="2"/>
        <v>0</v>
      </c>
      <c r="I10" s="1">
        <f t="shared" si="3"/>
        <v>0</v>
      </c>
      <c r="J10" s="1">
        <f t="shared" si="4"/>
        <v>0</v>
      </c>
      <c r="K10" s="1">
        <f t="shared" si="5"/>
        <v>0</v>
      </c>
      <c r="L10" s="1">
        <f t="shared" si="6"/>
        <v>0</v>
      </c>
      <c r="N10" s="1">
        <f t="shared" si="7"/>
        <v>50</v>
      </c>
      <c r="O10" s="1">
        <f t="shared" si="8"/>
        <v>0</v>
      </c>
      <c r="P10" s="1">
        <f t="shared" si="9"/>
        <v>0</v>
      </c>
      <c r="Q10" s="1">
        <f t="shared" si="10"/>
        <v>0</v>
      </c>
      <c r="R10" s="1">
        <f t="shared" si="11"/>
        <v>0</v>
      </c>
      <c r="S10" s="35" t="s">
        <v>17</v>
      </c>
      <c r="T10" s="35" t="s">
        <v>17</v>
      </c>
      <c r="U10" s="35" t="s">
        <v>17</v>
      </c>
      <c r="V10" s="35" t="s">
        <v>17</v>
      </c>
      <c r="W10" s="35" t="s">
        <v>17</v>
      </c>
      <c r="X10" s="35" t="s">
        <v>17</v>
      </c>
      <c r="Y10" s="35" t="s">
        <v>17</v>
      </c>
      <c r="Z10" s="35" t="s">
        <v>17</v>
      </c>
      <c r="AA10" s="35" t="s">
        <v>17</v>
      </c>
      <c r="AB10" s="35" t="s">
        <v>17</v>
      </c>
      <c r="AC10" s="35" t="s">
        <v>17</v>
      </c>
      <c r="AD10" s="35" t="s">
        <v>17</v>
      </c>
      <c r="AE10" s="35" t="s">
        <v>17</v>
      </c>
      <c r="AF10" s="35" t="s">
        <v>17</v>
      </c>
      <c r="AG10" s="35" t="s">
        <v>17</v>
      </c>
      <c r="AH10" s="35" t="s">
        <v>17</v>
      </c>
      <c r="AI10" s="35" t="s">
        <v>17</v>
      </c>
      <c r="AJ10" s="35" t="s">
        <v>17</v>
      </c>
      <c r="AK10" s="35" t="s">
        <v>17</v>
      </c>
      <c r="AL10" s="35" t="s">
        <v>17</v>
      </c>
      <c r="AM10" s="35" t="s">
        <v>17</v>
      </c>
      <c r="AN10" s="35" t="s">
        <v>17</v>
      </c>
      <c r="AO10" s="35" t="s">
        <v>17</v>
      </c>
      <c r="AP10" s="35" t="s">
        <v>17</v>
      </c>
      <c r="AQ10" s="35" t="s">
        <v>17</v>
      </c>
      <c r="AR10" s="35" t="s">
        <v>17</v>
      </c>
      <c r="AS10" s="35" t="s">
        <v>17</v>
      </c>
      <c r="AT10" s="35" t="s">
        <v>17</v>
      </c>
      <c r="AU10" s="35" t="s">
        <v>17</v>
      </c>
      <c r="AV10" s="35" t="s">
        <v>17</v>
      </c>
      <c r="AW10" s="35" t="s">
        <v>17</v>
      </c>
      <c r="AX10" s="35" t="s">
        <v>17</v>
      </c>
      <c r="AY10" s="35" t="s">
        <v>17</v>
      </c>
      <c r="AZ10" s="35" t="s">
        <v>17</v>
      </c>
      <c r="BA10" s="35" t="s">
        <v>17</v>
      </c>
      <c r="BB10" s="35" t="s">
        <v>17</v>
      </c>
      <c r="BC10" s="35" t="s">
        <v>17</v>
      </c>
      <c r="BD10" s="35" t="s">
        <v>17</v>
      </c>
      <c r="BE10" s="35" t="s">
        <v>17</v>
      </c>
      <c r="BF10" s="35" t="s">
        <v>17</v>
      </c>
      <c r="BG10" s="35" t="s">
        <v>17</v>
      </c>
      <c r="BH10" s="35" t="s">
        <v>17</v>
      </c>
      <c r="BI10" s="35" t="s">
        <v>17</v>
      </c>
      <c r="BJ10" s="35" t="s">
        <v>17</v>
      </c>
      <c r="BK10" s="35" t="s">
        <v>17</v>
      </c>
      <c r="BL10" s="35" t="s">
        <v>17</v>
      </c>
      <c r="BM10" s="35" t="s">
        <v>17</v>
      </c>
      <c r="BN10" s="35" t="s">
        <v>17</v>
      </c>
      <c r="BO10" s="35" t="s">
        <v>17</v>
      </c>
      <c r="BP10" s="35" t="s">
        <v>17</v>
      </c>
    </row>
    <row r="11" spans="1:68" x14ac:dyDescent="0.3">
      <c r="A11" s="41">
        <v>2</v>
      </c>
      <c r="B11" s="45">
        <v>44776.701388888891</v>
      </c>
      <c r="C11" s="43">
        <f t="shared" si="12"/>
        <v>8.3333333335758653E-2</v>
      </c>
      <c r="D11" s="42">
        <f t="shared" si="14"/>
        <v>0.83333333333575865</v>
      </c>
      <c r="E11" s="5">
        <f t="shared" ref="E11:E23" si="15">E10+C11</f>
        <v>0.83333333333575865</v>
      </c>
      <c r="F11" s="1">
        <f t="shared" si="0"/>
        <v>0</v>
      </c>
      <c r="G11" s="1">
        <f t="shared" si="1"/>
        <v>0</v>
      </c>
      <c r="H11" s="1">
        <f t="shared" si="2"/>
        <v>0</v>
      </c>
      <c r="I11" s="1">
        <f t="shared" si="3"/>
        <v>0</v>
      </c>
      <c r="J11" s="1">
        <f t="shared" si="4"/>
        <v>0</v>
      </c>
      <c r="K11" s="1">
        <f t="shared" si="5"/>
        <v>0</v>
      </c>
      <c r="L11" s="1">
        <f t="shared" si="6"/>
        <v>0</v>
      </c>
      <c r="N11" s="1">
        <f t="shared" si="7"/>
        <v>50</v>
      </c>
      <c r="O11" s="1">
        <f t="shared" si="8"/>
        <v>0</v>
      </c>
      <c r="P11" s="1">
        <f t="shared" si="9"/>
        <v>0</v>
      </c>
      <c r="Q11" s="1">
        <f t="shared" si="10"/>
        <v>0</v>
      </c>
      <c r="R11" s="1">
        <f t="shared" si="11"/>
        <v>0</v>
      </c>
      <c r="S11" s="35" t="s">
        <v>17</v>
      </c>
      <c r="T11" s="35" t="s">
        <v>17</v>
      </c>
      <c r="U11" s="35" t="s">
        <v>17</v>
      </c>
      <c r="V11" s="35" t="s">
        <v>17</v>
      </c>
      <c r="W11" s="35" t="s">
        <v>17</v>
      </c>
      <c r="X11" s="35" t="s">
        <v>17</v>
      </c>
      <c r="Y11" s="35" t="s">
        <v>17</v>
      </c>
      <c r="Z11" s="35" t="s">
        <v>17</v>
      </c>
      <c r="AA11" s="35" t="s">
        <v>17</v>
      </c>
      <c r="AB11" s="35" t="s">
        <v>17</v>
      </c>
      <c r="AC11" s="35" t="s">
        <v>17</v>
      </c>
      <c r="AD11" s="35" t="s">
        <v>17</v>
      </c>
      <c r="AE11" s="35" t="s">
        <v>17</v>
      </c>
      <c r="AF11" s="35" t="s">
        <v>17</v>
      </c>
      <c r="AG11" s="35" t="s">
        <v>17</v>
      </c>
      <c r="AH11" s="35" t="s">
        <v>17</v>
      </c>
      <c r="AI11" s="35" t="s">
        <v>17</v>
      </c>
      <c r="AJ11" s="35" t="s">
        <v>17</v>
      </c>
      <c r="AK11" s="35" t="s">
        <v>17</v>
      </c>
      <c r="AL11" s="35" t="s">
        <v>17</v>
      </c>
      <c r="AM11" s="35" t="s">
        <v>17</v>
      </c>
      <c r="AN11" s="35" t="s">
        <v>17</v>
      </c>
      <c r="AO11" s="35" t="s">
        <v>17</v>
      </c>
      <c r="AP11" s="35" t="s">
        <v>17</v>
      </c>
      <c r="AQ11" s="35" t="s">
        <v>17</v>
      </c>
      <c r="AR11" s="35" t="s">
        <v>17</v>
      </c>
      <c r="AS11" s="35" t="s">
        <v>17</v>
      </c>
      <c r="AT11" s="35" t="s">
        <v>17</v>
      </c>
      <c r="AU11" s="35" t="s">
        <v>17</v>
      </c>
      <c r="AV11" s="35" t="s">
        <v>17</v>
      </c>
      <c r="AW11" s="35" t="s">
        <v>17</v>
      </c>
      <c r="AX11" s="35" t="s">
        <v>17</v>
      </c>
      <c r="AY11" s="35" t="s">
        <v>17</v>
      </c>
      <c r="AZ11" s="35" t="s">
        <v>17</v>
      </c>
      <c r="BA11" s="35" t="s">
        <v>17</v>
      </c>
      <c r="BB11" s="35" t="s">
        <v>17</v>
      </c>
      <c r="BC11" s="35" t="s">
        <v>17</v>
      </c>
      <c r="BD11" s="35" t="s">
        <v>17</v>
      </c>
      <c r="BE11" s="35" t="s">
        <v>17</v>
      </c>
      <c r="BF11" s="35" t="s">
        <v>17</v>
      </c>
      <c r="BG11" s="35" t="s">
        <v>17</v>
      </c>
      <c r="BH11" s="35" t="s">
        <v>17</v>
      </c>
      <c r="BI11" s="35" t="s">
        <v>17</v>
      </c>
      <c r="BJ11" s="35" t="s">
        <v>17</v>
      </c>
      <c r="BK11" s="35" t="s">
        <v>17</v>
      </c>
      <c r="BL11" s="35" t="s">
        <v>17</v>
      </c>
      <c r="BM11" s="35" t="s">
        <v>17</v>
      </c>
      <c r="BN11" s="35" t="s">
        <v>17</v>
      </c>
      <c r="BO11" s="35" t="s">
        <v>17</v>
      </c>
      <c r="BP11" s="35" t="s">
        <v>17</v>
      </c>
    </row>
    <row r="12" spans="1:68" x14ac:dyDescent="0.3">
      <c r="A12" s="41">
        <v>2</v>
      </c>
      <c r="B12" s="45">
        <v>44776.784722222219</v>
      </c>
      <c r="C12" s="43">
        <f t="shared" si="12"/>
        <v>8.3333333328482695E-2</v>
      </c>
      <c r="D12" s="42">
        <f t="shared" si="14"/>
        <v>0.91666666666424135</v>
      </c>
      <c r="E12" s="5">
        <f>E11+C12</f>
        <v>0.91666666666424135</v>
      </c>
      <c r="F12" s="1">
        <f t="shared" si="0"/>
        <v>0</v>
      </c>
      <c r="G12" s="1">
        <f t="shared" si="1"/>
        <v>0</v>
      </c>
      <c r="H12" s="1">
        <f t="shared" si="2"/>
        <v>0</v>
      </c>
      <c r="I12" s="1">
        <f t="shared" si="3"/>
        <v>0</v>
      </c>
      <c r="J12" s="1">
        <f t="shared" si="4"/>
        <v>0</v>
      </c>
      <c r="K12" s="1">
        <f t="shared" si="5"/>
        <v>0</v>
      </c>
      <c r="L12" s="1">
        <f t="shared" si="6"/>
        <v>0</v>
      </c>
      <c r="N12" s="1">
        <f t="shared" si="7"/>
        <v>50</v>
      </c>
      <c r="O12" s="1">
        <f t="shared" si="8"/>
        <v>0</v>
      </c>
      <c r="P12" s="1">
        <f t="shared" si="9"/>
        <v>0</v>
      </c>
      <c r="Q12" s="1">
        <f t="shared" si="10"/>
        <v>0</v>
      </c>
      <c r="R12" s="1">
        <f t="shared" si="11"/>
        <v>0</v>
      </c>
      <c r="S12" s="35" t="s">
        <v>17</v>
      </c>
      <c r="T12" s="35" t="s">
        <v>17</v>
      </c>
      <c r="U12" s="35" t="s">
        <v>17</v>
      </c>
      <c r="V12" s="35" t="s">
        <v>17</v>
      </c>
      <c r="W12" s="35" t="s">
        <v>17</v>
      </c>
      <c r="X12" s="35" t="s">
        <v>17</v>
      </c>
      <c r="Y12" s="35" t="s">
        <v>17</v>
      </c>
      <c r="Z12" s="35" t="s">
        <v>17</v>
      </c>
      <c r="AA12" s="35" t="s">
        <v>17</v>
      </c>
      <c r="AB12" s="35" t="s">
        <v>17</v>
      </c>
      <c r="AC12" s="35" t="s">
        <v>17</v>
      </c>
      <c r="AD12" s="35" t="s">
        <v>17</v>
      </c>
      <c r="AE12" s="35" t="s">
        <v>17</v>
      </c>
      <c r="AF12" s="35" t="s">
        <v>17</v>
      </c>
      <c r="AG12" s="35" t="s">
        <v>17</v>
      </c>
      <c r="AH12" s="35" t="s">
        <v>17</v>
      </c>
      <c r="AI12" s="35" t="s">
        <v>17</v>
      </c>
      <c r="AJ12" s="35" t="s">
        <v>17</v>
      </c>
      <c r="AK12" s="35" t="s">
        <v>17</v>
      </c>
      <c r="AL12" s="35" t="s">
        <v>17</v>
      </c>
      <c r="AM12" s="35" t="s">
        <v>17</v>
      </c>
      <c r="AN12" s="35" t="s">
        <v>17</v>
      </c>
      <c r="AO12" s="35" t="s">
        <v>17</v>
      </c>
      <c r="AP12" s="35" t="s">
        <v>17</v>
      </c>
      <c r="AQ12" s="35" t="s">
        <v>17</v>
      </c>
      <c r="AR12" s="35" t="s">
        <v>17</v>
      </c>
      <c r="AS12" s="35" t="s">
        <v>17</v>
      </c>
      <c r="AT12" s="35" t="s">
        <v>17</v>
      </c>
      <c r="AU12" s="35" t="s">
        <v>17</v>
      </c>
      <c r="AV12" s="35" t="s">
        <v>17</v>
      </c>
      <c r="AW12" s="35" t="s">
        <v>17</v>
      </c>
      <c r="AX12" s="35" t="s">
        <v>17</v>
      </c>
      <c r="AY12" s="35" t="s">
        <v>17</v>
      </c>
      <c r="AZ12" s="35" t="s">
        <v>17</v>
      </c>
      <c r="BA12" s="35" t="s">
        <v>17</v>
      </c>
      <c r="BB12" s="35" t="s">
        <v>17</v>
      </c>
      <c r="BC12" s="35" t="s">
        <v>17</v>
      </c>
      <c r="BD12" s="35" t="s">
        <v>17</v>
      </c>
      <c r="BE12" s="35" t="s">
        <v>17</v>
      </c>
      <c r="BF12" s="35" t="s">
        <v>17</v>
      </c>
      <c r="BG12" s="35" t="s">
        <v>17</v>
      </c>
      <c r="BH12" s="35" t="s">
        <v>17</v>
      </c>
      <c r="BI12" s="35" t="s">
        <v>17</v>
      </c>
      <c r="BJ12" s="35" t="s">
        <v>17</v>
      </c>
      <c r="BK12" s="35" t="s">
        <v>17</v>
      </c>
      <c r="BL12" s="35" t="s">
        <v>17</v>
      </c>
      <c r="BM12" s="35" t="s">
        <v>17</v>
      </c>
      <c r="BN12" s="35" t="s">
        <v>17</v>
      </c>
      <c r="BO12" s="35" t="s">
        <v>17</v>
      </c>
      <c r="BP12" s="35" t="s">
        <v>17</v>
      </c>
    </row>
    <row r="13" spans="1:68" x14ac:dyDescent="0.3">
      <c r="A13" s="41">
        <v>2</v>
      </c>
      <c r="B13" s="45">
        <v>44776.868055555555</v>
      </c>
      <c r="C13" s="43">
        <f t="shared" si="12"/>
        <v>8.3333333335758653E-2</v>
      </c>
      <c r="D13" s="42">
        <f t="shared" si="14"/>
        <v>1</v>
      </c>
      <c r="E13" s="5">
        <f t="shared" si="15"/>
        <v>1</v>
      </c>
      <c r="F13" s="1">
        <f t="shared" si="0"/>
        <v>0</v>
      </c>
      <c r="G13" s="1">
        <f t="shared" si="1"/>
        <v>0</v>
      </c>
      <c r="H13" s="1">
        <f t="shared" si="2"/>
        <v>0</v>
      </c>
      <c r="I13" s="1">
        <f t="shared" si="3"/>
        <v>0</v>
      </c>
      <c r="J13" s="1">
        <f t="shared" si="4"/>
        <v>0</v>
      </c>
      <c r="K13" s="1">
        <f t="shared" si="5"/>
        <v>0</v>
      </c>
      <c r="L13" s="1">
        <f t="shared" si="6"/>
        <v>0</v>
      </c>
      <c r="N13" s="1">
        <f t="shared" si="7"/>
        <v>50</v>
      </c>
      <c r="O13" s="1">
        <f t="shared" si="8"/>
        <v>0</v>
      </c>
      <c r="P13" s="1">
        <f t="shared" si="9"/>
        <v>0</v>
      </c>
      <c r="Q13" s="1">
        <f t="shared" si="10"/>
        <v>0</v>
      </c>
      <c r="R13" s="1">
        <f t="shared" si="11"/>
        <v>0</v>
      </c>
      <c r="S13" s="35" t="s">
        <v>17</v>
      </c>
      <c r="T13" s="35" t="s">
        <v>17</v>
      </c>
      <c r="U13" s="35" t="s">
        <v>17</v>
      </c>
      <c r="V13" s="35" t="s">
        <v>17</v>
      </c>
      <c r="W13" s="35" t="s">
        <v>17</v>
      </c>
      <c r="X13" s="35" t="s">
        <v>17</v>
      </c>
      <c r="Y13" s="35" t="s">
        <v>17</v>
      </c>
      <c r="Z13" s="35" t="s">
        <v>17</v>
      </c>
      <c r="AA13" s="35" t="s">
        <v>17</v>
      </c>
      <c r="AB13" s="35" t="s">
        <v>17</v>
      </c>
      <c r="AC13" s="35" t="s">
        <v>17</v>
      </c>
      <c r="AD13" s="35" t="s">
        <v>17</v>
      </c>
      <c r="AE13" s="35" t="s">
        <v>17</v>
      </c>
      <c r="AF13" s="35" t="s">
        <v>17</v>
      </c>
      <c r="AG13" s="35" t="s">
        <v>17</v>
      </c>
      <c r="AH13" s="35" t="s">
        <v>17</v>
      </c>
      <c r="AI13" s="35" t="s">
        <v>17</v>
      </c>
      <c r="AJ13" s="35" t="s">
        <v>17</v>
      </c>
      <c r="AK13" s="35" t="s">
        <v>17</v>
      </c>
      <c r="AL13" s="35" t="s">
        <v>17</v>
      </c>
      <c r="AM13" s="35" t="s">
        <v>17</v>
      </c>
      <c r="AN13" s="35" t="s">
        <v>17</v>
      </c>
      <c r="AO13" s="35" t="s">
        <v>17</v>
      </c>
      <c r="AP13" s="35" t="s">
        <v>17</v>
      </c>
      <c r="AQ13" s="35" t="s">
        <v>17</v>
      </c>
      <c r="AR13" s="35" t="s">
        <v>17</v>
      </c>
      <c r="AS13" s="35" t="s">
        <v>17</v>
      </c>
      <c r="AT13" s="35" t="s">
        <v>17</v>
      </c>
      <c r="AU13" s="35" t="s">
        <v>17</v>
      </c>
      <c r="AV13" s="35" t="s">
        <v>17</v>
      </c>
      <c r="AW13" s="35" t="s">
        <v>17</v>
      </c>
      <c r="AX13" s="35" t="s">
        <v>17</v>
      </c>
      <c r="AY13" s="35" t="s">
        <v>17</v>
      </c>
      <c r="AZ13" s="35" t="s">
        <v>17</v>
      </c>
      <c r="BA13" s="35" t="s">
        <v>17</v>
      </c>
      <c r="BB13" s="35" t="s">
        <v>17</v>
      </c>
      <c r="BC13" s="35" t="s">
        <v>17</v>
      </c>
      <c r="BD13" s="35" t="s">
        <v>17</v>
      </c>
      <c r="BE13" s="35" t="s">
        <v>17</v>
      </c>
      <c r="BF13" s="35" t="s">
        <v>17</v>
      </c>
      <c r="BG13" s="35" t="s">
        <v>17</v>
      </c>
      <c r="BH13" s="35" t="s">
        <v>17</v>
      </c>
      <c r="BI13" s="35" t="s">
        <v>17</v>
      </c>
      <c r="BJ13" s="35" t="s">
        <v>17</v>
      </c>
      <c r="BK13" s="35" t="s">
        <v>17</v>
      </c>
      <c r="BL13" s="35" t="s">
        <v>17</v>
      </c>
      <c r="BM13" s="35" t="s">
        <v>17</v>
      </c>
      <c r="BN13" s="35" t="s">
        <v>17</v>
      </c>
      <c r="BO13" s="35" t="s">
        <v>17</v>
      </c>
      <c r="BP13" s="35" t="s">
        <v>17</v>
      </c>
    </row>
    <row r="14" spans="1:68" x14ac:dyDescent="0.3">
      <c r="A14" s="41">
        <v>2</v>
      </c>
      <c r="B14" s="45">
        <v>44776.909722222219</v>
      </c>
      <c r="C14" s="43">
        <f t="shared" si="12"/>
        <v>4.1666666664241347E-2</v>
      </c>
      <c r="D14" s="42">
        <f t="shared" si="14"/>
        <v>1.0416666666642413</v>
      </c>
      <c r="E14" s="5">
        <f t="shared" si="15"/>
        <v>1.0416666666642413</v>
      </c>
      <c r="F14" s="1">
        <f t="shared" si="0"/>
        <v>0</v>
      </c>
      <c r="G14" s="1">
        <f t="shared" si="1"/>
        <v>0</v>
      </c>
      <c r="H14" s="1">
        <f t="shared" si="2"/>
        <v>0</v>
      </c>
      <c r="I14" s="1">
        <f t="shared" si="3"/>
        <v>0</v>
      </c>
      <c r="J14" s="1">
        <f t="shared" si="4"/>
        <v>0</v>
      </c>
      <c r="K14" s="1">
        <f t="shared" si="5"/>
        <v>0</v>
      </c>
      <c r="L14" s="1">
        <f t="shared" si="6"/>
        <v>0</v>
      </c>
      <c r="N14" s="1">
        <f t="shared" si="7"/>
        <v>50</v>
      </c>
      <c r="O14" s="1">
        <f t="shared" si="8"/>
        <v>0</v>
      </c>
      <c r="P14" s="1">
        <f t="shared" si="9"/>
        <v>0</v>
      </c>
      <c r="Q14" s="1">
        <f t="shared" si="10"/>
        <v>0</v>
      </c>
      <c r="R14" s="1">
        <f t="shared" si="11"/>
        <v>0</v>
      </c>
      <c r="S14" s="35" t="s">
        <v>17</v>
      </c>
      <c r="T14" s="35" t="s">
        <v>17</v>
      </c>
      <c r="U14" s="35" t="s">
        <v>17</v>
      </c>
      <c r="V14" s="35" t="s">
        <v>17</v>
      </c>
      <c r="W14" s="35" t="s">
        <v>17</v>
      </c>
      <c r="X14" s="35" t="s">
        <v>17</v>
      </c>
      <c r="Y14" s="35" t="s">
        <v>17</v>
      </c>
      <c r="Z14" s="35" t="s">
        <v>17</v>
      </c>
      <c r="AA14" s="35" t="s">
        <v>17</v>
      </c>
      <c r="AB14" s="35" t="s">
        <v>17</v>
      </c>
      <c r="AC14" s="35" t="s">
        <v>17</v>
      </c>
      <c r="AD14" s="35" t="s">
        <v>17</v>
      </c>
      <c r="AE14" s="35" t="s">
        <v>17</v>
      </c>
      <c r="AF14" s="35" t="s">
        <v>17</v>
      </c>
      <c r="AG14" s="35" t="s">
        <v>17</v>
      </c>
      <c r="AH14" s="35" t="s">
        <v>17</v>
      </c>
      <c r="AI14" s="35" t="s">
        <v>17</v>
      </c>
      <c r="AJ14" s="35" t="s">
        <v>17</v>
      </c>
      <c r="AK14" s="35" t="s">
        <v>17</v>
      </c>
      <c r="AL14" s="35" t="s">
        <v>17</v>
      </c>
      <c r="AM14" s="35" t="s">
        <v>17</v>
      </c>
      <c r="AN14" s="35" t="s">
        <v>17</v>
      </c>
      <c r="AO14" s="35" t="s">
        <v>17</v>
      </c>
      <c r="AP14" s="35" t="s">
        <v>17</v>
      </c>
      <c r="AQ14" s="35" t="s">
        <v>17</v>
      </c>
      <c r="AR14" s="35" t="s">
        <v>17</v>
      </c>
      <c r="AS14" s="35" t="s">
        <v>17</v>
      </c>
      <c r="AT14" s="35" t="s">
        <v>17</v>
      </c>
      <c r="AU14" s="35" t="s">
        <v>17</v>
      </c>
      <c r="AV14" s="35" t="s">
        <v>17</v>
      </c>
      <c r="AW14" s="35" t="s">
        <v>17</v>
      </c>
      <c r="AX14" s="35" t="s">
        <v>17</v>
      </c>
      <c r="AY14" s="35" t="s">
        <v>17</v>
      </c>
      <c r="AZ14" s="35" t="s">
        <v>17</v>
      </c>
      <c r="BA14" s="35" t="s">
        <v>17</v>
      </c>
      <c r="BB14" s="35" t="s">
        <v>17</v>
      </c>
      <c r="BC14" s="35" t="s">
        <v>17</v>
      </c>
      <c r="BD14" s="35" t="s">
        <v>17</v>
      </c>
      <c r="BE14" s="35" t="s">
        <v>17</v>
      </c>
      <c r="BF14" s="35" t="s">
        <v>17</v>
      </c>
      <c r="BG14" s="35" t="s">
        <v>17</v>
      </c>
      <c r="BH14" s="35" t="s">
        <v>17</v>
      </c>
      <c r="BI14" s="35" t="s">
        <v>17</v>
      </c>
      <c r="BJ14" s="35" t="s">
        <v>17</v>
      </c>
      <c r="BK14" s="35" t="s">
        <v>17</v>
      </c>
      <c r="BL14" s="35" t="s">
        <v>17</v>
      </c>
      <c r="BM14" s="35" t="s">
        <v>17</v>
      </c>
      <c r="BN14" s="35" t="s">
        <v>17</v>
      </c>
      <c r="BO14" s="35" t="s">
        <v>17</v>
      </c>
      <c r="BP14" s="35" t="s">
        <v>17</v>
      </c>
    </row>
    <row r="15" spans="1:68" x14ac:dyDescent="0.3">
      <c r="A15" s="41">
        <v>2</v>
      </c>
      <c r="B15" s="45">
        <v>44776.951388888891</v>
      </c>
      <c r="C15" s="43">
        <f t="shared" si="12"/>
        <v>4.1666666671517305E-2</v>
      </c>
      <c r="D15" s="42">
        <f t="shared" si="14"/>
        <v>1.0833333333357587</v>
      </c>
      <c r="E15" s="5">
        <f t="shared" si="15"/>
        <v>1.0833333333357587</v>
      </c>
      <c r="F15" s="1">
        <f t="shared" si="0"/>
        <v>0</v>
      </c>
      <c r="G15" s="1">
        <f t="shared" si="1"/>
        <v>0</v>
      </c>
      <c r="H15" s="1">
        <f t="shared" si="2"/>
        <v>0</v>
      </c>
      <c r="I15" s="1">
        <f t="shared" si="3"/>
        <v>0</v>
      </c>
      <c r="J15" s="1">
        <f t="shared" si="4"/>
        <v>0</v>
      </c>
      <c r="K15" s="1">
        <f t="shared" si="5"/>
        <v>0</v>
      </c>
      <c r="L15" s="1">
        <f t="shared" si="6"/>
        <v>0</v>
      </c>
      <c r="N15" s="1">
        <f t="shared" si="7"/>
        <v>50</v>
      </c>
      <c r="O15" s="1">
        <f t="shared" si="8"/>
        <v>0</v>
      </c>
      <c r="P15" s="1">
        <f t="shared" si="9"/>
        <v>0</v>
      </c>
      <c r="Q15" s="1">
        <f t="shared" si="10"/>
        <v>0</v>
      </c>
      <c r="R15" s="1">
        <f t="shared" si="11"/>
        <v>0</v>
      </c>
      <c r="S15" s="35" t="s">
        <v>17</v>
      </c>
      <c r="T15" s="35" t="s">
        <v>17</v>
      </c>
      <c r="U15" s="35" t="s">
        <v>17</v>
      </c>
      <c r="V15" s="35" t="s">
        <v>17</v>
      </c>
      <c r="W15" s="35" t="s">
        <v>17</v>
      </c>
      <c r="X15" s="35" t="s">
        <v>17</v>
      </c>
      <c r="Y15" s="35" t="s">
        <v>17</v>
      </c>
      <c r="Z15" s="35" t="s">
        <v>17</v>
      </c>
      <c r="AA15" s="35" t="s">
        <v>17</v>
      </c>
      <c r="AB15" s="35" t="s">
        <v>17</v>
      </c>
      <c r="AC15" s="35" t="s">
        <v>17</v>
      </c>
      <c r="AD15" s="35" t="s">
        <v>17</v>
      </c>
      <c r="AE15" s="35" t="s">
        <v>17</v>
      </c>
      <c r="AF15" s="35" t="s">
        <v>17</v>
      </c>
      <c r="AG15" s="35" t="s">
        <v>17</v>
      </c>
      <c r="AH15" s="35" t="s">
        <v>17</v>
      </c>
      <c r="AI15" s="35" t="s">
        <v>17</v>
      </c>
      <c r="AJ15" s="35" t="s">
        <v>17</v>
      </c>
      <c r="AK15" s="35" t="s">
        <v>17</v>
      </c>
      <c r="AL15" s="35" t="s">
        <v>17</v>
      </c>
      <c r="AM15" s="35" t="s">
        <v>17</v>
      </c>
      <c r="AN15" s="35" t="s">
        <v>17</v>
      </c>
      <c r="AO15" s="35" t="s">
        <v>17</v>
      </c>
      <c r="AP15" s="35" t="s">
        <v>17</v>
      </c>
      <c r="AQ15" s="35" t="s">
        <v>17</v>
      </c>
      <c r="AR15" s="35" t="s">
        <v>17</v>
      </c>
      <c r="AS15" s="35" t="s">
        <v>17</v>
      </c>
      <c r="AT15" s="35" t="s">
        <v>17</v>
      </c>
      <c r="AU15" s="35" t="s">
        <v>17</v>
      </c>
      <c r="AV15" s="35" t="s">
        <v>17</v>
      </c>
      <c r="AW15" s="35" t="s">
        <v>17</v>
      </c>
      <c r="AX15" s="35" t="s">
        <v>17</v>
      </c>
      <c r="AY15" s="35" t="s">
        <v>17</v>
      </c>
      <c r="AZ15" s="35" t="s">
        <v>17</v>
      </c>
      <c r="BA15" s="35" t="s">
        <v>17</v>
      </c>
      <c r="BB15" s="35" t="s">
        <v>17</v>
      </c>
      <c r="BC15" s="35" t="s">
        <v>17</v>
      </c>
      <c r="BD15" s="35" t="s">
        <v>17</v>
      </c>
      <c r="BE15" s="35" t="s">
        <v>17</v>
      </c>
      <c r="BF15" s="35" t="s">
        <v>17</v>
      </c>
      <c r="BG15" s="35" t="s">
        <v>17</v>
      </c>
      <c r="BH15" s="35" t="s">
        <v>17</v>
      </c>
      <c r="BI15" s="35" t="s">
        <v>17</v>
      </c>
      <c r="BJ15" s="35" t="s">
        <v>17</v>
      </c>
      <c r="BK15" s="35" t="s">
        <v>17</v>
      </c>
      <c r="BL15" s="35" t="s">
        <v>17</v>
      </c>
      <c r="BM15" s="35" t="s">
        <v>17</v>
      </c>
      <c r="BN15" s="35" t="s">
        <v>17</v>
      </c>
      <c r="BO15" s="35" t="s">
        <v>17</v>
      </c>
      <c r="BP15" s="35" t="s">
        <v>17</v>
      </c>
    </row>
    <row r="16" spans="1:68" x14ac:dyDescent="0.3">
      <c r="A16" s="41">
        <v>3</v>
      </c>
      <c r="B16" s="45">
        <v>44777.4375</v>
      </c>
      <c r="C16" s="43">
        <f>(B16-B15)</f>
        <v>0.48611111110949423</v>
      </c>
      <c r="D16" s="42">
        <f t="shared" si="14"/>
        <v>1.5694444444452529</v>
      </c>
      <c r="E16" s="5">
        <f t="shared" si="15"/>
        <v>1.5694444444452529</v>
      </c>
      <c r="F16" s="1">
        <f t="shared" si="0"/>
        <v>0</v>
      </c>
      <c r="G16" s="1">
        <f t="shared" si="1"/>
        <v>0</v>
      </c>
      <c r="H16" s="1">
        <f t="shared" si="2"/>
        <v>0</v>
      </c>
      <c r="I16" s="1">
        <f t="shared" si="3"/>
        <v>0</v>
      </c>
      <c r="J16" s="1">
        <f t="shared" si="4"/>
        <v>0</v>
      </c>
      <c r="K16" s="1">
        <f t="shared" si="5"/>
        <v>0</v>
      </c>
      <c r="L16" s="1">
        <f t="shared" si="6"/>
        <v>0</v>
      </c>
      <c r="N16" s="1">
        <f t="shared" si="7"/>
        <v>50</v>
      </c>
      <c r="O16" s="1">
        <f t="shared" si="8"/>
        <v>0</v>
      </c>
      <c r="P16" s="1">
        <f t="shared" si="9"/>
        <v>0</v>
      </c>
      <c r="Q16" s="1">
        <f t="shared" si="10"/>
        <v>0</v>
      </c>
      <c r="R16" s="1">
        <f t="shared" si="11"/>
        <v>0</v>
      </c>
      <c r="S16" s="35" t="s">
        <v>17</v>
      </c>
      <c r="T16" s="35" t="s">
        <v>17</v>
      </c>
      <c r="U16" s="35" t="s">
        <v>17</v>
      </c>
      <c r="V16" s="35" t="s">
        <v>17</v>
      </c>
      <c r="W16" s="35" t="s">
        <v>17</v>
      </c>
      <c r="X16" s="35" t="s">
        <v>17</v>
      </c>
      <c r="Y16" s="35" t="s">
        <v>17</v>
      </c>
      <c r="Z16" s="35" t="s">
        <v>17</v>
      </c>
      <c r="AA16" s="35" t="s">
        <v>17</v>
      </c>
      <c r="AB16" s="35" t="s">
        <v>17</v>
      </c>
      <c r="AC16" s="35" t="s">
        <v>17</v>
      </c>
      <c r="AD16" s="35" t="s">
        <v>17</v>
      </c>
      <c r="AE16" s="35" t="s">
        <v>17</v>
      </c>
      <c r="AF16" s="35" t="s">
        <v>17</v>
      </c>
      <c r="AG16" s="35" t="s">
        <v>17</v>
      </c>
      <c r="AH16" s="35" t="s">
        <v>17</v>
      </c>
      <c r="AI16" s="35" t="s">
        <v>17</v>
      </c>
      <c r="AJ16" s="35" t="s">
        <v>17</v>
      </c>
      <c r="AK16" s="35" t="s">
        <v>17</v>
      </c>
      <c r="AL16" s="35" t="s">
        <v>17</v>
      </c>
      <c r="AM16" s="35" t="s">
        <v>17</v>
      </c>
      <c r="AN16" s="35" t="s">
        <v>17</v>
      </c>
      <c r="AO16" s="35" t="s">
        <v>17</v>
      </c>
      <c r="AP16" s="35" t="s">
        <v>17</v>
      </c>
      <c r="AQ16" s="35" t="s">
        <v>17</v>
      </c>
      <c r="AR16" s="35" t="s">
        <v>17</v>
      </c>
      <c r="AS16" s="35" t="s">
        <v>17</v>
      </c>
      <c r="AT16" s="35" t="s">
        <v>17</v>
      </c>
      <c r="AU16" s="35" t="s">
        <v>17</v>
      </c>
      <c r="AV16" s="35" t="s">
        <v>17</v>
      </c>
      <c r="AW16" s="35" t="s">
        <v>17</v>
      </c>
      <c r="AX16" s="35" t="s">
        <v>17</v>
      </c>
      <c r="AY16" s="35" t="s">
        <v>17</v>
      </c>
      <c r="AZ16" s="35" t="s">
        <v>17</v>
      </c>
      <c r="BA16" s="35" t="s">
        <v>17</v>
      </c>
      <c r="BB16" s="35" t="s">
        <v>17</v>
      </c>
      <c r="BC16" s="35" t="s">
        <v>17</v>
      </c>
      <c r="BD16" s="35" t="s">
        <v>17</v>
      </c>
      <c r="BE16" s="35" t="s">
        <v>17</v>
      </c>
      <c r="BF16" s="35" t="s">
        <v>17</v>
      </c>
      <c r="BG16" s="35" t="s">
        <v>17</v>
      </c>
      <c r="BH16" s="35" t="s">
        <v>17</v>
      </c>
      <c r="BI16" s="35" t="s">
        <v>17</v>
      </c>
      <c r="BJ16" s="35" t="s">
        <v>17</v>
      </c>
      <c r="BK16" s="35" t="s">
        <v>17</v>
      </c>
      <c r="BL16" s="35" t="s">
        <v>17</v>
      </c>
      <c r="BM16" s="35" t="s">
        <v>17</v>
      </c>
      <c r="BN16" s="35" t="s">
        <v>17</v>
      </c>
      <c r="BO16" s="35" t="s">
        <v>17</v>
      </c>
      <c r="BP16" s="35" t="s">
        <v>17</v>
      </c>
    </row>
    <row r="17" spans="1:68" x14ac:dyDescent="0.3">
      <c r="A17" s="41">
        <v>3</v>
      </c>
      <c r="B17" s="45">
        <v>44777.479166666664</v>
      </c>
      <c r="C17" s="43">
        <f>(B17-B16)</f>
        <v>4.1666666664241347E-2</v>
      </c>
      <c r="D17" s="42">
        <f>D16+C17</f>
        <v>1.6111111111094942</v>
      </c>
      <c r="E17" s="5">
        <f t="shared" si="15"/>
        <v>1.6111111111094942</v>
      </c>
      <c r="F17" s="1">
        <f t="shared" si="0"/>
        <v>0</v>
      </c>
      <c r="G17" s="1">
        <f t="shared" si="1"/>
        <v>0</v>
      </c>
      <c r="H17" s="1">
        <f t="shared" si="2"/>
        <v>0</v>
      </c>
      <c r="I17" s="1">
        <f t="shared" si="3"/>
        <v>0</v>
      </c>
      <c r="J17" s="1">
        <f t="shared" si="4"/>
        <v>0</v>
      </c>
      <c r="K17" s="1">
        <f t="shared" si="5"/>
        <v>0</v>
      </c>
      <c r="L17" s="1">
        <f t="shared" si="6"/>
        <v>0</v>
      </c>
      <c r="N17" s="1">
        <f t="shared" si="7"/>
        <v>50</v>
      </c>
      <c r="O17" s="1">
        <f t="shared" si="8"/>
        <v>0</v>
      </c>
      <c r="P17" s="1">
        <f t="shared" si="9"/>
        <v>0</v>
      </c>
      <c r="Q17" s="1">
        <f t="shared" si="10"/>
        <v>0</v>
      </c>
      <c r="R17" s="1">
        <f t="shared" si="11"/>
        <v>0</v>
      </c>
      <c r="S17" s="35" t="s">
        <v>17</v>
      </c>
      <c r="T17" s="35" t="s">
        <v>17</v>
      </c>
      <c r="U17" s="35" t="s">
        <v>17</v>
      </c>
      <c r="V17" s="35" t="s">
        <v>17</v>
      </c>
      <c r="W17" s="35" t="s">
        <v>17</v>
      </c>
      <c r="X17" s="35" t="s">
        <v>17</v>
      </c>
      <c r="Y17" s="35" t="s">
        <v>17</v>
      </c>
      <c r="Z17" s="35" t="s">
        <v>17</v>
      </c>
      <c r="AA17" s="35" t="s">
        <v>17</v>
      </c>
      <c r="AB17" s="35" t="s">
        <v>17</v>
      </c>
      <c r="AC17" s="35" t="s">
        <v>17</v>
      </c>
      <c r="AD17" s="35" t="s">
        <v>17</v>
      </c>
      <c r="AE17" s="35" t="s">
        <v>17</v>
      </c>
      <c r="AF17" s="35" t="s">
        <v>17</v>
      </c>
      <c r="AG17" s="35" t="s">
        <v>17</v>
      </c>
      <c r="AH17" s="35" t="s">
        <v>17</v>
      </c>
      <c r="AI17" s="35" t="s">
        <v>17</v>
      </c>
      <c r="AJ17" s="35" t="s">
        <v>17</v>
      </c>
      <c r="AK17" s="35" t="s">
        <v>17</v>
      </c>
      <c r="AL17" s="35" t="s">
        <v>17</v>
      </c>
      <c r="AM17" s="35" t="s">
        <v>17</v>
      </c>
      <c r="AN17" s="35" t="s">
        <v>17</v>
      </c>
      <c r="AO17" s="35" t="s">
        <v>17</v>
      </c>
      <c r="AP17" s="35" t="s">
        <v>17</v>
      </c>
      <c r="AQ17" s="35" t="s">
        <v>17</v>
      </c>
      <c r="AR17" s="35" t="s">
        <v>17</v>
      </c>
      <c r="AS17" s="35" t="s">
        <v>17</v>
      </c>
      <c r="AT17" s="35" t="s">
        <v>17</v>
      </c>
      <c r="AU17" s="35" t="s">
        <v>17</v>
      </c>
      <c r="AV17" s="35" t="s">
        <v>17</v>
      </c>
      <c r="AW17" s="35" t="s">
        <v>17</v>
      </c>
      <c r="AX17" s="35" t="s">
        <v>17</v>
      </c>
      <c r="AY17" s="35" t="s">
        <v>17</v>
      </c>
      <c r="AZ17" s="35" t="s">
        <v>17</v>
      </c>
      <c r="BA17" s="35" t="s">
        <v>17</v>
      </c>
      <c r="BB17" s="35" t="s">
        <v>17</v>
      </c>
      <c r="BC17" s="35" t="s">
        <v>17</v>
      </c>
      <c r="BD17" s="35" t="s">
        <v>17</v>
      </c>
      <c r="BE17" s="35" t="s">
        <v>17</v>
      </c>
      <c r="BF17" s="35" t="s">
        <v>17</v>
      </c>
      <c r="BG17" s="35" t="s">
        <v>17</v>
      </c>
      <c r="BH17" s="35" t="s">
        <v>17</v>
      </c>
      <c r="BI17" s="35" t="s">
        <v>17</v>
      </c>
      <c r="BJ17" s="35" t="s">
        <v>17</v>
      </c>
      <c r="BK17" s="35" t="s">
        <v>17</v>
      </c>
      <c r="BL17" s="35" t="s">
        <v>17</v>
      </c>
      <c r="BM17" s="35" t="s">
        <v>17</v>
      </c>
      <c r="BN17" s="35" t="s">
        <v>17</v>
      </c>
      <c r="BO17" s="35" t="s">
        <v>17</v>
      </c>
      <c r="BP17" s="35" t="s">
        <v>17</v>
      </c>
    </row>
    <row r="18" spans="1:68" x14ac:dyDescent="0.3">
      <c r="A18" s="41">
        <v>3</v>
      </c>
      <c r="B18" s="45">
        <v>44777.5625</v>
      </c>
      <c r="C18" s="43">
        <f t="shared" si="12"/>
        <v>8.3333333335758653E-2</v>
      </c>
      <c r="D18" s="42">
        <f t="shared" si="14"/>
        <v>1.6944444444452529</v>
      </c>
      <c r="E18" s="5">
        <f t="shared" si="15"/>
        <v>1.6944444444452529</v>
      </c>
      <c r="F18" s="1">
        <f t="shared" si="0"/>
        <v>0</v>
      </c>
      <c r="G18" s="1">
        <f t="shared" si="1"/>
        <v>0</v>
      </c>
      <c r="H18" s="1">
        <f t="shared" si="2"/>
        <v>0</v>
      </c>
      <c r="I18" s="1">
        <f t="shared" si="3"/>
        <v>0</v>
      </c>
      <c r="J18" s="1">
        <f t="shared" si="4"/>
        <v>0</v>
      </c>
      <c r="K18" s="1">
        <f t="shared" si="5"/>
        <v>0</v>
      </c>
      <c r="L18" s="1">
        <f t="shared" si="6"/>
        <v>0</v>
      </c>
      <c r="N18" s="1">
        <f t="shared" si="7"/>
        <v>50</v>
      </c>
      <c r="O18" s="1">
        <f t="shared" si="8"/>
        <v>0</v>
      </c>
      <c r="P18" s="1">
        <f t="shared" si="9"/>
        <v>0</v>
      </c>
      <c r="Q18" s="1">
        <f t="shared" si="10"/>
        <v>0</v>
      </c>
      <c r="R18" s="1">
        <f t="shared" si="11"/>
        <v>0</v>
      </c>
      <c r="S18" s="35" t="s">
        <v>17</v>
      </c>
      <c r="T18" s="35" t="s">
        <v>17</v>
      </c>
      <c r="U18" s="35" t="s">
        <v>17</v>
      </c>
      <c r="V18" s="35" t="s">
        <v>17</v>
      </c>
      <c r="W18" s="35" t="s">
        <v>17</v>
      </c>
      <c r="X18" s="35" t="s">
        <v>17</v>
      </c>
      <c r="Y18" s="35" t="s">
        <v>17</v>
      </c>
      <c r="Z18" s="35" t="s">
        <v>17</v>
      </c>
      <c r="AA18" s="35" t="s">
        <v>17</v>
      </c>
      <c r="AB18" s="35" t="s">
        <v>17</v>
      </c>
      <c r="AC18" s="35" t="s">
        <v>17</v>
      </c>
      <c r="AD18" s="35" t="s">
        <v>17</v>
      </c>
      <c r="AE18" s="35" t="s">
        <v>17</v>
      </c>
      <c r="AF18" s="35" t="s">
        <v>17</v>
      </c>
      <c r="AG18" s="35" t="s">
        <v>17</v>
      </c>
      <c r="AH18" s="35" t="s">
        <v>17</v>
      </c>
      <c r="AI18" s="35" t="s">
        <v>17</v>
      </c>
      <c r="AJ18" s="35" t="s">
        <v>17</v>
      </c>
      <c r="AK18" s="35" t="s">
        <v>17</v>
      </c>
      <c r="AL18" s="35" t="s">
        <v>17</v>
      </c>
      <c r="AM18" s="35" t="s">
        <v>17</v>
      </c>
      <c r="AN18" s="35" t="s">
        <v>17</v>
      </c>
      <c r="AO18" s="35" t="s">
        <v>17</v>
      </c>
      <c r="AP18" s="35" t="s">
        <v>17</v>
      </c>
      <c r="AQ18" s="35" t="s">
        <v>17</v>
      </c>
      <c r="AR18" s="35" t="s">
        <v>17</v>
      </c>
      <c r="AS18" s="35" t="s">
        <v>17</v>
      </c>
      <c r="AT18" s="35" t="s">
        <v>17</v>
      </c>
      <c r="AU18" s="35" t="s">
        <v>17</v>
      </c>
      <c r="AV18" s="35" t="s">
        <v>17</v>
      </c>
      <c r="AW18" s="35" t="s">
        <v>17</v>
      </c>
      <c r="AX18" s="35" t="s">
        <v>17</v>
      </c>
      <c r="AY18" s="35" t="s">
        <v>17</v>
      </c>
      <c r="AZ18" s="35" t="s">
        <v>17</v>
      </c>
      <c r="BA18" s="35" t="s">
        <v>17</v>
      </c>
      <c r="BB18" s="35" t="s">
        <v>17</v>
      </c>
      <c r="BC18" s="35" t="s">
        <v>17</v>
      </c>
      <c r="BD18" s="35" t="s">
        <v>17</v>
      </c>
      <c r="BE18" s="35" t="s">
        <v>17</v>
      </c>
      <c r="BF18" s="35" t="s">
        <v>17</v>
      </c>
      <c r="BG18" s="35" t="s">
        <v>17</v>
      </c>
      <c r="BH18" s="35" t="s">
        <v>17</v>
      </c>
      <c r="BI18" s="35" t="s">
        <v>17</v>
      </c>
      <c r="BJ18" s="35" t="s">
        <v>17</v>
      </c>
      <c r="BK18" s="35" t="s">
        <v>17</v>
      </c>
      <c r="BL18" s="35" t="s">
        <v>17</v>
      </c>
      <c r="BM18" s="35" t="s">
        <v>17</v>
      </c>
      <c r="BN18" s="35" t="s">
        <v>17</v>
      </c>
      <c r="BO18" s="35" t="s">
        <v>17</v>
      </c>
      <c r="BP18" s="35" t="s">
        <v>17</v>
      </c>
    </row>
    <row r="19" spans="1:68" x14ac:dyDescent="0.3">
      <c r="A19" s="41">
        <v>3</v>
      </c>
      <c r="B19" s="45">
        <v>44777.645833333336</v>
      </c>
      <c r="C19" s="43">
        <f t="shared" si="12"/>
        <v>8.3333333335758653E-2</v>
      </c>
      <c r="D19" s="42">
        <f t="shared" si="14"/>
        <v>1.7777777777810115</v>
      </c>
      <c r="E19" s="5">
        <f t="shared" si="15"/>
        <v>1.7777777777810115</v>
      </c>
      <c r="F19" s="1">
        <f t="shared" si="0"/>
        <v>0</v>
      </c>
      <c r="G19" s="1">
        <f t="shared" si="1"/>
        <v>0</v>
      </c>
      <c r="H19" s="1">
        <f t="shared" si="2"/>
        <v>0</v>
      </c>
      <c r="I19" s="1">
        <f t="shared" si="3"/>
        <v>0</v>
      </c>
      <c r="J19" s="1">
        <f t="shared" si="4"/>
        <v>0</v>
      </c>
      <c r="K19" s="1">
        <f t="shared" si="5"/>
        <v>0</v>
      </c>
      <c r="L19" s="1">
        <f t="shared" si="6"/>
        <v>0</v>
      </c>
      <c r="N19" s="1">
        <f t="shared" si="7"/>
        <v>50</v>
      </c>
      <c r="O19" s="1">
        <f t="shared" si="8"/>
        <v>0</v>
      </c>
      <c r="P19" s="1">
        <f t="shared" si="9"/>
        <v>0</v>
      </c>
      <c r="Q19" s="1">
        <f t="shared" si="10"/>
        <v>0</v>
      </c>
      <c r="R19" s="1">
        <f t="shared" si="11"/>
        <v>0</v>
      </c>
      <c r="S19" s="35" t="s">
        <v>17</v>
      </c>
      <c r="T19" s="35" t="s">
        <v>17</v>
      </c>
      <c r="U19" s="35" t="s">
        <v>17</v>
      </c>
      <c r="V19" s="35" t="s">
        <v>17</v>
      </c>
      <c r="W19" s="35" t="s">
        <v>17</v>
      </c>
      <c r="X19" s="35" t="s">
        <v>17</v>
      </c>
      <c r="Y19" s="35" t="s">
        <v>17</v>
      </c>
      <c r="Z19" s="35" t="s">
        <v>17</v>
      </c>
      <c r="AA19" s="35" t="s">
        <v>17</v>
      </c>
      <c r="AB19" s="35" t="s">
        <v>17</v>
      </c>
      <c r="AC19" s="35" t="s">
        <v>17</v>
      </c>
      <c r="AD19" s="35" t="s">
        <v>17</v>
      </c>
      <c r="AE19" s="35" t="s">
        <v>17</v>
      </c>
      <c r="AF19" s="35" t="s">
        <v>17</v>
      </c>
      <c r="AG19" s="35" t="s">
        <v>17</v>
      </c>
      <c r="AH19" s="35" t="s">
        <v>17</v>
      </c>
      <c r="AI19" s="35" t="s">
        <v>17</v>
      </c>
      <c r="AJ19" s="35" t="s">
        <v>17</v>
      </c>
      <c r="AK19" s="35" t="s">
        <v>17</v>
      </c>
      <c r="AL19" s="35" t="s">
        <v>17</v>
      </c>
      <c r="AM19" s="35" t="s">
        <v>17</v>
      </c>
      <c r="AN19" s="35" t="s">
        <v>17</v>
      </c>
      <c r="AO19" s="35" t="s">
        <v>17</v>
      </c>
      <c r="AP19" s="35" t="s">
        <v>17</v>
      </c>
      <c r="AQ19" s="35" t="s">
        <v>17</v>
      </c>
      <c r="AR19" s="35" t="s">
        <v>17</v>
      </c>
      <c r="AS19" s="35" t="s">
        <v>17</v>
      </c>
      <c r="AT19" s="35" t="s">
        <v>17</v>
      </c>
      <c r="AU19" s="35" t="s">
        <v>17</v>
      </c>
      <c r="AV19" s="35" t="s">
        <v>17</v>
      </c>
      <c r="AW19" s="35" t="s">
        <v>17</v>
      </c>
      <c r="AX19" s="35" t="s">
        <v>17</v>
      </c>
      <c r="AY19" s="35" t="s">
        <v>17</v>
      </c>
      <c r="AZ19" s="35" t="s">
        <v>17</v>
      </c>
      <c r="BA19" s="35" t="s">
        <v>17</v>
      </c>
      <c r="BB19" s="35" t="s">
        <v>17</v>
      </c>
      <c r="BC19" s="35" t="s">
        <v>17</v>
      </c>
      <c r="BD19" s="35" t="s">
        <v>17</v>
      </c>
      <c r="BE19" s="35" t="s">
        <v>17</v>
      </c>
      <c r="BF19" s="35" t="s">
        <v>17</v>
      </c>
      <c r="BG19" s="35" t="s">
        <v>17</v>
      </c>
      <c r="BH19" s="35" t="s">
        <v>17</v>
      </c>
      <c r="BI19" s="35" t="s">
        <v>17</v>
      </c>
      <c r="BJ19" s="35" t="s">
        <v>17</v>
      </c>
      <c r="BK19" s="35" t="s">
        <v>17</v>
      </c>
      <c r="BL19" s="35" t="s">
        <v>17</v>
      </c>
      <c r="BM19" s="35" t="s">
        <v>17</v>
      </c>
      <c r="BN19" s="35" t="s">
        <v>17</v>
      </c>
      <c r="BO19" s="35" t="s">
        <v>17</v>
      </c>
      <c r="BP19" s="35" t="s">
        <v>17</v>
      </c>
    </row>
    <row r="20" spans="1:68" x14ac:dyDescent="0.3">
      <c r="A20" s="41">
        <v>3</v>
      </c>
      <c r="B20" s="45">
        <v>44777.6875</v>
      </c>
      <c r="C20" s="43">
        <f t="shared" si="12"/>
        <v>4.1666666664241347E-2</v>
      </c>
      <c r="D20" s="42">
        <f t="shared" si="14"/>
        <v>1.8194444444452529</v>
      </c>
      <c r="E20" s="5">
        <f t="shared" si="15"/>
        <v>1.8194444444452529</v>
      </c>
      <c r="F20" s="1">
        <f t="shared" si="0"/>
        <v>0</v>
      </c>
      <c r="G20" s="1">
        <f t="shared" si="1"/>
        <v>0</v>
      </c>
      <c r="H20" s="1">
        <f t="shared" si="2"/>
        <v>0</v>
      </c>
      <c r="I20" s="1">
        <f t="shared" si="3"/>
        <v>0</v>
      </c>
      <c r="J20" s="1">
        <f t="shared" si="4"/>
        <v>0</v>
      </c>
      <c r="K20" s="1">
        <f t="shared" si="5"/>
        <v>0</v>
      </c>
      <c r="L20" s="1">
        <f t="shared" si="6"/>
        <v>0</v>
      </c>
      <c r="N20" s="1">
        <f t="shared" si="7"/>
        <v>50</v>
      </c>
      <c r="O20" s="1">
        <f t="shared" si="8"/>
        <v>0</v>
      </c>
      <c r="P20" s="1">
        <f t="shared" si="9"/>
        <v>0</v>
      </c>
      <c r="Q20" s="1">
        <f t="shared" si="10"/>
        <v>0</v>
      </c>
      <c r="R20" s="1">
        <f t="shared" si="11"/>
        <v>0</v>
      </c>
      <c r="S20" s="35" t="s">
        <v>17</v>
      </c>
      <c r="T20" s="35" t="s">
        <v>17</v>
      </c>
      <c r="U20" s="35" t="s">
        <v>17</v>
      </c>
      <c r="V20" s="35" t="s">
        <v>17</v>
      </c>
      <c r="W20" s="35" t="s">
        <v>17</v>
      </c>
      <c r="X20" s="35" t="s">
        <v>17</v>
      </c>
      <c r="Y20" s="35" t="s">
        <v>17</v>
      </c>
      <c r="Z20" s="35" t="s">
        <v>17</v>
      </c>
      <c r="AA20" s="35" t="s">
        <v>17</v>
      </c>
      <c r="AB20" s="35" t="s">
        <v>17</v>
      </c>
      <c r="AC20" s="35" t="s">
        <v>17</v>
      </c>
      <c r="AD20" s="35" t="s">
        <v>17</v>
      </c>
      <c r="AE20" s="35" t="s">
        <v>17</v>
      </c>
      <c r="AF20" s="35" t="s">
        <v>17</v>
      </c>
      <c r="AG20" s="35" t="s">
        <v>17</v>
      </c>
      <c r="AH20" s="35" t="s">
        <v>17</v>
      </c>
      <c r="AI20" s="35" t="s">
        <v>17</v>
      </c>
      <c r="AJ20" s="35" t="s">
        <v>17</v>
      </c>
      <c r="AK20" s="35" t="s">
        <v>17</v>
      </c>
      <c r="AL20" s="35" t="s">
        <v>17</v>
      </c>
      <c r="AM20" s="35" t="s">
        <v>17</v>
      </c>
      <c r="AN20" s="35" t="s">
        <v>17</v>
      </c>
      <c r="AO20" s="35" t="s">
        <v>17</v>
      </c>
      <c r="AP20" s="35" t="s">
        <v>17</v>
      </c>
      <c r="AQ20" s="35" t="s">
        <v>17</v>
      </c>
      <c r="AR20" s="35" t="s">
        <v>17</v>
      </c>
      <c r="AS20" s="35" t="s">
        <v>17</v>
      </c>
      <c r="AT20" s="35" t="s">
        <v>17</v>
      </c>
      <c r="AU20" s="35" t="s">
        <v>17</v>
      </c>
      <c r="AV20" s="35" t="s">
        <v>17</v>
      </c>
      <c r="AW20" s="35" t="s">
        <v>17</v>
      </c>
      <c r="AX20" s="35" t="s">
        <v>17</v>
      </c>
      <c r="AY20" s="35" t="s">
        <v>17</v>
      </c>
      <c r="AZ20" s="35" t="s">
        <v>17</v>
      </c>
      <c r="BA20" s="35" t="s">
        <v>17</v>
      </c>
      <c r="BB20" s="35" t="s">
        <v>17</v>
      </c>
      <c r="BC20" s="35" t="s">
        <v>17</v>
      </c>
      <c r="BD20" s="35" t="s">
        <v>17</v>
      </c>
      <c r="BE20" s="35" t="s">
        <v>17</v>
      </c>
      <c r="BF20" s="35" t="s">
        <v>17</v>
      </c>
      <c r="BG20" s="35" t="s">
        <v>17</v>
      </c>
      <c r="BH20" s="35" t="s">
        <v>17</v>
      </c>
      <c r="BI20" s="35" t="s">
        <v>17</v>
      </c>
      <c r="BJ20" s="35" t="s">
        <v>17</v>
      </c>
      <c r="BK20" s="35" t="s">
        <v>17</v>
      </c>
      <c r="BL20" s="35" t="s">
        <v>17</v>
      </c>
      <c r="BM20" s="35" t="s">
        <v>17</v>
      </c>
      <c r="BN20" s="35" t="s">
        <v>17</v>
      </c>
      <c r="BO20" s="35" t="s">
        <v>17</v>
      </c>
      <c r="BP20" s="35" t="s">
        <v>17</v>
      </c>
    </row>
    <row r="21" spans="1:68" x14ac:dyDescent="0.3">
      <c r="A21" s="41">
        <v>3</v>
      </c>
      <c r="B21" s="45">
        <v>44777.8125</v>
      </c>
      <c r="C21" s="43">
        <f>(B21-B20)</f>
        <v>0.125</v>
      </c>
      <c r="D21" s="42">
        <f t="shared" si="14"/>
        <v>1.9444444444452529</v>
      </c>
      <c r="E21" s="5">
        <f t="shared" si="15"/>
        <v>1.9444444444452529</v>
      </c>
      <c r="F21" s="1">
        <f t="shared" si="0"/>
        <v>0</v>
      </c>
      <c r="G21" s="1">
        <f t="shared" si="1"/>
        <v>0</v>
      </c>
      <c r="H21" s="1">
        <f t="shared" si="2"/>
        <v>0</v>
      </c>
      <c r="I21" s="1">
        <f t="shared" si="3"/>
        <v>0</v>
      </c>
      <c r="J21" s="1">
        <f t="shared" si="4"/>
        <v>0</v>
      </c>
      <c r="K21" s="1">
        <f t="shared" si="5"/>
        <v>0</v>
      </c>
      <c r="L21" s="1">
        <f t="shared" si="6"/>
        <v>0</v>
      </c>
      <c r="N21" s="1">
        <f t="shared" si="7"/>
        <v>50</v>
      </c>
      <c r="O21" s="1">
        <f t="shared" si="8"/>
        <v>0</v>
      </c>
      <c r="P21" s="1">
        <f t="shared" si="9"/>
        <v>0</v>
      </c>
      <c r="Q21" s="1">
        <f t="shared" si="10"/>
        <v>0</v>
      </c>
      <c r="R21" s="1">
        <f t="shared" si="11"/>
        <v>0</v>
      </c>
      <c r="S21" s="35" t="s">
        <v>17</v>
      </c>
      <c r="T21" s="35" t="s">
        <v>17</v>
      </c>
      <c r="U21" s="35" t="s">
        <v>17</v>
      </c>
      <c r="V21" s="35" t="s">
        <v>17</v>
      </c>
      <c r="W21" s="35" t="s">
        <v>17</v>
      </c>
      <c r="X21" s="35" t="s">
        <v>17</v>
      </c>
      <c r="Y21" s="35" t="s">
        <v>17</v>
      </c>
      <c r="Z21" s="35" t="s">
        <v>17</v>
      </c>
      <c r="AA21" s="35" t="s">
        <v>17</v>
      </c>
      <c r="AB21" s="35" t="s">
        <v>17</v>
      </c>
      <c r="AC21" s="35" t="s">
        <v>17</v>
      </c>
      <c r="AD21" s="35" t="s">
        <v>17</v>
      </c>
      <c r="AE21" s="35" t="s">
        <v>17</v>
      </c>
      <c r="AF21" s="35" t="s">
        <v>17</v>
      </c>
      <c r="AG21" s="35" t="s">
        <v>17</v>
      </c>
      <c r="AH21" s="35" t="s">
        <v>17</v>
      </c>
      <c r="AI21" s="35" t="s">
        <v>17</v>
      </c>
      <c r="AJ21" s="35" t="s">
        <v>17</v>
      </c>
      <c r="AK21" s="35" t="s">
        <v>17</v>
      </c>
      <c r="AL21" s="35" t="s">
        <v>17</v>
      </c>
      <c r="AM21" s="35" t="s">
        <v>17</v>
      </c>
      <c r="AN21" s="35" t="s">
        <v>17</v>
      </c>
      <c r="AO21" s="35" t="s">
        <v>17</v>
      </c>
      <c r="AP21" s="35" t="s">
        <v>17</v>
      </c>
      <c r="AQ21" s="35" t="s">
        <v>17</v>
      </c>
      <c r="AR21" s="35" t="s">
        <v>17</v>
      </c>
      <c r="AS21" s="35" t="s">
        <v>17</v>
      </c>
      <c r="AT21" s="35" t="s">
        <v>17</v>
      </c>
      <c r="AU21" s="35" t="s">
        <v>17</v>
      </c>
      <c r="AV21" s="35" t="s">
        <v>17</v>
      </c>
      <c r="AW21" s="35" t="s">
        <v>17</v>
      </c>
      <c r="AX21" s="35" t="s">
        <v>17</v>
      </c>
      <c r="AY21" s="35" t="s">
        <v>17</v>
      </c>
      <c r="AZ21" s="35" t="s">
        <v>17</v>
      </c>
      <c r="BA21" s="35" t="s">
        <v>17</v>
      </c>
      <c r="BB21" s="35" t="s">
        <v>17</v>
      </c>
      <c r="BC21" s="35" t="s">
        <v>17</v>
      </c>
      <c r="BD21" s="35" t="s">
        <v>17</v>
      </c>
      <c r="BE21" s="35" t="s">
        <v>17</v>
      </c>
      <c r="BF21" s="35" t="s">
        <v>17</v>
      </c>
      <c r="BG21" s="35" t="s">
        <v>17</v>
      </c>
      <c r="BH21" s="35" t="s">
        <v>17</v>
      </c>
      <c r="BI21" s="35" t="s">
        <v>17</v>
      </c>
      <c r="BJ21" s="35" t="s">
        <v>17</v>
      </c>
      <c r="BK21" s="35" t="s">
        <v>17</v>
      </c>
      <c r="BL21" s="35" t="s">
        <v>17</v>
      </c>
      <c r="BM21" s="35" t="s">
        <v>17</v>
      </c>
      <c r="BN21" s="35" t="s">
        <v>17</v>
      </c>
      <c r="BO21" s="35" t="s">
        <v>17</v>
      </c>
      <c r="BP21" s="35" t="s">
        <v>17</v>
      </c>
    </row>
    <row r="22" spans="1:68" x14ac:dyDescent="0.3">
      <c r="A22" s="41">
        <v>3</v>
      </c>
      <c r="B22" s="45">
        <v>44777.895833333336</v>
      </c>
      <c r="C22" s="43">
        <f t="shared" si="12"/>
        <v>8.3333333335758653E-2</v>
      </c>
      <c r="D22" s="42">
        <f t="shared" si="14"/>
        <v>2.0277777777810115</v>
      </c>
      <c r="E22" s="5">
        <f t="shared" si="15"/>
        <v>2.0277777777810115</v>
      </c>
      <c r="F22" s="1">
        <f t="shared" si="0"/>
        <v>0</v>
      </c>
      <c r="G22" s="1">
        <f t="shared" si="1"/>
        <v>0</v>
      </c>
      <c r="H22" s="1">
        <f t="shared" si="2"/>
        <v>0</v>
      </c>
      <c r="I22" s="1">
        <f t="shared" si="3"/>
        <v>0</v>
      </c>
      <c r="J22" s="1">
        <f t="shared" si="4"/>
        <v>0</v>
      </c>
      <c r="K22" s="1">
        <f t="shared" si="5"/>
        <v>0</v>
      </c>
      <c r="L22" s="1">
        <f t="shared" si="6"/>
        <v>0</v>
      </c>
      <c r="N22" s="1">
        <f t="shared" si="7"/>
        <v>50</v>
      </c>
      <c r="O22" s="1">
        <f t="shared" si="8"/>
        <v>0</v>
      </c>
      <c r="P22" s="1">
        <f t="shared" si="9"/>
        <v>0</v>
      </c>
      <c r="Q22" s="1">
        <f t="shared" si="10"/>
        <v>0</v>
      </c>
      <c r="R22" s="1">
        <f t="shared" si="11"/>
        <v>0</v>
      </c>
      <c r="S22" s="35" t="s">
        <v>17</v>
      </c>
      <c r="T22" s="35" t="s">
        <v>17</v>
      </c>
      <c r="U22" s="35" t="s">
        <v>17</v>
      </c>
      <c r="V22" s="35" t="s">
        <v>17</v>
      </c>
      <c r="W22" s="35" t="s">
        <v>17</v>
      </c>
      <c r="X22" s="35" t="s">
        <v>17</v>
      </c>
      <c r="Y22" s="35" t="s">
        <v>17</v>
      </c>
      <c r="Z22" s="35" t="s">
        <v>17</v>
      </c>
      <c r="AA22" s="35" t="s">
        <v>17</v>
      </c>
      <c r="AB22" s="35" t="s">
        <v>17</v>
      </c>
      <c r="AC22" s="35" t="s">
        <v>17</v>
      </c>
      <c r="AD22" s="35" t="s">
        <v>17</v>
      </c>
      <c r="AE22" s="35" t="s">
        <v>17</v>
      </c>
      <c r="AF22" s="35" t="s">
        <v>17</v>
      </c>
      <c r="AG22" s="35" t="s">
        <v>17</v>
      </c>
      <c r="AH22" s="35" t="s">
        <v>17</v>
      </c>
      <c r="AI22" s="35" t="s">
        <v>17</v>
      </c>
      <c r="AJ22" s="35" t="s">
        <v>17</v>
      </c>
      <c r="AK22" s="35" t="s">
        <v>17</v>
      </c>
      <c r="AL22" s="35" t="s">
        <v>17</v>
      </c>
      <c r="AM22" s="35" t="s">
        <v>17</v>
      </c>
      <c r="AN22" s="35" t="s">
        <v>17</v>
      </c>
      <c r="AO22" s="35" t="s">
        <v>17</v>
      </c>
      <c r="AP22" s="35" t="s">
        <v>17</v>
      </c>
      <c r="AQ22" s="35" t="s">
        <v>17</v>
      </c>
      <c r="AR22" s="35" t="s">
        <v>17</v>
      </c>
      <c r="AS22" s="35" t="s">
        <v>17</v>
      </c>
      <c r="AT22" s="35" t="s">
        <v>17</v>
      </c>
      <c r="AU22" s="35" t="s">
        <v>17</v>
      </c>
      <c r="AV22" s="35" t="s">
        <v>17</v>
      </c>
      <c r="AW22" s="35" t="s">
        <v>17</v>
      </c>
      <c r="AX22" s="35" t="s">
        <v>17</v>
      </c>
      <c r="AY22" s="35" t="s">
        <v>17</v>
      </c>
      <c r="AZ22" s="35" t="s">
        <v>17</v>
      </c>
      <c r="BA22" s="35" t="s">
        <v>17</v>
      </c>
      <c r="BB22" s="35" t="s">
        <v>17</v>
      </c>
      <c r="BC22" s="35" t="s">
        <v>17</v>
      </c>
      <c r="BD22" s="35" t="s">
        <v>17</v>
      </c>
      <c r="BE22" s="35" t="s">
        <v>17</v>
      </c>
      <c r="BF22" s="35" t="s">
        <v>17</v>
      </c>
      <c r="BG22" s="35" t="s">
        <v>17</v>
      </c>
      <c r="BH22" s="35" t="s">
        <v>17</v>
      </c>
      <c r="BI22" s="35" t="s">
        <v>17</v>
      </c>
      <c r="BJ22" s="35" t="s">
        <v>17</v>
      </c>
      <c r="BK22" s="35" t="s">
        <v>17</v>
      </c>
      <c r="BL22" s="35" t="s">
        <v>17</v>
      </c>
      <c r="BM22" s="35" t="s">
        <v>17</v>
      </c>
      <c r="BN22" s="35" t="s">
        <v>17</v>
      </c>
      <c r="BO22" s="35" t="s">
        <v>17</v>
      </c>
      <c r="BP22" s="35" t="s">
        <v>17</v>
      </c>
    </row>
    <row r="23" spans="1:68" x14ac:dyDescent="0.3">
      <c r="A23" s="41">
        <v>3</v>
      </c>
      <c r="B23" s="45">
        <v>44777.9375</v>
      </c>
      <c r="C23" s="43">
        <f t="shared" si="12"/>
        <v>4.1666666664241347E-2</v>
      </c>
      <c r="D23" s="44">
        <f t="shared" si="14"/>
        <v>2.0694444444452529</v>
      </c>
      <c r="E23" s="5">
        <f t="shared" si="15"/>
        <v>2.0694444444452529</v>
      </c>
      <c r="F23" s="1">
        <f t="shared" si="0"/>
        <v>0</v>
      </c>
      <c r="G23" s="1">
        <f t="shared" si="1"/>
        <v>0</v>
      </c>
      <c r="H23" s="1">
        <f t="shared" si="2"/>
        <v>0</v>
      </c>
      <c r="I23" s="1">
        <f t="shared" si="3"/>
        <v>0</v>
      </c>
      <c r="J23" s="1">
        <f t="shared" si="4"/>
        <v>0</v>
      </c>
      <c r="K23" s="1">
        <f t="shared" si="5"/>
        <v>0</v>
      </c>
      <c r="L23" s="1">
        <f t="shared" si="6"/>
        <v>0</v>
      </c>
      <c r="N23" s="1">
        <f t="shared" si="7"/>
        <v>50</v>
      </c>
      <c r="O23" s="1">
        <f t="shared" si="8"/>
        <v>0</v>
      </c>
      <c r="P23" s="1">
        <f t="shared" si="9"/>
        <v>0</v>
      </c>
      <c r="Q23" s="1">
        <f t="shared" si="10"/>
        <v>0</v>
      </c>
      <c r="R23" s="1">
        <f t="shared" si="11"/>
        <v>0</v>
      </c>
      <c r="S23" s="35" t="s">
        <v>17</v>
      </c>
      <c r="T23" s="35" t="s">
        <v>17</v>
      </c>
      <c r="U23" s="35" t="s">
        <v>17</v>
      </c>
      <c r="V23" s="35" t="s">
        <v>17</v>
      </c>
      <c r="W23" s="35" t="s">
        <v>17</v>
      </c>
      <c r="X23" s="35" t="s">
        <v>17</v>
      </c>
      <c r="Y23" s="35" t="s">
        <v>17</v>
      </c>
      <c r="Z23" s="35" t="s">
        <v>17</v>
      </c>
      <c r="AA23" s="35" t="s">
        <v>17</v>
      </c>
      <c r="AB23" s="35" t="s">
        <v>17</v>
      </c>
      <c r="AC23" s="35" t="s">
        <v>17</v>
      </c>
      <c r="AD23" s="35" t="s">
        <v>17</v>
      </c>
      <c r="AE23" s="35" t="s">
        <v>17</v>
      </c>
      <c r="AF23" s="35" t="s">
        <v>17</v>
      </c>
      <c r="AG23" s="35" t="s">
        <v>17</v>
      </c>
      <c r="AH23" s="35" t="s">
        <v>17</v>
      </c>
      <c r="AI23" s="35" t="s">
        <v>17</v>
      </c>
      <c r="AJ23" s="35" t="s">
        <v>17</v>
      </c>
      <c r="AK23" s="35" t="s">
        <v>17</v>
      </c>
      <c r="AL23" s="35" t="s">
        <v>17</v>
      </c>
      <c r="AM23" s="35" t="s">
        <v>17</v>
      </c>
      <c r="AN23" s="35" t="s">
        <v>17</v>
      </c>
      <c r="AO23" s="35" t="s">
        <v>17</v>
      </c>
      <c r="AP23" s="35" t="s">
        <v>17</v>
      </c>
      <c r="AQ23" s="35" t="s">
        <v>17</v>
      </c>
      <c r="AR23" s="35" t="s">
        <v>17</v>
      </c>
      <c r="AS23" s="35" t="s">
        <v>17</v>
      </c>
      <c r="AT23" s="35" t="s">
        <v>17</v>
      </c>
      <c r="AU23" s="35" t="s">
        <v>17</v>
      </c>
      <c r="AV23" s="35" t="s">
        <v>17</v>
      </c>
      <c r="AW23" s="35" t="s">
        <v>17</v>
      </c>
      <c r="AX23" s="35" t="s">
        <v>17</v>
      </c>
      <c r="AY23" s="35" t="s">
        <v>17</v>
      </c>
      <c r="AZ23" s="35" t="s">
        <v>17</v>
      </c>
      <c r="BA23" s="35" t="s">
        <v>17</v>
      </c>
      <c r="BB23" s="35" t="s">
        <v>17</v>
      </c>
      <c r="BC23" s="35" t="s">
        <v>17</v>
      </c>
      <c r="BD23" s="35" t="s">
        <v>17</v>
      </c>
      <c r="BE23" s="35" t="s">
        <v>17</v>
      </c>
      <c r="BF23" s="35" t="s">
        <v>17</v>
      </c>
      <c r="BG23" s="35" t="s">
        <v>17</v>
      </c>
      <c r="BH23" s="35" t="s">
        <v>17</v>
      </c>
      <c r="BI23" s="35" t="s">
        <v>17</v>
      </c>
      <c r="BJ23" s="35" t="s">
        <v>17</v>
      </c>
      <c r="BK23" s="35" t="s">
        <v>17</v>
      </c>
      <c r="BL23" s="35" t="s">
        <v>17</v>
      </c>
      <c r="BM23" s="35" t="s">
        <v>17</v>
      </c>
      <c r="BN23" s="35" t="s">
        <v>17</v>
      </c>
      <c r="BO23" s="35" t="s">
        <v>17</v>
      </c>
      <c r="BP23" s="35" t="s">
        <v>17</v>
      </c>
    </row>
    <row r="24" spans="1:68" x14ac:dyDescent="0.3">
      <c r="A24" s="101"/>
      <c r="B24" s="45"/>
      <c r="C24" s="43"/>
      <c r="D24" s="42"/>
      <c r="E24" s="5"/>
      <c r="F24" s="1"/>
      <c r="G24" s="1"/>
      <c r="H24" s="1"/>
      <c r="I24" s="1"/>
      <c r="J24" s="1"/>
      <c r="K24" s="1"/>
      <c r="L24" s="1"/>
      <c r="N24" s="1"/>
      <c r="O24" s="1"/>
      <c r="P24" s="1"/>
      <c r="Q24" s="1"/>
      <c r="R24" s="1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</row>
    <row r="25" spans="1:68" x14ac:dyDescent="0.3">
      <c r="A25" s="101"/>
      <c r="B25" s="45"/>
      <c r="C25" s="43"/>
      <c r="D25" s="42"/>
      <c r="E25" s="5"/>
      <c r="F25" s="1"/>
      <c r="G25" s="1"/>
      <c r="H25" s="1"/>
      <c r="I25" s="1"/>
      <c r="J25" s="1"/>
      <c r="K25" s="1"/>
      <c r="L25" s="1"/>
      <c r="N25" s="1"/>
      <c r="O25" s="1"/>
      <c r="P25" s="1"/>
      <c r="Q25" s="1"/>
      <c r="R25" s="1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</row>
    <row r="26" spans="1:68" x14ac:dyDescent="0.3">
      <c r="A26" s="101"/>
      <c r="B26" s="45"/>
      <c r="C26" s="43"/>
      <c r="D26" s="42"/>
      <c r="E26" s="5"/>
      <c r="F26" s="1"/>
      <c r="G26" s="1"/>
      <c r="H26" s="1"/>
      <c r="I26" s="1"/>
      <c r="J26" s="1"/>
      <c r="K26" s="1"/>
      <c r="L26" s="1"/>
      <c r="N26" s="1"/>
      <c r="O26" s="1"/>
      <c r="P26" s="1"/>
      <c r="Q26" s="1"/>
      <c r="R26" s="1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</row>
    <row r="27" spans="1:68" x14ac:dyDescent="0.3">
      <c r="A27" s="101"/>
      <c r="B27" s="45"/>
      <c r="C27" s="43"/>
      <c r="D27" s="42"/>
      <c r="E27" s="5"/>
      <c r="F27" s="1"/>
      <c r="G27" s="1"/>
      <c r="H27" s="1"/>
      <c r="I27" s="1"/>
      <c r="J27" s="1"/>
      <c r="K27" s="1"/>
      <c r="L27" s="1"/>
      <c r="N27" s="1"/>
      <c r="O27" s="1"/>
      <c r="P27" s="1"/>
      <c r="Q27" s="1"/>
      <c r="R27" s="1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</row>
    <row r="28" spans="1:68" x14ac:dyDescent="0.3">
      <c r="A28" s="101"/>
      <c r="B28" s="45"/>
      <c r="C28" s="43"/>
      <c r="D28" s="42"/>
      <c r="E28" s="5"/>
      <c r="F28" s="1"/>
      <c r="G28" s="1"/>
      <c r="H28" s="1"/>
      <c r="I28" s="1"/>
      <c r="J28" s="1"/>
      <c r="K28" s="1"/>
      <c r="L28" s="1"/>
      <c r="N28" s="1"/>
      <c r="O28" s="1"/>
      <c r="P28" s="1"/>
      <c r="Q28" s="1"/>
      <c r="R28" s="1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</row>
    <row r="29" spans="1:68" x14ac:dyDescent="0.3">
      <c r="A29" s="101"/>
      <c r="B29" s="45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</row>
    <row r="30" spans="1:68" x14ac:dyDescent="0.3">
      <c r="A30" s="101"/>
      <c r="B30" s="45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</row>
    <row r="31" spans="1:68" x14ac:dyDescent="0.3">
      <c r="A31" s="101"/>
      <c r="B31" s="45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</row>
    <row r="32" spans="1:68" x14ac:dyDescent="0.3">
      <c r="A32" s="101"/>
      <c r="B32" s="45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</row>
    <row r="33" spans="1:68" x14ac:dyDescent="0.3">
      <c r="A33" s="101"/>
      <c r="B33" s="45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</row>
    <row r="34" spans="1:68" x14ac:dyDescent="0.3">
      <c r="A34" s="101"/>
      <c r="B34" s="4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</row>
    <row r="35" spans="1:68" x14ac:dyDescent="0.3">
      <c r="A35" s="101"/>
      <c r="B35" s="45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</row>
    <row r="36" spans="1:68" x14ac:dyDescent="0.3">
      <c r="A36" s="101"/>
      <c r="B36" s="45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</row>
    <row r="37" spans="1:68" x14ac:dyDescent="0.3">
      <c r="A37" s="101"/>
      <c r="B37" s="45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</row>
    <row r="38" spans="1:68" x14ac:dyDescent="0.3">
      <c r="A38" s="101"/>
      <c r="B38" s="45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</row>
    <row r="39" spans="1:68" x14ac:dyDescent="0.3">
      <c r="A39" s="101"/>
      <c r="B39" s="45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</row>
    <row r="40" spans="1:68" x14ac:dyDescent="0.3">
      <c r="A40" s="101"/>
      <c r="B40" s="45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</row>
    <row r="41" spans="1:68" x14ac:dyDescent="0.3">
      <c r="A41" s="101"/>
      <c r="B41" s="45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</row>
  </sheetData>
  <mergeCells count="9">
    <mergeCell ref="A33:A41"/>
    <mergeCell ref="F1:L1"/>
    <mergeCell ref="N1:R1"/>
    <mergeCell ref="A24:A3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A2E1-C44E-4386-9D52-8E81874C3D1B}">
  <sheetPr>
    <tabColor theme="7" tint="-0.249977111117893"/>
  </sheetPr>
  <dimension ref="A1:BA16"/>
  <sheetViews>
    <sheetView workbookViewId="0">
      <selection activeCell="I21" sqref="I21"/>
    </sheetView>
  </sheetViews>
  <sheetFormatPr defaultRowHeight="14.4" x14ac:dyDescent="0.3"/>
  <cols>
    <col min="2" max="2" width="15.6640625" bestFit="1" customWidth="1"/>
    <col min="3" max="3" width="12.77734375" bestFit="1" customWidth="1"/>
    <col min="13" max="13" width="2" customWidth="1"/>
    <col min="19" max="19" width="11.88671875" bestFit="1" customWidth="1"/>
  </cols>
  <sheetData>
    <row r="1" spans="1:53" x14ac:dyDescent="0.3">
      <c r="A1" s="9" t="s">
        <v>6</v>
      </c>
      <c r="B1" s="10" t="s">
        <v>1</v>
      </c>
      <c r="C1" s="10" t="s">
        <v>2</v>
      </c>
      <c r="D1" s="10" t="s">
        <v>7</v>
      </c>
      <c r="E1" s="11" t="s">
        <v>3</v>
      </c>
      <c r="F1" s="29" t="s">
        <v>15</v>
      </c>
      <c r="G1" s="29"/>
      <c r="H1" s="29"/>
      <c r="I1" s="29"/>
      <c r="J1" s="29"/>
      <c r="K1" s="29"/>
      <c r="L1" s="29"/>
      <c r="M1" s="21"/>
      <c r="N1" s="29" t="s">
        <v>16</v>
      </c>
      <c r="O1" s="29"/>
      <c r="P1" s="29"/>
      <c r="Q1" s="29"/>
      <c r="R1" s="29"/>
      <c r="S1" s="105" t="s">
        <v>63</v>
      </c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</row>
    <row r="2" spans="1:53" x14ac:dyDescent="0.3">
      <c r="A2" s="2">
        <v>1</v>
      </c>
      <c r="B2" s="45">
        <v>44775.868055555555</v>
      </c>
      <c r="C2" s="4">
        <v>0</v>
      </c>
      <c r="D2" s="4">
        <v>0</v>
      </c>
      <c r="E2" s="5">
        <v>0</v>
      </c>
      <c r="F2" s="14" t="s">
        <v>9</v>
      </c>
      <c r="G2" s="15" t="s">
        <v>5</v>
      </c>
      <c r="H2" s="16" t="s">
        <v>8</v>
      </c>
      <c r="I2" s="17" t="s">
        <v>10</v>
      </c>
      <c r="J2" s="18" t="s">
        <v>11</v>
      </c>
      <c r="K2" s="19" t="s">
        <v>13</v>
      </c>
      <c r="L2" s="20" t="s">
        <v>14</v>
      </c>
      <c r="M2" s="22"/>
      <c r="N2" s="14" t="s">
        <v>9</v>
      </c>
      <c r="O2" s="15" t="s">
        <v>5</v>
      </c>
      <c r="P2" s="16" t="s">
        <v>8</v>
      </c>
      <c r="Q2" s="17" t="s">
        <v>10</v>
      </c>
      <c r="R2" s="18" t="s">
        <v>11</v>
      </c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</row>
    <row r="3" spans="1:53" x14ac:dyDescent="0.3">
      <c r="A3" s="2">
        <v>2</v>
      </c>
      <c r="B3" s="45">
        <v>44776.868055497682</v>
      </c>
      <c r="C3" s="4">
        <v>24</v>
      </c>
      <c r="D3" s="4">
        <f t="shared" ref="D3:D16" si="0">D2+C3</f>
        <v>24</v>
      </c>
      <c r="E3" s="5">
        <f>D3/24</f>
        <v>1</v>
      </c>
      <c r="F3" s="13">
        <f>COUNTIF($S3:$BO3, "E")</f>
        <v>35</v>
      </c>
      <c r="G3" s="13">
        <f>COUNTIF($S3:$BO3, "L1")</f>
        <v>0</v>
      </c>
      <c r="H3" s="13">
        <f>COUNTIF($S3:$BO3, "L2")</f>
        <v>0</v>
      </c>
      <c r="I3" s="13">
        <f>COUNTIF($S3:$BO3, "L3")</f>
        <v>0</v>
      </c>
      <c r="J3" s="13">
        <f>COUNTIF($S3:$BO3, "P")</f>
        <v>0</v>
      </c>
      <c r="K3" s="13">
        <f>COUNTIF($S3:$BO3, "AM")</f>
        <v>0</v>
      </c>
      <c r="L3" s="13">
        <f>COUNTIF($S3:$BO3, "AF")</f>
        <v>0</v>
      </c>
      <c r="M3" s="23"/>
      <c r="N3" s="13">
        <f>COUNTIF($S3:$BA3, "E_D")</f>
        <v>0</v>
      </c>
      <c r="O3" s="13">
        <f>COUNTIF($S3:$BA3, "L1_D")</f>
        <v>0</v>
      </c>
      <c r="P3" s="13">
        <f>COUNTIF($S3:$BA3, "L2_D")</f>
        <v>0</v>
      </c>
      <c r="Q3" s="13">
        <f>COUNTIF($S3:$BA3, "L3_D")</f>
        <v>0</v>
      </c>
      <c r="R3" s="13">
        <f>COUNTIF($S3:$BA3, "P_D")</f>
        <v>0</v>
      </c>
      <c r="S3" s="31" t="s">
        <v>4</v>
      </c>
      <c r="T3" s="31" t="s">
        <v>4</v>
      </c>
      <c r="U3" s="31" t="s">
        <v>4</v>
      </c>
      <c r="V3" s="31" t="s">
        <v>4</v>
      </c>
      <c r="W3" s="31" t="s">
        <v>4</v>
      </c>
      <c r="X3" s="31" t="s">
        <v>4</v>
      </c>
      <c r="Y3" s="31" t="s">
        <v>4</v>
      </c>
      <c r="Z3" s="31" t="s">
        <v>4</v>
      </c>
      <c r="AA3" s="31" t="s">
        <v>4</v>
      </c>
      <c r="AB3" s="31" t="s">
        <v>4</v>
      </c>
      <c r="AC3" s="31" t="s">
        <v>4</v>
      </c>
      <c r="AD3" s="31" t="s">
        <v>4</v>
      </c>
      <c r="AE3" s="31" t="s">
        <v>4</v>
      </c>
      <c r="AF3" s="31" t="s">
        <v>4</v>
      </c>
      <c r="AG3" s="31" t="s">
        <v>4</v>
      </c>
      <c r="AH3" s="31" t="s">
        <v>4</v>
      </c>
      <c r="AI3" s="31" t="s">
        <v>4</v>
      </c>
      <c r="AJ3" s="31" t="s">
        <v>4</v>
      </c>
      <c r="AK3" s="31" t="s">
        <v>4</v>
      </c>
      <c r="AL3" s="31" t="s">
        <v>4</v>
      </c>
      <c r="AM3" s="31" t="s">
        <v>4</v>
      </c>
      <c r="AN3" s="31" t="s">
        <v>4</v>
      </c>
      <c r="AO3" s="31" t="s">
        <v>4</v>
      </c>
      <c r="AP3" s="31" t="s">
        <v>4</v>
      </c>
      <c r="AQ3" s="31" t="s">
        <v>4</v>
      </c>
      <c r="AR3" s="31" t="s">
        <v>4</v>
      </c>
      <c r="AS3" s="31" t="s">
        <v>4</v>
      </c>
      <c r="AT3" s="31" t="s">
        <v>4</v>
      </c>
      <c r="AU3" s="31" t="s">
        <v>4</v>
      </c>
      <c r="AV3" s="31" t="s">
        <v>4</v>
      </c>
      <c r="AW3" s="31" t="s">
        <v>4</v>
      </c>
      <c r="AX3" s="31" t="s">
        <v>4</v>
      </c>
      <c r="AY3" s="31" t="s">
        <v>4</v>
      </c>
      <c r="AZ3" s="31" t="s">
        <v>4</v>
      </c>
      <c r="BA3" s="31" t="s">
        <v>4</v>
      </c>
    </row>
    <row r="4" spans="1:53" x14ac:dyDescent="0.3">
      <c r="A4" s="2">
        <v>3</v>
      </c>
      <c r="B4" s="45">
        <v>44777.868055497682</v>
      </c>
      <c r="C4" s="4">
        <v>24</v>
      </c>
      <c r="D4" s="4">
        <f>D3+C4</f>
        <v>48</v>
      </c>
      <c r="E4" s="5">
        <f>D4/24</f>
        <v>2</v>
      </c>
      <c r="F4" s="13">
        <f t="shared" ref="F4:F16" si="1">COUNTIF($S4:$BO4, "E")</f>
        <v>35</v>
      </c>
      <c r="G4" s="13">
        <f t="shared" ref="G4:G16" si="2">COUNTIF($S4:$BO4, "L1")</f>
        <v>0</v>
      </c>
      <c r="H4" s="13">
        <f t="shared" ref="H4:H16" si="3">COUNTIF($S4:$BO4, "L2")</f>
        <v>0</v>
      </c>
      <c r="I4" s="13">
        <f t="shared" ref="I4:I16" si="4">COUNTIF($S4:$BO4, "L3")</f>
        <v>0</v>
      </c>
      <c r="J4" s="13">
        <f t="shared" ref="J4:J16" si="5">COUNTIF($S4:$BO4, "P")</f>
        <v>0</v>
      </c>
      <c r="K4" s="13">
        <f t="shared" ref="K4:K16" si="6">COUNTIF($S4:$BO4, "AM")</f>
        <v>0</v>
      </c>
      <c r="L4" s="13">
        <f t="shared" ref="L4:L16" si="7">COUNTIF($S4:$BO4, "AF")</f>
        <v>0</v>
      </c>
      <c r="M4" s="23"/>
      <c r="N4" s="13">
        <f t="shared" ref="N4:N16" si="8">COUNTIF($S4:$BA4, "E_D")</f>
        <v>0</v>
      </c>
      <c r="O4" s="13">
        <f t="shared" ref="O4:Q16" si="9">COUNTIF($S4:$BA4, "E_D")</f>
        <v>0</v>
      </c>
      <c r="P4" s="13">
        <f t="shared" si="9"/>
        <v>0</v>
      </c>
      <c r="Q4" s="13">
        <f t="shared" si="9"/>
        <v>0</v>
      </c>
      <c r="R4" s="13">
        <f t="shared" ref="R4:R16" si="10">COUNTIF($S4:$BA4, "P_D")</f>
        <v>0</v>
      </c>
      <c r="S4" s="31" t="s">
        <v>4</v>
      </c>
      <c r="T4" s="31" t="s">
        <v>4</v>
      </c>
      <c r="U4" s="31" t="s">
        <v>4</v>
      </c>
      <c r="V4" s="31" t="s">
        <v>4</v>
      </c>
      <c r="W4" s="31" t="s">
        <v>4</v>
      </c>
      <c r="X4" s="31" t="s">
        <v>4</v>
      </c>
      <c r="Y4" s="31" t="s">
        <v>4</v>
      </c>
      <c r="Z4" s="31" t="s">
        <v>4</v>
      </c>
      <c r="AA4" s="31" t="s">
        <v>4</v>
      </c>
      <c r="AB4" s="31" t="s">
        <v>4</v>
      </c>
      <c r="AC4" s="31" t="s">
        <v>4</v>
      </c>
      <c r="AD4" s="31" t="s">
        <v>4</v>
      </c>
      <c r="AE4" s="31" t="s">
        <v>4</v>
      </c>
      <c r="AF4" s="31" t="s">
        <v>4</v>
      </c>
      <c r="AG4" s="31" t="s">
        <v>4</v>
      </c>
      <c r="AH4" s="31" t="s">
        <v>4</v>
      </c>
      <c r="AI4" s="31" t="s">
        <v>4</v>
      </c>
      <c r="AJ4" s="31" t="s">
        <v>4</v>
      </c>
      <c r="AK4" s="31" t="s">
        <v>4</v>
      </c>
      <c r="AL4" s="31" t="s">
        <v>4</v>
      </c>
      <c r="AM4" s="31" t="s">
        <v>4</v>
      </c>
      <c r="AN4" s="31" t="s">
        <v>4</v>
      </c>
      <c r="AO4" s="31" t="s">
        <v>4</v>
      </c>
      <c r="AP4" s="31" t="s">
        <v>4</v>
      </c>
      <c r="AQ4" s="31" t="s">
        <v>4</v>
      </c>
      <c r="AR4" s="31" t="s">
        <v>4</v>
      </c>
      <c r="AS4" s="31" t="s">
        <v>4</v>
      </c>
      <c r="AT4" s="31" t="s">
        <v>4</v>
      </c>
      <c r="AU4" s="31" t="s">
        <v>4</v>
      </c>
      <c r="AV4" s="31" t="s">
        <v>4</v>
      </c>
      <c r="AW4" s="31" t="s">
        <v>4</v>
      </c>
      <c r="AX4" s="31" t="s">
        <v>4</v>
      </c>
      <c r="AY4" s="31" t="s">
        <v>4</v>
      </c>
      <c r="AZ4" s="31" t="s">
        <v>4</v>
      </c>
      <c r="BA4" s="31" t="s">
        <v>4</v>
      </c>
    </row>
    <row r="5" spans="1:53" x14ac:dyDescent="0.3">
      <c r="A5" s="2">
        <v>4</v>
      </c>
      <c r="B5" s="45">
        <v>44778.868055497682</v>
      </c>
      <c r="C5" s="4">
        <v>24</v>
      </c>
      <c r="D5" s="4">
        <f t="shared" si="0"/>
        <v>72</v>
      </c>
      <c r="E5" s="5">
        <f t="shared" ref="E5:E16" si="11">D5/24</f>
        <v>3</v>
      </c>
      <c r="F5" s="13">
        <f t="shared" si="1"/>
        <v>35</v>
      </c>
      <c r="G5" s="13">
        <f t="shared" si="2"/>
        <v>0</v>
      </c>
      <c r="H5" s="13">
        <f t="shared" si="3"/>
        <v>0</v>
      </c>
      <c r="I5" s="13">
        <f t="shared" si="4"/>
        <v>0</v>
      </c>
      <c r="J5" s="13">
        <f t="shared" si="5"/>
        <v>0</v>
      </c>
      <c r="K5" s="13">
        <f t="shared" si="6"/>
        <v>0</v>
      </c>
      <c r="L5" s="13">
        <f t="shared" si="7"/>
        <v>0</v>
      </c>
      <c r="M5" s="23"/>
      <c r="N5" s="13">
        <f t="shared" si="8"/>
        <v>0</v>
      </c>
      <c r="O5" s="13">
        <f t="shared" si="9"/>
        <v>0</v>
      </c>
      <c r="P5" s="13">
        <f t="shared" si="9"/>
        <v>0</v>
      </c>
      <c r="Q5" s="13">
        <f t="shared" si="9"/>
        <v>0</v>
      </c>
      <c r="R5" s="13">
        <f>COUNTIF($S5:$BA5, "P_D")</f>
        <v>0</v>
      </c>
      <c r="S5" s="31" t="s">
        <v>4</v>
      </c>
      <c r="T5" s="31" t="s">
        <v>4</v>
      </c>
      <c r="U5" s="31" t="s">
        <v>4</v>
      </c>
      <c r="V5" s="31" t="s">
        <v>4</v>
      </c>
      <c r="W5" s="31" t="s">
        <v>4</v>
      </c>
      <c r="X5" s="31" t="s">
        <v>4</v>
      </c>
      <c r="Y5" s="31" t="s">
        <v>4</v>
      </c>
      <c r="Z5" s="31" t="s">
        <v>4</v>
      </c>
      <c r="AA5" s="31" t="s">
        <v>4</v>
      </c>
      <c r="AB5" s="31" t="s">
        <v>4</v>
      </c>
      <c r="AC5" s="31" t="s">
        <v>4</v>
      </c>
      <c r="AD5" s="31" t="s">
        <v>4</v>
      </c>
      <c r="AE5" s="31" t="s">
        <v>4</v>
      </c>
      <c r="AF5" s="31" t="s">
        <v>4</v>
      </c>
      <c r="AG5" s="31" t="s">
        <v>4</v>
      </c>
      <c r="AH5" s="31" t="s">
        <v>4</v>
      </c>
      <c r="AI5" s="31" t="s">
        <v>4</v>
      </c>
      <c r="AJ5" s="31" t="s">
        <v>4</v>
      </c>
      <c r="AK5" s="31" t="s">
        <v>4</v>
      </c>
      <c r="AL5" s="31" t="s">
        <v>4</v>
      </c>
      <c r="AM5" s="31" t="s">
        <v>4</v>
      </c>
      <c r="AN5" s="31" t="s">
        <v>4</v>
      </c>
      <c r="AO5" s="31" t="s">
        <v>4</v>
      </c>
      <c r="AP5" s="31" t="s">
        <v>4</v>
      </c>
      <c r="AQ5" s="31" t="s">
        <v>4</v>
      </c>
      <c r="AR5" s="31" t="s">
        <v>4</v>
      </c>
      <c r="AS5" s="31" t="s">
        <v>4</v>
      </c>
      <c r="AT5" s="31" t="s">
        <v>4</v>
      </c>
      <c r="AU5" s="31" t="s">
        <v>4</v>
      </c>
      <c r="AV5" s="31" t="s">
        <v>4</v>
      </c>
      <c r="AW5" s="31" t="s">
        <v>4</v>
      </c>
      <c r="AX5" s="31" t="s">
        <v>4</v>
      </c>
      <c r="AY5" s="31" t="s">
        <v>4</v>
      </c>
      <c r="AZ5" s="31" t="s">
        <v>4</v>
      </c>
      <c r="BA5" s="31" t="s">
        <v>4</v>
      </c>
    </row>
    <row r="6" spans="1:53" x14ac:dyDescent="0.3">
      <c r="A6" s="2">
        <v>5</v>
      </c>
      <c r="B6" s="45">
        <v>44779.868055497682</v>
      </c>
      <c r="C6" s="4">
        <v>24</v>
      </c>
      <c r="D6" s="4">
        <f t="shared" si="0"/>
        <v>96</v>
      </c>
      <c r="E6" s="5">
        <f t="shared" si="11"/>
        <v>4</v>
      </c>
      <c r="F6" s="13">
        <f t="shared" si="1"/>
        <v>0</v>
      </c>
      <c r="G6" s="13">
        <f t="shared" si="2"/>
        <v>0</v>
      </c>
      <c r="H6" s="13">
        <f t="shared" si="3"/>
        <v>0</v>
      </c>
      <c r="I6" s="13">
        <f t="shared" si="4"/>
        <v>0</v>
      </c>
      <c r="J6" s="13">
        <f t="shared" si="5"/>
        <v>0</v>
      </c>
      <c r="K6" s="13">
        <f t="shared" si="6"/>
        <v>0</v>
      </c>
      <c r="L6" s="13">
        <f t="shared" si="7"/>
        <v>0</v>
      </c>
      <c r="M6" s="23"/>
      <c r="N6" s="13">
        <f t="shared" si="8"/>
        <v>35</v>
      </c>
      <c r="O6" s="13">
        <f t="shared" si="9"/>
        <v>35</v>
      </c>
      <c r="P6" s="13">
        <f t="shared" si="9"/>
        <v>35</v>
      </c>
      <c r="Q6" s="13">
        <f t="shared" si="9"/>
        <v>35</v>
      </c>
      <c r="R6" s="13">
        <f t="shared" si="10"/>
        <v>0</v>
      </c>
      <c r="S6" s="31" t="s">
        <v>17</v>
      </c>
      <c r="T6" s="31" t="s">
        <v>17</v>
      </c>
      <c r="U6" s="31" t="s">
        <v>17</v>
      </c>
      <c r="V6" s="31" t="s">
        <v>17</v>
      </c>
      <c r="W6" s="31" t="s">
        <v>17</v>
      </c>
      <c r="X6" s="31" t="s">
        <v>17</v>
      </c>
      <c r="Y6" s="31" t="s">
        <v>17</v>
      </c>
      <c r="Z6" s="31" t="s">
        <v>17</v>
      </c>
      <c r="AA6" s="31" t="s">
        <v>17</v>
      </c>
      <c r="AB6" s="31" t="s">
        <v>17</v>
      </c>
      <c r="AC6" s="31" t="s">
        <v>17</v>
      </c>
      <c r="AD6" s="31" t="s">
        <v>17</v>
      </c>
      <c r="AE6" s="31" t="s">
        <v>17</v>
      </c>
      <c r="AF6" s="31" t="s">
        <v>17</v>
      </c>
      <c r="AG6" s="31" t="s">
        <v>17</v>
      </c>
      <c r="AH6" s="31" t="s">
        <v>17</v>
      </c>
      <c r="AI6" s="31" t="s">
        <v>17</v>
      </c>
      <c r="AJ6" s="31" t="s">
        <v>17</v>
      </c>
      <c r="AK6" s="31" t="s">
        <v>17</v>
      </c>
      <c r="AL6" s="31" t="s">
        <v>17</v>
      </c>
      <c r="AM6" s="31" t="s">
        <v>17</v>
      </c>
      <c r="AN6" s="31" t="s">
        <v>17</v>
      </c>
      <c r="AO6" s="31" t="s">
        <v>17</v>
      </c>
      <c r="AP6" s="31" t="s">
        <v>17</v>
      </c>
      <c r="AQ6" s="31" t="s">
        <v>17</v>
      </c>
      <c r="AR6" s="31" t="s">
        <v>17</v>
      </c>
      <c r="AS6" s="31" t="s">
        <v>17</v>
      </c>
      <c r="AT6" s="31" t="s">
        <v>17</v>
      </c>
      <c r="AU6" s="31" t="s">
        <v>17</v>
      </c>
      <c r="AV6" s="31" t="s">
        <v>17</v>
      </c>
      <c r="AW6" s="31" t="s">
        <v>17</v>
      </c>
      <c r="AX6" s="31" t="s">
        <v>17</v>
      </c>
      <c r="AY6" s="31" t="s">
        <v>17</v>
      </c>
      <c r="AZ6" s="31" t="s">
        <v>17</v>
      </c>
      <c r="BA6" s="31" t="s">
        <v>17</v>
      </c>
    </row>
    <row r="7" spans="1:53" x14ac:dyDescent="0.3">
      <c r="A7" s="2">
        <v>6</v>
      </c>
      <c r="B7" s="45">
        <v>44780.868055497682</v>
      </c>
      <c r="C7" s="4">
        <v>24</v>
      </c>
      <c r="D7" s="4">
        <f t="shared" si="0"/>
        <v>120</v>
      </c>
      <c r="E7" s="5">
        <f>D7/24</f>
        <v>5</v>
      </c>
      <c r="F7" s="13">
        <f t="shared" si="1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0</v>
      </c>
      <c r="K7" s="13">
        <f t="shared" si="6"/>
        <v>0</v>
      </c>
      <c r="L7" s="13">
        <f t="shared" si="7"/>
        <v>0</v>
      </c>
      <c r="M7" s="23"/>
      <c r="N7" s="13">
        <f t="shared" si="8"/>
        <v>35</v>
      </c>
      <c r="O7" s="13">
        <f t="shared" si="9"/>
        <v>35</v>
      </c>
      <c r="P7" s="13">
        <f t="shared" si="9"/>
        <v>35</v>
      </c>
      <c r="Q7" s="13">
        <f t="shared" si="9"/>
        <v>35</v>
      </c>
      <c r="R7" s="13">
        <f t="shared" si="10"/>
        <v>0</v>
      </c>
      <c r="S7" s="31" t="s">
        <v>17</v>
      </c>
      <c r="T7" s="31" t="s">
        <v>17</v>
      </c>
      <c r="U7" s="31" t="s">
        <v>17</v>
      </c>
      <c r="V7" s="31" t="s">
        <v>17</v>
      </c>
      <c r="W7" s="31" t="s">
        <v>17</v>
      </c>
      <c r="X7" s="31" t="s">
        <v>17</v>
      </c>
      <c r="Y7" s="31" t="s">
        <v>17</v>
      </c>
      <c r="Z7" s="31" t="s">
        <v>17</v>
      </c>
      <c r="AA7" s="31" t="s">
        <v>17</v>
      </c>
      <c r="AB7" s="31" t="s">
        <v>17</v>
      </c>
      <c r="AC7" s="31" t="s">
        <v>17</v>
      </c>
      <c r="AD7" s="31" t="s">
        <v>17</v>
      </c>
      <c r="AE7" s="31" t="s">
        <v>17</v>
      </c>
      <c r="AF7" s="31" t="s">
        <v>17</v>
      </c>
      <c r="AG7" s="31" t="s">
        <v>17</v>
      </c>
      <c r="AH7" s="31" t="s">
        <v>17</v>
      </c>
      <c r="AI7" s="31" t="s">
        <v>17</v>
      </c>
      <c r="AJ7" s="31" t="s">
        <v>17</v>
      </c>
      <c r="AK7" s="31" t="s">
        <v>17</v>
      </c>
      <c r="AL7" s="31" t="s">
        <v>17</v>
      </c>
      <c r="AM7" s="31" t="s">
        <v>17</v>
      </c>
      <c r="AN7" s="31" t="s">
        <v>17</v>
      </c>
      <c r="AO7" s="31" t="s">
        <v>17</v>
      </c>
      <c r="AP7" s="31" t="s">
        <v>17</v>
      </c>
      <c r="AQ7" s="31" t="s">
        <v>17</v>
      </c>
      <c r="AR7" s="31" t="s">
        <v>17</v>
      </c>
      <c r="AS7" s="31" t="s">
        <v>17</v>
      </c>
      <c r="AT7" s="31" t="s">
        <v>17</v>
      </c>
      <c r="AU7" s="31" t="s">
        <v>17</v>
      </c>
      <c r="AV7" s="31" t="s">
        <v>17</v>
      </c>
      <c r="AW7" s="31" t="s">
        <v>17</v>
      </c>
      <c r="AX7" s="31" t="s">
        <v>17</v>
      </c>
      <c r="AY7" s="31" t="s">
        <v>17</v>
      </c>
      <c r="AZ7" s="31" t="s">
        <v>17</v>
      </c>
      <c r="BA7" s="31" t="s">
        <v>17</v>
      </c>
    </row>
    <row r="8" spans="1:53" x14ac:dyDescent="0.3">
      <c r="A8" s="2">
        <v>7</v>
      </c>
      <c r="B8" s="45">
        <v>44781.868055497682</v>
      </c>
      <c r="C8" s="4">
        <v>24</v>
      </c>
      <c r="D8" s="4">
        <f t="shared" si="0"/>
        <v>144</v>
      </c>
      <c r="E8" s="5">
        <f>D8/24</f>
        <v>6</v>
      </c>
      <c r="F8" s="13">
        <f t="shared" si="1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0</v>
      </c>
      <c r="K8" s="13">
        <f t="shared" si="6"/>
        <v>0</v>
      </c>
      <c r="L8" s="13">
        <f t="shared" si="7"/>
        <v>0</v>
      </c>
      <c r="M8" s="23"/>
      <c r="N8" s="13">
        <f t="shared" si="8"/>
        <v>35</v>
      </c>
      <c r="O8" s="13">
        <f t="shared" si="9"/>
        <v>35</v>
      </c>
      <c r="P8" s="13">
        <f t="shared" si="9"/>
        <v>35</v>
      </c>
      <c r="Q8" s="13">
        <f t="shared" si="9"/>
        <v>35</v>
      </c>
      <c r="R8" s="13">
        <f t="shared" si="10"/>
        <v>0</v>
      </c>
      <c r="S8" s="31" t="s">
        <v>17</v>
      </c>
      <c r="T8" s="31" t="s">
        <v>17</v>
      </c>
      <c r="U8" s="31" t="s">
        <v>17</v>
      </c>
      <c r="V8" s="31" t="s">
        <v>17</v>
      </c>
      <c r="W8" s="31" t="s">
        <v>17</v>
      </c>
      <c r="X8" s="31" t="s">
        <v>17</v>
      </c>
      <c r="Y8" s="31" t="s">
        <v>17</v>
      </c>
      <c r="Z8" s="31" t="s">
        <v>17</v>
      </c>
      <c r="AA8" s="31" t="s">
        <v>17</v>
      </c>
      <c r="AB8" s="31" t="s">
        <v>17</v>
      </c>
      <c r="AC8" s="31" t="s">
        <v>17</v>
      </c>
      <c r="AD8" s="31" t="s">
        <v>17</v>
      </c>
      <c r="AE8" s="31" t="s">
        <v>17</v>
      </c>
      <c r="AF8" s="31" t="s">
        <v>17</v>
      </c>
      <c r="AG8" s="31" t="s">
        <v>17</v>
      </c>
      <c r="AH8" s="31" t="s">
        <v>17</v>
      </c>
      <c r="AI8" s="31" t="s">
        <v>17</v>
      </c>
      <c r="AJ8" s="31" t="s">
        <v>17</v>
      </c>
      <c r="AK8" s="31" t="s">
        <v>17</v>
      </c>
      <c r="AL8" s="31" t="s">
        <v>17</v>
      </c>
      <c r="AM8" s="31" t="s">
        <v>17</v>
      </c>
      <c r="AN8" s="31" t="s">
        <v>17</v>
      </c>
      <c r="AO8" s="31" t="s">
        <v>17</v>
      </c>
      <c r="AP8" s="31" t="s">
        <v>17</v>
      </c>
      <c r="AQ8" s="31" t="s">
        <v>17</v>
      </c>
      <c r="AR8" s="31" t="s">
        <v>17</v>
      </c>
      <c r="AS8" s="31" t="s">
        <v>17</v>
      </c>
      <c r="AT8" s="31" t="s">
        <v>17</v>
      </c>
      <c r="AU8" s="31" t="s">
        <v>17</v>
      </c>
      <c r="AV8" s="31" t="s">
        <v>17</v>
      </c>
      <c r="AW8" s="31" t="s">
        <v>17</v>
      </c>
      <c r="AX8" s="31" t="s">
        <v>17</v>
      </c>
      <c r="AY8" s="31" t="s">
        <v>17</v>
      </c>
      <c r="AZ8" s="31" t="s">
        <v>17</v>
      </c>
      <c r="BA8" s="31" t="s">
        <v>17</v>
      </c>
    </row>
    <row r="9" spans="1:53" x14ac:dyDescent="0.3">
      <c r="A9" s="2">
        <v>8</v>
      </c>
      <c r="B9" s="45">
        <v>44782.868055497682</v>
      </c>
      <c r="C9" s="4">
        <v>24</v>
      </c>
      <c r="D9" s="4">
        <f t="shared" si="0"/>
        <v>168</v>
      </c>
      <c r="E9" s="5">
        <f>D9/24</f>
        <v>7</v>
      </c>
      <c r="F9" s="13">
        <f t="shared" si="1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0</v>
      </c>
      <c r="K9" s="13">
        <f t="shared" si="6"/>
        <v>0</v>
      </c>
      <c r="L9" s="13">
        <f t="shared" si="7"/>
        <v>0</v>
      </c>
      <c r="M9" s="23"/>
      <c r="N9" s="13">
        <f t="shared" si="8"/>
        <v>35</v>
      </c>
      <c r="O9" s="13">
        <f t="shared" si="9"/>
        <v>35</v>
      </c>
      <c r="P9" s="13">
        <f t="shared" si="9"/>
        <v>35</v>
      </c>
      <c r="Q9" s="13">
        <f t="shared" si="9"/>
        <v>35</v>
      </c>
      <c r="R9" s="13">
        <f t="shared" si="10"/>
        <v>0</v>
      </c>
      <c r="S9" s="31" t="s">
        <v>17</v>
      </c>
      <c r="T9" s="31" t="s">
        <v>17</v>
      </c>
      <c r="U9" s="31" t="s">
        <v>17</v>
      </c>
      <c r="V9" s="31" t="s">
        <v>17</v>
      </c>
      <c r="W9" s="31" t="s">
        <v>17</v>
      </c>
      <c r="X9" s="31" t="s">
        <v>17</v>
      </c>
      <c r="Y9" s="31" t="s">
        <v>17</v>
      </c>
      <c r="Z9" s="31" t="s">
        <v>17</v>
      </c>
      <c r="AA9" s="31" t="s">
        <v>17</v>
      </c>
      <c r="AB9" s="31" t="s">
        <v>17</v>
      </c>
      <c r="AC9" s="31" t="s">
        <v>17</v>
      </c>
      <c r="AD9" s="31" t="s">
        <v>17</v>
      </c>
      <c r="AE9" s="31" t="s">
        <v>17</v>
      </c>
      <c r="AF9" s="31" t="s">
        <v>17</v>
      </c>
      <c r="AG9" s="31" t="s">
        <v>17</v>
      </c>
      <c r="AH9" s="31" t="s">
        <v>17</v>
      </c>
      <c r="AI9" s="31" t="s">
        <v>17</v>
      </c>
      <c r="AJ9" s="31" t="s">
        <v>17</v>
      </c>
      <c r="AK9" s="31" t="s">
        <v>17</v>
      </c>
      <c r="AL9" s="31" t="s">
        <v>17</v>
      </c>
      <c r="AM9" s="31" t="s">
        <v>17</v>
      </c>
      <c r="AN9" s="31" t="s">
        <v>17</v>
      </c>
      <c r="AO9" s="31" t="s">
        <v>17</v>
      </c>
      <c r="AP9" s="31" t="s">
        <v>17</v>
      </c>
      <c r="AQ9" s="31" t="s">
        <v>17</v>
      </c>
      <c r="AR9" s="31" t="s">
        <v>17</v>
      </c>
      <c r="AS9" s="31" t="s">
        <v>17</v>
      </c>
      <c r="AT9" s="31" t="s">
        <v>17</v>
      </c>
      <c r="AU9" s="31" t="s">
        <v>17</v>
      </c>
      <c r="AV9" s="31" t="s">
        <v>17</v>
      </c>
      <c r="AW9" s="31" t="s">
        <v>17</v>
      </c>
      <c r="AX9" s="31" t="s">
        <v>17</v>
      </c>
      <c r="AY9" s="31" t="s">
        <v>17</v>
      </c>
      <c r="AZ9" s="31" t="s">
        <v>17</v>
      </c>
      <c r="BA9" s="31" t="s">
        <v>17</v>
      </c>
    </row>
    <row r="10" spans="1:53" x14ac:dyDescent="0.3">
      <c r="A10" s="2">
        <v>9</v>
      </c>
      <c r="B10" s="45">
        <v>44783.868055497682</v>
      </c>
      <c r="C10" s="4">
        <v>24</v>
      </c>
      <c r="D10" s="4">
        <f t="shared" si="0"/>
        <v>192</v>
      </c>
      <c r="E10" s="5">
        <f t="shared" si="11"/>
        <v>8</v>
      </c>
      <c r="F10" s="13">
        <f t="shared" si="1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0</v>
      </c>
      <c r="K10" s="13">
        <f t="shared" si="6"/>
        <v>0</v>
      </c>
      <c r="L10" s="13">
        <f t="shared" si="7"/>
        <v>0</v>
      </c>
      <c r="M10" s="23"/>
      <c r="N10" s="13">
        <f t="shared" si="8"/>
        <v>35</v>
      </c>
      <c r="O10" s="13">
        <f t="shared" si="9"/>
        <v>35</v>
      </c>
      <c r="P10" s="13">
        <f t="shared" si="9"/>
        <v>35</v>
      </c>
      <c r="Q10" s="13">
        <f t="shared" si="9"/>
        <v>35</v>
      </c>
      <c r="R10" s="13">
        <f t="shared" si="10"/>
        <v>0</v>
      </c>
      <c r="S10" s="31" t="s">
        <v>17</v>
      </c>
      <c r="T10" s="31" t="s">
        <v>17</v>
      </c>
      <c r="U10" s="31" t="s">
        <v>17</v>
      </c>
      <c r="V10" s="31" t="s">
        <v>17</v>
      </c>
      <c r="W10" s="31" t="s">
        <v>17</v>
      </c>
      <c r="X10" s="31" t="s">
        <v>17</v>
      </c>
      <c r="Y10" s="31" t="s">
        <v>17</v>
      </c>
      <c r="Z10" s="31" t="s">
        <v>17</v>
      </c>
      <c r="AA10" s="31" t="s">
        <v>17</v>
      </c>
      <c r="AB10" s="31" t="s">
        <v>17</v>
      </c>
      <c r="AC10" s="31" t="s">
        <v>17</v>
      </c>
      <c r="AD10" s="31" t="s">
        <v>17</v>
      </c>
      <c r="AE10" s="31" t="s">
        <v>17</v>
      </c>
      <c r="AF10" s="31" t="s">
        <v>17</v>
      </c>
      <c r="AG10" s="31" t="s">
        <v>17</v>
      </c>
      <c r="AH10" s="31" t="s">
        <v>17</v>
      </c>
      <c r="AI10" s="31" t="s">
        <v>17</v>
      </c>
      <c r="AJ10" s="31" t="s">
        <v>17</v>
      </c>
      <c r="AK10" s="31" t="s">
        <v>17</v>
      </c>
      <c r="AL10" s="31" t="s">
        <v>17</v>
      </c>
      <c r="AM10" s="31" t="s">
        <v>17</v>
      </c>
      <c r="AN10" s="31" t="s">
        <v>17</v>
      </c>
      <c r="AO10" s="31" t="s">
        <v>17</v>
      </c>
      <c r="AP10" s="31" t="s">
        <v>17</v>
      </c>
      <c r="AQ10" s="31" t="s">
        <v>17</v>
      </c>
      <c r="AR10" s="31" t="s">
        <v>17</v>
      </c>
      <c r="AS10" s="31" t="s">
        <v>17</v>
      </c>
      <c r="AT10" s="31" t="s">
        <v>17</v>
      </c>
      <c r="AU10" s="31" t="s">
        <v>17</v>
      </c>
      <c r="AV10" s="31" t="s">
        <v>17</v>
      </c>
      <c r="AW10" s="31" t="s">
        <v>17</v>
      </c>
      <c r="AX10" s="31" t="s">
        <v>17</v>
      </c>
      <c r="AY10" s="31" t="s">
        <v>17</v>
      </c>
      <c r="AZ10" s="31" t="s">
        <v>17</v>
      </c>
      <c r="BA10" s="31" t="s">
        <v>17</v>
      </c>
    </row>
    <row r="11" spans="1:53" x14ac:dyDescent="0.3">
      <c r="A11" s="2">
        <v>10</v>
      </c>
      <c r="B11" s="45">
        <v>44784.868055497682</v>
      </c>
      <c r="C11" s="4">
        <v>24</v>
      </c>
      <c r="D11" s="4">
        <f t="shared" si="0"/>
        <v>216</v>
      </c>
      <c r="E11" s="5">
        <f t="shared" si="11"/>
        <v>9</v>
      </c>
      <c r="F11" s="13">
        <f t="shared" si="1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0</v>
      </c>
      <c r="K11" s="13">
        <f t="shared" si="6"/>
        <v>0</v>
      </c>
      <c r="L11" s="13">
        <f t="shared" si="7"/>
        <v>0</v>
      </c>
      <c r="M11" s="23"/>
      <c r="N11" s="13">
        <f t="shared" si="8"/>
        <v>35</v>
      </c>
      <c r="O11" s="13">
        <f t="shared" si="9"/>
        <v>35</v>
      </c>
      <c r="P11" s="13">
        <f t="shared" si="9"/>
        <v>35</v>
      </c>
      <c r="Q11" s="13">
        <f t="shared" si="9"/>
        <v>35</v>
      </c>
      <c r="R11" s="13">
        <f t="shared" si="10"/>
        <v>0</v>
      </c>
      <c r="S11" s="31" t="s">
        <v>17</v>
      </c>
      <c r="T11" s="31" t="s">
        <v>17</v>
      </c>
      <c r="U11" s="31" t="s">
        <v>17</v>
      </c>
      <c r="V11" s="31" t="s">
        <v>17</v>
      </c>
      <c r="W11" s="31" t="s">
        <v>17</v>
      </c>
      <c r="X11" s="31" t="s">
        <v>17</v>
      </c>
      <c r="Y11" s="31" t="s">
        <v>17</v>
      </c>
      <c r="Z11" s="31" t="s">
        <v>17</v>
      </c>
      <c r="AA11" s="31" t="s">
        <v>17</v>
      </c>
      <c r="AB11" s="31" t="s">
        <v>17</v>
      </c>
      <c r="AC11" s="31" t="s">
        <v>17</v>
      </c>
      <c r="AD11" s="31" t="s">
        <v>17</v>
      </c>
      <c r="AE11" s="31" t="s">
        <v>17</v>
      </c>
      <c r="AF11" s="31" t="s">
        <v>17</v>
      </c>
      <c r="AG11" s="31" t="s">
        <v>17</v>
      </c>
      <c r="AH11" s="31" t="s">
        <v>17</v>
      </c>
      <c r="AI11" s="31" t="s">
        <v>17</v>
      </c>
      <c r="AJ11" s="31" t="s">
        <v>17</v>
      </c>
      <c r="AK11" s="31" t="s">
        <v>17</v>
      </c>
      <c r="AL11" s="31" t="s">
        <v>17</v>
      </c>
      <c r="AM11" s="31" t="s">
        <v>17</v>
      </c>
      <c r="AN11" s="31" t="s">
        <v>17</v>
      </c>
      <c r="AO11" s="31" t="s">
        <v>17</v>
      </c>
      <c r="AP11" s="31" t="s">
        <v>17</v>
      </c>
      <c r="AQ11" s="31" t="s">
        <v>17</v>
      </c>
      <c r="AR11" s="31" t="s">
        <v>17</v>
      </c>
      <c r="AS11" s="31" t="s">
        <v>17</v>
      </c>
      <c r="AT11" s="31" t="s">
        <v>17</v>
      </c>
      <c r="AU11" s="31" t="s">
        <v>17</v>
      </c>
      <c r="AV11" s="31" t="s">
        <v>17</v>
      </c>
      <c r="AW11" s="31" t="s">
        <v>17</v>
      </c>
      <c r="AX11" s="31" t="s">
        <v>17</v>
      </c>
      <c r="AY11" s="31" t="s">
        <v>17</v>
      </c>
      <c r="AZ11" s="31" t="s">
        <v>17</v>
      </c>
      <c r="BA11" s="31" t="s">
        <v>17</v>
      </c>
    </row>
    <row r="12" spans="1:53" x14ac:dyDescent="0.3">
      <c r="A12" s="2">
        <v>11</v>
      </c>
      <c r="B12" s="45">
        <v>44785.868055497682</v>
      </c>
      <c r="C12" s="4">
        <v>24</v>
      </c>
      <c r="D12" s="4">
        <f t="shared" si="0"/>
        <v>240</v>
      </c>
      <c r="E12" s="5">
        <f>D12/24</f>
        <v>10</v>
      </c>
      <c r="F12" s="13">
        <f t="shared" si="1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0</v>
      </c>
      <c r="K12" s="13">
        <f t="shared" si="6"/>
        <v>0</v>
      </c>
      <c r="L12" s="13">
        <f t="shared" si="7"/>
        <v>0</v>
      </c>
      <c r="M12" s="23"/>
      <c r="N12" s="13">
        <f t="shared" si="8"/>
        <v>35</v>
      </c>
      <c r="O12" s="13">
        <f t="shared" si="9"/>
        <v>35</v>
      </c>
      <c r="P12" s="13">
        <f t="shared" si="9"/>
        <v>35</v>
      </c>
      <c r="Q12" s="13">
        <f t="shared" si="9"/>
        <v>35</v>
      </c>
      <c r="R12" s="13">
        <f t="shared" si="10"/>
        <v>0</v>
      </c>
      <c r="S12" s="31" t="s">
        <v>17</v>
      </c>
      <c r="T12" s="31" t="s">
        <v>17</v>
      </c>
      <c r="U12" s="31" t="s">
        <v>17</v>
      </c>
      <c r="V12" s="31" t="s">
        <v>17</v>
      </c>
      <c r="W12" s="31" t="s">
        <v>17</v>
      </c>
      <c r="X12" s="31" t="s">
        <v>17</v>
      </c>
      <c r="Y12" s="31" t="s">
        <v>17</v>
      </c>
      <c r="Z12" s="31" t="s">
        <v>17</v>
      </c>
      <c r="AA12" s="31" t="s">
        <v>17</v>
      </c>
      <c r="AB12" s="31" t="s">
        <v>17</v>
      </c>
      <c r="AC12" s="31" t="s">
        <v>17</v>
      </c>
      <c r="AD12" s="31" t="s">
        <v>17</v>
      </c>
      <c r="AE12" s="31" t="s">
        <v>17</v>
      </c>
      <c r="AF12" s="31" t="s">
        <v>17</v>
      </c>
      <c r="AG12" s="31" t="s">
        <v>17</v>
      </c>
      <c r="AH12" s="31" t="s">
        <v>17</v>
      </c>
      <c r="AI12" s="31" t="s">
        <v>17</v>
      </c>
      <c r="AJ12" s="31" t="s">
        <v>17</v>
      </c>
      <c r="AK12" s="31" t="s">
        <v>17</v>
      </c>
      <c r="AL12" s="31" t="s">
        <v>17</v>
      </c>
      <c r="AM12" s="31" t="s">
        <v>17</v>
      </c>
      <c r="AN12" s="31" t="s">
        <v>17</v>
      </c>
      <c r="AO12" s="31" t="s">
        <v>17</v>
      </c>
      <c r="AP12" s="31" t="s">
        <v>17</v>
      </c>
      <c r="AQ12" s="31" t="s">
        <v>17</v>
      </c>
      <c r="AR12" s="31" t="s">
        <v>17</v>
      </c>
      <c r="AS12" s="31" t="s">
        <v>17</v>
      </c>
      <c r="AT12" s="31" t="s">
        <v>17</v>
      </c>
      <c r="AU12" s="31" t="s">
        <v>17</v>
      </c>
      <c r="AV12" s="31" t="s">
        <v>17</v>
      </c>
      <c r="AW12" s="31" t="s">
        <v>17</v>
      </c>
      <c r="AX12" s="31" t="s">
        <v>17</v>
      </c>
      <c r="AY12" s="31" t="s">
        <v>17</v>
      </c>
      <c r="AZ12" s="31" t="s">
        <v>17</v>
      </c>
      <c r="BA12" s="31" t="s">
        <v>17</v>
      </c>
    </row>
    <row r="13" spans="1:53" x14ac:dyDescent="0.3">
      <c r="A13" s="2">
        <v>12</v>
      </c>
      <c r="B13" s="45">
        <v>44786.868055497682</v>
      </c>
      <c r="C13" s="4">
        <v>24</v>
      </c>
      <c r="D13" s="4">
        <f t="shared" si="0"/>
        <v>264</v>
      </c>
      <c r="E13" s="5">
        <f t="shared" si="11"/>
        <v>11</v>
      </c>
      <c r="F13" s="13">
        <f t="shared" si="1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0</v>
      </c>
      <c r="K13" s="13">
        <f t="shared" si="6"/>
        <v>0</v>
      </c>
      <c r="L13" s="13">
        <f t="shared" si="7"/>
        <v>0</v>
      </c>
      <c r="M13" s="23"/>
      <c r="N13" s="13">
        <f t="shared" si="8"/>
        <v>35</v>
      </c>
      <c r="O13" s="13">
        <f t="shared" si="9"/>
        <v>35</v>
      </c>
      <c r="P13" s="13">
        <f t="shared" si="9"/>
        <v>35</v>
      </c>
      <c r="Q13" s="13">
        <f t="shared" si="9"/>
        <v>35</v>
      </c>
      <c r="R13" s="13">
        <f t="shared" si="10"/>
        <v>0</v>
      </c>
      <c r="S13" s="31" t="s">
        <v>17</v>
      </c>
      <c r="T13" s="31" t="s">
        <v>17</v>
      </c>
      <c r="U13" s="31" t="s">
        <v>17</v>
      </c>
      <c r="V13" s="31" t="s">
        <v>17</v>
      </c>
      <c r="W13" s="31" t="s">
        <v>17</v>
      </c>
      <c r="X13" s="31" t="s">
        <v>17</v>
      </c>
      <c r="Y13" s="31" t="s">
        <v>17</v>
      </c>
      <c r="Z13" s="31" t="s">
        <v>17</v>
      </c>
      <c r="AA13" s="31" t="s">
        <v>17</v>
      </c>
      <c r="AB13" s="31" t="s">
        <v>17</v>
      </c>
      <c r="AC13" s="31" t="s">
        <v>17</v>
      </c>
      <c r="AD13" s="31" t="s">
        <v>17</v>
      </c>
      <c r="AE13" s="31" t="s">
        <v>17</v>
      </c>
      <c r="AF13" s="31" t="s">
        <v>17</v>
      </c>
      <c r="AG13" s="31" t="s">
        <v>17</v>
      </c>
      <c r="AH13" s="31" t="s">
        <v>17</v>
      </c>
      <c r="AI13" s="31" t="s">
        <v>17</v>
      </c>
      <c r="AJ13" s="31" t="s">
        <v>17</v>
      </c>
      <c r="AK13" s="31" t="s">
        <v>17</v>
      </c>
      <c r="AL13" s="31" t="s">
        <v>17</v>
      </c>
      <c r="AM13" s="31" t="s">
        <v>17</v>
      </c>
      <c r="AN13" s="31" t="s">
        <v>17</v>
      </c>
      <c r="AO13" s="31" t="s">
        <v>17</v>
      </c>
      <c r="AP13" s="31" t="s">
        <v>17</v>
      </c>
      <c r="AQ13" s="31" t="s">
        <v>17</v>
      </c>
      <c r="AR13" s="31" t="s">
        <v>17</v>
      </c>
      <c r="AS13" s="31" t="s">
        <v>17</v>
      </c>
      <c r="AT13" s="31" t="s">
        <v>17</v>
      </c>
      <c r="AU13" s="31" t="s">
        <v>17</v>
      </c>
      <c r="AV13" s="31" t="s">
        <v>17</v>
      </c>
      <c r="AW13" s="31" t="s">
        <v>17</v>
      </c>
      <c r="AX13" s="31" t="s">
        <v>17</v>
      </c>
      <c r="AY13" s="31" t="s">
        <v>17</v>
      </c>
      <c r="AZ13" s="31" t="s">
        <v>17</v>
      </c>
      <c r="BA13" s="31" t="s">
        <v>17</v>
      </c>
    </row>
    <row r="14" spans="1:53" x14ac:dyDescent="0.3">
      <c r="A14" s="2">
        <v>13</v>
      </c>
      <c r="B14" s="45">
        <v>44787.868055497682</v>
      </c>
      <c r="C14" s="4">
        <v>24</v>
      </c>
      <c r="D14" s="4">
        <f t="shared" si="0"/>
        <v>288</v>
      </c>
      <c r="E14" s="5">
        <f t="shared" si="11"/>
        <v>12</v>
      </c>
      <c r="F14" s="13">
        <f t="shared" si="1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0</v>
      </c>
      <c r="K14" s="13">
        <f t="shared" si="6"/>
        <v>0</v>
      </c>
      <c r="L14" s="13">
        <f t="shared" si="7"/>
        <v>0</v>
      </c>
      <c r="M14" s="23"/>
      <c r="N14" s="13">
        <f t="shared" si="8"/>
        <v>35</v>
      </c>
      <c r="O14" s="13">
        <f t="shared" si="9"/>
        <v>35</v>
      </c>
      <c r="P14" s="13">
        <f t="shared" si="9"/>
        <v>35</v>
      </c>
      <c r="Q14" s="13">
        <f t="shared" si="9"/>
        <v>35</v>
      </c>
      <c r="R14" s="13">
        <f t="shared" si="10"/>
        <v>0</v>
      </c>
      <c r="S14" s="31" t="s">
        <v>17</v>
      </c>
      <c r="T14" s="31" t="s">
        <v>17</v>
      </c>
      <c r="U14" s="31" t="s">
        <v>17</v>
      </c>
      <c r="V14" s="31" t="s">
        <v>17</v>
      </c>
      <c r="W14" s="31" t="s">
        <v>17</v>
      </c>
      <c r="X14" s="31" t="s">
        <v>17</v>
      </c>
      <c r="Y14" s="31" t="s">
        <v>17</v>
      </c>
      <c r="Z14" s="31" t="s">
        <v>17</v>
      </c>
      <c r="AA14" s="31" t="s">
        <v>17</v>
      </c>
      <c r="AB14" s="31" t="s">
        <v>17</v>
      </c>
      <c r="AC14" s="31" t="s">
        <v>17</v>
      </c>
      <c r="AD14" s="31" t="s">
        <v>17</v>
      </c>
      <c r="AE14" s="31" t="s">
        <v>17</v>
      </c>
      <c r="AF14" s="31" t="s">
        <v>17</v>
      </c>
      <c r="AG14" s="31" t="s">
        <v>17</v>
      </c>
      <c r="AH14" s="31" t="s">
        <v>17</v>
      </c>
      <c r="AI14" s="31" t="s">
        <v>17</v>
      </c>
      <c r="AJ14" s="31" t="s">
        <v>17</v>
      </c>
      <c r="AK14" s="31" t="s">
        <v>17</v>
      </c>
      <c r="AL14" s="31" t="s">
        <v>17</v>
      </c>
      <c r="AM14" s="31" t="s">
        <v>17</v>
      </c>
      <c r="AN14" s="31" t="s">
        <v>17</v>
      </c>
      <c r="AO14" s="31" t="s">
        <v>17</v>
      </c>
      <c r="AP14" s="31" t="s">
        <v>17</v>
      </c>
      <c r="AQ14" s="31" t="s">
        <v>17</v>
      </c>
      <c r="AR14" s="31" t="s">
        <v>17</v>
      </c>
      <c r="AS14" s="31" t="s">
        <v>17</v>
      </c>
      <c r="AT14" s="31" t="s">
        <v>17</v>
      </c>
      <c r="AU14" s="31" t="s">
        <v>17</v>
      </c>
      <c r="AV14" s="31" t="s">
        <v>17</v>
      </c>
      <c r="AW14" s="31" t="s">
        <v>17</v>
      </c>
      <c r="AX14" s="31" t="s">
        <v>17</v>
      </c>
      <c r="AY14" s="31" t="s">
        <v>17</v>
      </c>
      <c r="AZ14" s="31" t="s">
        <v>17</v>
      </c>
      <c r="BA14" s="31" t="s">
        <v>17</v>
      </c>
    </row>
    <row r="15" spans="1:53" x14ac:dyDescent="0.3">
      <c r="A15" s="2">
        <v>14</v>
      </c>
      <c r="B15" s="45">
        <v>44788.868055497682</v>
      </c>
      <c r="C15" s="4">
        <v>24</v>
      </c>
      <c r="D15" s="4">
        <f t="shared" si="0"/>
        <v>312</v>
      </c>
      <c r="E15" s="5">
        <f t="shared" si="11"/>
        <v>13</v>
      </c>
      <c r="F15" s="13">
        <f t="shared" si="1"/>
        <v>0</v>
      </c>
      <c r="G15" s="13">
        <f t="shared" si="2"/>
        <v>0</v>
      </c>
      <c r="H15" s="13">
        <f t="shared" si="3"/>
        <v>0</v>
      </c>
      <c r="I15" s="13">
        <f t="shared" si="4"/>
        <v>0</v>
      </c>
      <c r="J15" s="13">
        <f t="shared" si="5"/>
        <v>0</v>
      </c>
      <c r="K15" s="13">
        <f t="shared" si="6"/>
        <v>0</v>
      </c>
      <c r="L15" s="13">
        <f t="shared" si="7"/>
        <v>0</v>
      </c>
      <c r="M15" s="23"/>
      <c r="N15" s="13">
        <f t="shared" si="8"/>
        <v>35</v>
      </c>
      <c r="O15" s="13">
        <f t="shared" si="9"/>
        <v>35</v>
      </c>
      <c r="P15" s="13">
        <f t="shared" si="9"/>
        <v>35</v>
      </c>
      <c r="Q15" s="13">
        <f t="shared" si="9"/>
        <v>35</v>
      </c>
      <c r="R15" s="13">
        <f t="shared" si="10"/>
        <v>0</v>
      </c>
      <c r="S15" s="31" t="s">
        <v>17</v>
      </c>
      <c r="T15" s="31" t="s">
        <v>17</v>
      </c>
      <c r="U15" s="31" t="s">
        <v>17</v>
      </c>
      <c r="V15" s="31" t="s">
        <v>17</v>
      </c>
      <c r="W15" s="31" t="s">
        <v>17</v>
      </c>
      <c r="X15" s="31" t="s">
        <v>17</v>
      </c>
      <c r="Y15" s="31" t="s">
        <v>17</v>
      </c>
      <c r="Z15" s="31" t="s">
        <v>17</v>
      </c>
      <c r="AA15" s="31" t="s">
        <v>17</v>
      </c>
      <c r="AB15" s="31" t="s">
        <v>17</v>
      </c>
      <c r="AC15" s="31" t="s">
        <v>17</v>
      </c>
      <c r="AD15" s="31" t="s">
        <v>17</v>
      </c>
      <c r="AE15" s="31" t="s">
        <v>17</v>
      </c>
      <c r="AF15" s="31" t="s">
        <v>17</v>
      </c>
      <c r="AG15" s="31" t="s">
        <v>17</v>
      </c>
      <c r="AH15" s="31" t="s">
        <v>17</v>
      </c>
      <c r="AI15" s="31" t="s">
        <v>17</v>
      </c>
      <c r="AJ15" s="31" t="s">
        <v>17</v>
      </c>
      <c r="AK15" s="31" t="s">
        <v>17</v>
      </c>
      <c r="AL15" s="31" t="s">
        <v>17</v>
      </c>
      <c r="AM15" s="31" t="s">
        <v>17</v>
      </c>
      <c r="AN15" s="31" t="s">
        <v>17</v>
      </c>
      <c r="AO15" s="31" t="s">
        <v>17</v>
      </c>
      <c r="AP15" s="31" t="s">
        <v>17</v>
      </c>
      <c r="AQ15" s="31" t="s">
        <v>17</v>
      </c>
      <c r="AR15" s="31" t="s">
        <v>17</v>
      </c>
      <c r="AS15" s="31" t="s">
        <v>17</v>
      </c>
      <c r="AT15" s="31" t="s">
        <v>17</v>
      </c>
      <c r="AU15" s="31" t="s">
        <v>17</v>
      </c>
      <c r="AV15" s="31" t="s">
        <v>17</v>
      </c>
      <c r="AW15" s="31" t="s">
        <v>17</v>
      </c>
      <c r="AX15" s="31" t="s">
        <v>17</v>
      </c>
      <c r="AY15" s="31" t="s">
        <v>17</v>
      </c>
      <c r="AZ15" s="31" t="s">
        <v>17</v>
      </c>
      <c r="BA15" s="31" t="s">
        <v>17</v>
      </c>
    </row>
    <row r="16" spans="1:53" x14ac:dyDescent="0.3">
      <c r="A16" s="2">
        <v>15</v>
      </c>
      <c r="B16" s="45">
        <v>44789.868055497682</v>
      </c>
      <c r="C16" s="4">
        <v>24</v>
      </c>
      <c r="D16" s="4">
        <f t="shared" si="0"/>
        <v>336</v>
      </c>
      <c r="E16" s="5">
        <f t="shared" si="11"/>
        <v>14</v>
      </c>
      <c r="F16" s="13">
        <f t="shared" si="1"/>
        <v>0</v>
      </c>
      <c r="G16" s="13">
        <f t="shared" si="2"/>
        <v>0</v>
      </c>
      <c r="H16" s="13">
        <f t="shared" si="3"/>
        <v>0</v>
      </c>
      <c r="I16" s="13">
        <f t="shared" si="4"/>
        <v>0</v>
      </c>
      <c r="J16" s="13">
        <f t="shared" si="5"/>
        <v>0</v>
      </c>
      <c r="K16" s="13">
        <f t="shared" si="6"/>
        <v>0</v>
      </c>
      <c r="L16" s="13">
        <f t="shared" si="7"/>
        <v>0</v>
      </c>
      <c r="M16" s="23"/>
      <c r="N16" s="13">
        <f t="shared" si="8"/>
        <v>35</v>
      </c>
      <c r="O16" s="13">
        <f t="shared" si="9"/>
        <v>35</v>
      </c>
      <c r="P16" s="13">
        <f t="shared" si="9"/>
        <v>35</v>
      </c>
      <c r="Q16" s="13">
        <f t="shared" si="9"/>
        <v>35</v>
      </c>
      <c r="R16" s="13">
        <f t="shared" si="10"/>
        <v>0</v>
      </c>
      <c r="S16" s="31" t="s">
        <v>17</v>
      </c>
      <c r="T16" s="31" t="s">
        <v>17</v>
      </c>
      <c r="U16" s="31" t="s">
        <v>17</v>
      </c>
      <c r="V16" s="31" t="s">
        <v>17</v>
      </c>
      <c r="W16" s="31" t="s">
        <v>17</v>
      </c>
      <c r="X16" s="31" t="s">
        <v>17</v>
      </c>
      <c r="Y16" s="31" t="s">
        <v>17</v>
      </c>
      <c r="Z16" s="31" t="s">
        <v>17</v>
      </c>
      <c r="AA16" s="31" t="s">
        <v>17</v>
      </c>
      <c r="AB16" s="31" t="s">
        <v>17</v>
      </c>
      <c r="AC16" s="31" t="s">
        <v>17</v>
      </c>
      <c r="AD16" s="31" t="s">
        <v>17</v>
      </c>
      <c r="AE16" s="31" t="s">
        <v>17</v>
      </c>
      <c r="AF16" s="31" t="s">
        <v>17</v>
      </c>
      <c r="AG16" s="31" t="s">
        <v>17</v>
      </c>
      <c r="AH16" s="31" t="s">
        <v>17</v>
      </c>
      <c r="AI16" s="31" t="s">
        <v>17</v>
      </c>
      <c r="AJ16" s="31" t="s">
        <v>17</v>
      </c>
      <c r="AK16" s="31" t="s">
        <v>17</v>
      </c>
      <c r="AL16" s="31" t="s">
        <v>17</v>
      </c>
      <c r="AM16" s="31" t="s">
        <v>17</v>
      </c>
      <c r="AN16" s="31" t="s">
        <v>17</v>
      </c>
      <c r="AO16" s="31" t="s">
        <v>17</v>
      </c>
      <c r="AP16" s="31" t="s">
        <v>17</v>
      </c>
      <c r="AQ16" s="31" t="s">
        <v>17</v>
      </c>
      <c r="AR16" s="31" t="s">
        <v>17</v>
      </c>
      <c r="AS16" s="31" t="s">
        <v>17</v>
      </c>
      <c r="AT16" s="31" t="s">
        <v>17</v>
      </c>
      <c r="AU16" s="31" t="s">
        <v>17</v>
      </c>
      <c r="AV16" s="31" t="s">
        <v>17</v>
      </c>
      <c r="AW16" s="31" t="s">
        <v>17</v>
      </c>
      <c r="AX16" s="31" t="s">
        <v>17</v>
      </c>
      <c r="AY16" s="31" t="s">
        <v>17</v>
      </c>
      <c r="AZ16" s="31" t="s">
        <v>17</v>
      </c>
      <c r="BA16" s="31" t="s">
        <v>17</v>
      </c>
    </row>
  </sheetData>
  <mergeCells count="1">
    <mergeCell ref="S1:B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D3304BCDA4B848BC2414960D042601" ma:contentTypeVersion="11" ma:contentTypeDescription="Create a new document." ma:contentTypeScope="" ma:versionID="c6870230c562e2ff0bf7d4ae707e67c2">
  <xsd:schema xmlns:xsd="http://www.w3.org/2001/XMLSchema" xmlns:xs="http://www.w3.org/2001/XMLSchema" xmlns:p="http://schemas.microsoft.com/office/2006/metadata/properties" xmlns:ns2="2c499082-44cb-4ce8-bbb7-46cedbac3fcd" xmlns:ns3="72251a2d-d2d2-4ce3-b449-669dee9fb387" targetNamespace="http://schemas.microsoft.com/office/2006/metadata/properties" ma:root="true" ma:fieldsID="8422b2079bb706dee0e27b8facb89316" ns2:_="" ns3:_="">
    <xsd:import namespace="2c499082-44cb-4ce8-bbb7-46cedbac3fcd"/>
    <xsd:import namespace="72251a2d-d2d2-4ce3-b449-669dee9fb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99082-44cb-4ce8-bbb7-46cedbac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c1e7a4-10d6-410b-bc16-ff6bad2470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51a2d-d2d2-4ce3-b449-669dee9fb3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0ca82-1ce1-4e99-9429-c8464370ed6a}" ma:internalName="TaxCatchAll" ma:showField="CatchAllData" ma:web="72251a2d-d2d2-4ce3-b449-669dee9fb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51a2d-d2d2-4ce3-b449-669dee9fb387" xsi:nil="true"/>
    <lcf76f155ced4ddcb4097134ff3c332f xmlns="2c499082-44cb-4ce8-bbb7-46cedbac3f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E28CC1-A738-4243-BB00-B5806A2011AA}"/>
</file>

<file path=customXml/itemProps2.xml><?xml version="1.0" encoding="utf-8"?>
<ds:datastoreItem xmlns:ds="http://schemas.openxmlformats.org/officeDocument/2006/customXml" ds:itemID="{4FF21AE6-ABB2-45A7-9DE8-DA8003A2ED88}">
  <ds:schemaRefs>
    <ds:schemaRef ds:uri="http://schemas.microsoft.com/office/2006/metadata/properties"/>
    <ds:schemaRef ds:uri="http://schemas.microsoft.com/office/infopath/2007/PartnerControls"/>
    <ds:schemaRef ds:uri="72251a2d-d2d2-4ce3-b449-669dee9fb387"/>
    <ds:schemaRef ds:uri="2c499082-44cb-4ce8-bbb7-46cedbac3fcd"/>
  </ds:schemaRefs>
</ds:datastoreItem>
</file>

<file path=customXml/itemProps3.xml><?xml version="1.0" encoding="utf-8"?>
<ds:datastoreItem xmlns:ds="http://schemas.openxmlformats.org/officeDocument/2006/customXml" ds:itemID="{D146FF40-9B92-4B7E-B734-E2C96470E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Integral representation</vt:lpstr>
      <vt:lpstr>5°C</vt:lpstr>
      <vt:lpstr>10°C</vt:lpstr>
      <vt:lpstr>16°C</vt:lpstr>
      <vt:lpstr>28°C</vt:lpstr>
      <vt:lpstr>30°C</vt:lpstr>
      <vt:lpstr>32°C</vt:lpstr>
      <vt:lpstr>34°C</vt:lpstr>
      <vt:lpstr>36°C</vt:lpstr>
      <vt:lpstr>3°C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 Sweidan</dc:creator>
  <cp:lastModifiedBy>Sweidan Zeinab (zeinab.sweidan)</cp:lastModifiedBy>
  <dcterms:created xsi:type="dcterms:W3CDTF">2025-02-27T13:06:14Z</dcterms:created>
  <dcterms:modified xsi:type="dcterms:W3CDTF">2025-03-18T09:16:54Z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0x0101004BD3304BCDA4B848BC2414960D042601</vt:lpwstr>
  </property>
  <property fmtid="{D5CDD505-2E9C-101B-9397-08002B2CF9AE}" pid="3" name="MediaServiceImageTags">
    <vt:lpwstr/>
  </property>
</Properties>
</file>