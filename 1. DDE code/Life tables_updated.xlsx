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96cdd82575f998/Uni Files/Abroad period/2025 ZS/D.suzukii/Python backups/"/>
    </mc:Choice>
  </mc:AlternateContent>
  <xr:revisionPtr revIDLastSave="251" documentId="8_{D58AC7C6-5EF5-4583-8826-8999D4EA817D}" xr6:coauthVersionLast="47" xr6:coauthVersionMax="47" xr10:uidLastSave="{63AF624B-8BD9-4D7F-931D-6B3A08096288}"/>
  <bookViews>
    <workbookView xWindow="-108" yWindow="-108" windowWidth="23256" windowHeight="12456" tabRatio="812" xr2:uid="{D1172BF1-1490-4501-9C04-5D21FC26D176}"/>
  </bookViews>
  <sheets>
    <sheet name="Integral representation" sheetId="20" r:id="rId1"/>
    <sheet name="5°C" sheetId="1" r:id="rId2"/>
    <sheet name="10°C" sheetId="2" r:id="rId3"/>
    <sheet name="16°C" sheetId="3" r:id="rId4"/>
    <sheet name="28°C" sheetId="14" r:id="rId5"/>
    <sheet name="30°C" sheetId="16" r:id="rId6"/>
    <sheet name="32°C" sheetId="17" r:id="rId7"/>
    <sheet name="34°C" sheetId="18" r:id="rId8"/>
    <sheet name="36°C" sheetId="1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83" i="14" l="1"/>
  <c r="BV83" i="14"/>
  <c r="BW83" i="14"/>
  <c r="BX83" i="14"/>
  <c r="BY83" i="14"/>
  <c r="BZ83" i="14"/>
  <c r="BU84" i="14"/>
  <c r="BV84" i="14"/>
  <c r="BW84" i="14"/>
  <c r="BX84" i="14"/>
  <c r="BY84" i="14"/>
  <c r="BZ84" i="14"/>
  <c r="BU85" i="14"/>
  <c r="BV85" i="14"/>
  <c r="BW85" i="14"/>
  <c r="BX85" i="14"/>
  <c r="BY85" i="14"/>
  <c r="BZ85" i="14"/>
  <c r="BU86" i="14"/>
  <c r="BV86" i="14"/>
  <c r="BW86" i="14"/>
  <c r="BX86" i="14"/>
  <c r="BY86" i="14"/>
  <c r="BZ86" i="14"/>
  <c r="BU87" i="14"/>
  <c r="BV87" i="14"/>
  <c r="BW87" i="14"/>
  <c r="BX87" i="14"/>
  <c r="BY87" i="14"/>
  <c r="BZ87" i="14"/>
  <c r="BU88" i="14"/>
  <c r="BV88" i="14"/>
  <c r="BW88" i="14"/>
  <c r="BX88" i="14"/>
  <c r="BY88" i="14"/>
  <c r="BZ88" i="14"/>
  <c r="BU89" i="14"/>
  <c r="BV89" i="14"/>
  <c r="BW89" i="14"/>
  <c r="BX89" i="14"/>
  <c r="BY89" i="14"/>
  <c r="BZ89" i="14"/>
  <c r="BU90" i="14"/>
  <c r="BV90" i="14"/>
  <c r="BW90" i="14"/>
  <c r="BX90" i="14"/>
  <c r="BY90" i="14"/>
  <c r="BZ90" i="14"/>
  <c r="BU91" i="14"/>
  <c r="BV91" i="14"/>
  <c r="BW91" i="14"/>
  <c r="BX91" i="14"/>
  <c r="BY91" i="14"/>
  <c r="BZ91" i="14"/>
  <c r="BU92" i="14"/>
  <c r="BV92" i="14"/>
  <c r="BW92" i="14"/>
  <c r="BX92" i="14"/>
  <c r="BY92" i="14"/>
  <c r="BZ92" i="14"/>
  <c r="BU93" i="14"/>
  <c r="BV93" i="14"/>
  <c r="BW93" i="14"/>
  <c r="BX93" i="14"/>
  <c r="BY93" i="14"/>
  <c r="BZ93" i="14"/>
  <c r="BU94" i="14"/>
  <c r="BV94" i="14"/>
  <c r="BW94" i="14"/>
  <c r="BX94" i="14"/>
  <c r="BY94" i="14"/>
  <c r="BZ94" i="14"/>
  <c r="BU95" i="14"/>
  <c r="BV95" i="14"/>
  <c r="BW95" i="14"/>
  <c r="BX95" i="14"/>
  <c r="BY95" i="14"/>
  <c r="BZ95" i="14"/>
  <c r="BU96" i="14"/>
  <c r="BV96" i="14"/>
  <c r="BW96" i="14"/>
  <c r="BX96" i="14"/>
  <c r="BY96" i="14"/>
  <c r="BZ96" i="14"/>
  <c r="BU97" i="14"/>
  <c r="BV97" i="14"/>
  <c r="BW97" i="14"/>
  <c r="BX97" i="14"/>
  <c r="BY97" i="14"/>
  <c r="BZ97" i="14"/>
  <c r="BU98" i="14"/>
  <c r="BV98" i="14"/>
  <c r="BW98" i="14"/>
  <c r="BX98" i="14"/>
  <c r="BY98" i="14"/>
  <c r="BZ98" i="14"/>
  <c r="BU99" i="14"/>
  <c r="BV99" i="14"/>
  <c r="BW99" i="14"/>
  <c r="BX99" i="14"/>
  <c r="BY99" i="14"/>
  <c r="BZ99" i="14"/>
  <c r="BU100" i="14"/>
  <c r="BV100" i="14"/>
  <c r="BW100" i="14"/>
  <c r="BX100" i="14"/>
  <c r="BY100" i="14"/>
  <c r="BZ100" i="14"/>
  <c r="BU101" i="14"/>
  <c r="BV101" i="14"/>
  <c r="BW101" i="14"/>
  <c r="BX101" i="14"/>
  <c r="BY101" i="14"/>
  <c r="BZ101" i="14"/>
  <c r="BU102" i="14"/>
  <c r="BV102" i="14"/>
  <c r="BW102" i="14"/>
  <c r="BX102" i="14"/>
  <c r="BY102" i="14"/>
  <c r="BZ102" i="14"/>
  <c r="BU103" i="14"/>
  <c r="BV103" i="14"/>
  <c r="BW103" i="14"/>
  <c r="BX103" i="14"/>
  <c r="BY103" i="14"/>
  <c r="BZ103" i="14"/>
  <c r="BU104" i="14"/>
  <c r="BV104" i="14"/>
  <c r="BW104" i="14"/>
  <c r="BX104" i="14"/>
  <c r="BY104" i="14"/>
  <c r="BZ104" i="14"/>
  <c r="BU105" i="14"/>
  <c r="BV105" i="14"/>
  <c r="BW105" i="14"/>
  <c r="BX105" i="14"/>
  <c r="BY105" i="14"/>
  <c r="BZ105" i="14"/>
  <c r="BU106" i="14"/>
  <c r="BV106" i="14"/>
  <c r="BW106" i="14"/>
  <c r="BX106" i="14"/>
  <c r="BY106" i="14"/>
  <c r="BZ106" i="14"/>
  <c r="BU107" i="14"/>
  <c r="BV107" i="14"/>
  <c r="BW107" i="14"/>
  <c r="BX107" i="14"/>
  <c r="BY107" i="14"/>
  <c r="BZ107" i="14"/>
  <c r="BU108" i="14"/>
  <c r="BV108" i="14"/>
  <c r="BW108" i="14"/>
  <c r="BX108" i="14"/>
  <c r="BY108" i="14"/>
  <c r="BZ108" i="14"/>
  <c r="BU109" i="14"/>
  <c r="BV109" i="14"/>
  <c r="BW109" i="14"/>
  <c r="BX109" i="14"/>
  <c r="BY109" i="14"/>
  <c r="BZ109" i="14"/>
  <c r="BU110" i="14"/>
  <c r="BV110" i="14"/>
  <c r="BW110" i="14"/>
  <c r="BX110" i="14"/>
  <c r="BY110" i="14"/>
  <c r="BZ110" i="14"/>
  <c r="BU111" i="14"/>
  <c r="BV111" i="14"/>
  <c r="BW111" i="14"/>
  <c r="BX111" i="14"/>
  <c r="BY111" i="14"/>
  <c r="BZ111" i="14"/>
  <c r="BU112" i="14"/>
  <c r="BV112" i="14"/>
  <c r="BW112" i="14"/>
  <c r="BX112" i="14"/>
  <c r="BY112" i="14"/>
  <c r="BZ112" i="14"/>
  <c r="BU113" i="14"/>
  <c r="BV113" i="14"/>
  <c r="BW113" i="14"/>
  <c r="BX113" i="14"/>
  <c r="BY113" i="14"/>
  <c r="BZ113" i="14"/>
  <c r="BU114" i="14"/>
  <c r="BV114" i="14"/>
  <c r="BW114" i="14"/>
  <c r="BX114" i="14"/>
  <c r="BY114" i="14"/>
  <c r="BZ114" i="14"/>
  <c r="BU115" i="14"/>
  <c r="BV115" i="14"/>
  <c r="BW115" i="14"/>
  <c r="BX115" i="14"/>
  <c r="BY115" i="14"/>
  <c r="BZ115" i="14"/>
  <c r="BU116" i="14"/>
  <c r="BV116" i="14"/>
  <c r="BW116" i="14"/>
  <c r="BX116" i="14"/>
  <c r="BY116" i="14"/>
  <c r="BZ116" i="14"/>
  <c r="BU117" i="14"/>
  <c r="BV117" i="14"/>
  <c r="BW117" i="14"/>
  <c r="BX117" i="14"/>
  <c r="BY117" i="14"/>
  <c r="BZ117" i="14"/>
  <c r="BU118" i="14"/>
  <c r="BV118" i="14"/>
  <c r="BW118" i="14"/>
  <c r="BX118" i="14"/>
  <c r="BY118" i="14"/>
  <c r="BZ118" i="14"/>
  <c r="BU119" i="14"/>
  <c r="BV119" i="14"/>
  <c r="BW119" i="14"/>
  <c r="BX119" i="14"/>
  <c r="BY119" i="14"/>
  <c r="BZ119" i="14"/>
  <c r="BU120" i="14"/>
  <c r="BV120" i="14"/>
  <c r="BW120" i="14"/>
  <c r="BX120" i="14"/>
  <c r="BY120" i="14"/>
  <c r="BZ120" i="14"/>
  <c r="BU121" i="14"/>
  <c r="BV121" i="14"/>
  <c r="BW121" i="14"/>
  <c r="BX121" i="14"/>
  <c r="BY121" i="14"/>
  <c r="BZ121" i="14"/>
  <c r="BU122" i="14"/>
  <c r="BV122" i="14"/>
  <c r="BW122" i="14"/>
  <c r="BX122" i="14"/>
  <c r="BY122" i="14"/>
  <c r="BZ122" i="14"/>
  <c r="BU123" i="14"/>
  <c r="BV123" i="14"/>
  <c r="BW123" i="14"/>
  <c r="BX123" i="14"/>
  <c r="BY123" i="14"/>
  <c r="BZ123" i="14"/>
  <c r="BU124" i="14"/>
  <c r="BV124" i="14"/>
  <c r="BW124" i="14"/>
  <c r="BX124" i="14"/>
  <c r="BY124" i="14"/>
  <c r="BZ124" i="14"/>
  <c r="BU125" i="14"/>
  <c r="BV125" i="14"/>
  <c r="BW125" i="14"/>
  <c r="BX125" i="14"/>
  <c r="BY125" i="14"/>
  <c r="BZ125" i="14"/>
  <c r="BU126" i="14"/>
  <c r="BV126" i="14"/>
  <c r="BW126" i="14"/>
  <c r="BX126" i="14"/>
  <c r="BY126" i="14"/>
  <c r="BZ126" i="14"/>
  <c r="BU127" i="14"/>
  <c r="BV127" i="14"/>
  <c r="BW127" i="14"/>
  <c r="BX127" i="14"/>
  <c r="BY127" i="14"/>
  <c r="BZ127" i="14"/>
  <c r="BU128" i="14"/>
  <c r="BV128" i="14"/>
  <c r="BW128" i="14"/>
  <c r="BX128" i="14"/>
  <c r="BY128" i="14"/>
  <c r="BZ128" i="14"/>
  <c r="BU129" i="14"/>
  <c r="BV129" i="14"/>
  <c r="BW129" i="14"/>
  <c r="BX129" i="14"/>
  <c r="BY129" i="14"/>
  <c r="BZ129" i="14"/>
  <c r="BU130" i="14"/>
  <c r="BV130" i="14"/>
  <c r="BW130" i="14"/>
  <c r="BX130" i="14"/>
  <c r="BY130" i="14"/>
  <c r="BZ130" i="14"/>
  <c r="BU131" i="14"/>
  <c r="BV131" i="14"/>
  <c r="BW131" i="14"/>
  <c r="BX131" i="14"/>
  <c r="BY131" i="14"/>
  <c r="BZ131" i="14"/>
  <c r="BU132" i="14"/>
  <c r="BV132" i="14"/>
  <c r="BW132" i="14"/>
  <c r="BX132" i="14"/>
  <c r="BY132" i="14"/>
  <c r="BZ132" i="14"/>
  <c r="BU133" i="14"/>
  <c r="BV133" i="14"/>
  <c r="BW133" i="14"/>
  <c r="BX133" i="14"/>
  <c r="BY133" i="14"/>
  <c r="BZ133" i="14"/>
  <c r="BU134" i="14"/>
  <c r="BV134" i="14"/>
  <c r="BW134" i="14"/>
  <c r="BX134" i="14"/>
  <c r="BY134" i="14"/>
  <c r="BZ134" i="14"/>
  <c r="BU135" i="14"/>
  <c r="BV135" i="14"/>
  <c r="BW135" i="14"/>
  <c r="BX135" i="14"/>
  <c r="BY135" i="14"/>
  <c r="BZ135" i="14"/>
  <c r="BU136" i="14"/>
  <c r="BV136" i="14"/>
  <c r="BW136" i="14"/>
  <c r="BX136" i="14"/>
  <c r="BY136" i="14"/>
  <c r="BZ136" i="14"/>
  <c r="BU137" i="14"/>
  <c r="BV137" i="14"/>
  <c r="BW137" i="14"/>
  <c r="BX137" i="14"/>
  <c r="BY137" i="14"/>
  <c r="BZ137" i="14"/>
  <c r="BU138" i="14"/>
  <c r="BV138" i="14"/>
  <c r="BW138" i="14"/>
  <c r="BX138" i="14"/>
  <c r="BY138" i="14"/>
  <c r="BZ138" i="14"/>
  <c r="BU139" i="14"/>
  <c r="BV139" i="14"/>
  <c r="BW139" i="14"/>
  <c r="BX139" i="14"/>
  <c r="BY139" i="14"/>
  <c r="BZ139" i="14"/>
  <c r="BU140" i="14"/>
  <c r="BV140" i="14"/>
  <c r="BW140" i="14"/>
  <c r="BX140" i="14"/>
  <c r="BY140" i="14"/>
  <c r="BZ140" i="14"/>
  <c r="BU141" i="14"/>
  <c r="BV141" i="14"/>
  <c r="BW141" i="14"/>
  <c r="BX141" i="14"/>
  <c r="BY141" i="14"/>
  <c r="BZ141" i="14"/>
  <c r="BU142" i="14"/>
  <c r="BV142" i="14"/>
  <c r="BW142" i="14"/>
  <c r="BX142" i="14"/>
  <c r="BY142" i="14"/>
  <c r="BZ142" i="14"/>
  <c r="BU143" i="14"/>
  <c r="BV143" i="14"/>
  <c r="BW143" i="14"/>
  <c r="BX143" i="14"/>
  <c r="BY143" i="14"/>
  <c r="BZ143" i="14"/>
  <c r="BU144" i="14"/>
  <c r="BV144" i="14"/>
  <c r="BW144" i="14"/>
  <c r="BX144" i="14"/>
  <c r="BY144" i="14"/>
  <c r="BZ144" i="14"/>
  <c r="BU145" i="14"/>
  <c r="BV145" i="14"/>
  <c r="BW145" i="14"/>
  <c r="BX145" i="14"/>
  <c r="BY145" i="14"/>
  <c r="BZ145" i="14"/>
  <c r="BU146" i="14"/>
  <c r="BV146" i="14"/>
  <c r="BW146" i="14"/>
  <c r="BX146" i="14"/>
  <c r="BY146" i="14"/>
  <c r="BZ146" i="14"/>
  <c r="BU147" i="14"/>
  <c r="BV147" i="14"/>
  <c r="BW147" i="14"/>
  <c r="BX147" i="14"/>
  <c r="BY147" i="14"/>
  <c r="BZ147" i="14"/>
  <c r="BU148" i="14"/>
  <c r="BV148" i="14"/>
  <c r="BW148" i="14"/>
  <c r="BX148" i="14"/>
  <c r="BY148" i="14"/>
  <c r="BZ148" i="14"/>
  <c r="BU149" i="14"/>
  <c r="BV149" i="14"/>
  <c r="BW149" i="14"/>
  <c r="BX149" i="14"/>
  <c r="BY149" i="14"/>
  <c r="BZ149" i="14"/>
  <c r="BU150" i="14"/>
  <c r="BV150" i="14"/>
  <c r="BW150" i="14"/>
  <c r="BX150" i="14"/>
  <c r="BY150" i="14"/>
  <c r="BZ150" i="14"/>
  <c r="BU151" i="14"/>
  <c r="BV151" i="14"/>
  <c r="BW151" i="14"/>
  <c r="BX151" i="14"/>
  <c r="BY151" i="14"/>
  <c r="BZ151" i="14"/>
  <c r="BU152" i="14"/>
  <c r="BV152" i="14"/>
  <c r="BW152" i="14"/>
  <c r="BX152" i="14"/>
  <c r="BY152" i="14"/>
  <c r="BZ152" i="14"/>
  <c r="BU153" i="14"/>
  <c r="BV153" i="14"/>
  <c r="BW153" i="14"/>
  <c r="BX153" i="14"/>
  <c r="BY153" i="14"/>
  <c r="BZ153" i="14"/>
  <c r="BU154" i="14"/>
  <c r="BV154" i="14"/>
  <c r="BW154" i="14"/>
  <c r="BX154" i="14"/>
  <c r="BY154" i="14"/>
  <c r="BZ154" i="14"/>
  <c r="BU155" i="14"/>
  <c r="BV155" i="14"/>
  <c r="BW155" i="14"/>
  <c r="BX155" i="14"/>
  <c r="BY155" i="14"/>
  <c r="BZ155" i="14"/>
  <c r="BU156" i="14"/>
  <c r="BV156" i="14"/>
  <c r="BW156" i="14"/>
  <c r="BX156" i="14"/>
  <c r="BY156" i="14"/>
  <c r="BZ156" i="14"/>
  <c r="BU157" i="14"/>
  <c r="BV157" i="14"/>
  <c r="BW157" i="14"/>
  <c r="BX157" i="14"/>
  <c r="BY157" i="14"/>
  <c r="BZ157" i="14"/>
  <c r="BU158" i="14"/>
  <c r="BV158" i="14"/>
  <c r="BW158" i="14"/>
  <c r="BX158" i="14"/>
  <c r="BY158" i="14"/>
  <c r="BZ158" i="14"/>
  <c r="BV82" i="14"/>
  <c r="BW82" i="14"/>
  <c r="BX82" i="14"/>
  <c r="BY82" i="14"/>
  <c r="BZ82" i="14"/>
  <c r="BU82" i="14"/>
  <c r="BO83" i="14"/>
  <c r="BP83" i="14"/>
  <c r="BQ83" i="14"/>
  <c r="BR83" i="14"/>
  <c r="BS83" i="14"/>
  <c r="BT83" i="14"/>
  <c r="BO84" i="14"/>
  <c r="BP84" i="14"/>
  <c r="BQ84" i="14"/>
  <c r="BR84" i="14"/>
  <c r="BS84" i="14"/>
  <c r="BT84" i="14"/>
  <c r="BO85" i="14"/>
  <c r="BP85" i="14"/>
  <c r="BQ85" i="14"/>
  <c r="BR85" i="14"/>
  <c r="BS85" i="14"/>
  <c r="BT85" i="14"/>
  <c r="BO86" i="14"/>
  <c r="BP86" i="14"/>
  <c r="BQ86" i="14"/>
  <c r="BR86" i="14"/>
  <c r="BS86" i="14"/>
  <c r="BT86" i="14"/>
  <c r="BO87" i="14"/>
  <c r="BP87" i="14"/>
  <c r="BQ87" i="14"/>
  <c r="BR87" i="14"/>
  <c r="BS87" i="14"/>
  <c r="BT87" i="14"/>
  <c r="BO88" i="14"/>
  <c r="BP88" i="14"/>
  <c r="BQ88" i="14"/>
  <c r="BR88" i="14"/>
  <c r="BS88" i="14"/>
  <c r="BT88" i="14"/>
  <c r="BO89" i="14"/>
  <c r="BP89" i="14"/>
  <c r="BQ89" i="14"/>
  <c r="BR89" i="14"/>
  <c r="BS89" i="14"/>
  <c r="BT89" i="14"/>
  <c r="BO90" i="14"/>
  <c r="BP90" i="14"/>
  <c r="BQ90" i="14"/>
  <c r="BR90" i="14"/>
  <c r="BS90" i="14"/>
  <c r="BT90" i="14"/>
  <c r="BO91" i="14"/>
  <c r="BP91" i="14"/>
  <c r="BQ91" i="14"/>
  <c r="BR91" i="14"/>
  <c r="BS91" i="14"/>
  <c r="BT91" i="14"/>
  <c r="BO92" i="14"/>
  <c r="BP92" i="14"/>
  <c r="BQ92" i="14"/>
  <c r="BR92" i="14"/>
  <c r="BS92" i="14"/>
  <c r="BT92" i="14"/>
  <c r="BO93" i="14"/>
  <c r="BP93" i="14"/>
  <c r="BQ93" i="14"/>
  <c r="BR93" i="14"/>
  <c r="BS93" i="14"/>
  <c r="BT93" i="14"/>
  <c r="BO94" i="14"/>
  <c r="BP94" i="14"/>
  <c r="BQ94" i="14"/>
  <c r="BR94" i="14"/>
  <c r="BS94" i="14"/>
  <c r="BT94" i="14"/>
  <c r="BO95" i="14"/>
  <c r="BP95" i="14"/>
  <c r="BQ95" i="14"/>
  <c r="BR95" i="14"/>
  <c r="BS95" i="14"/>
  <c r="BT95" i="14"/>
  <c r="BO96" i="14"/>
  <c r="BP96" i="14"/>
  <c r="BQ96" i="14"/>
  <c r="BR96" i="14"/>
  <c r="BS96" i="14"/>
  <c r="BT96" i="14"/>
  <c r="BO97" i="14"/>
  <c r="BP97" i="14"/>
  <c r="BQ97" i="14"/>
  <c r="BR97" i="14"/>
  <c r="BS97" i="14"/>
  <c r="BT97" i="14"/>
  <c r="BO98" i="14"/>
  <c r="BP98" i="14"/>
  <c r="BQ98" i="14"/>
  <c r="BR98" i="14"/>
  <c r="BS98" i="14"/>
  <c r="BT98" i="14"/>
  <c r="BO99" i="14"/>
  <c r="BP99" i="14"/>
  <c r="BQ99" i="14"/>
  <c r="BR99" i="14"/>
  <c r="BS99" i="14"/>
  <c r="BT99" i="14"/>
  <c r="BO100" i="14"/>
  <c r="BP100" i="14"/>
  <c r="BQ100" i="14"/>
  <c r="BR100" i="14"/>
  <c r="BS100" i="14"/>
  <c r="BT100" i="14"/>
  <c r="BO101" i="14"/>
  <c r="BP101" i="14"/>
  <c r="BQ101" i="14"/>
  <c r="BR101" i="14"/>
  <c r="BS101" i="14"/>
  <c r="BT101" i="14"/>
  <c r="BO102" i="14"/>
  <c r="BP102" i="14"/>
  <c r="BQ102" i="14"/>
  <c r="BR102" i="14"/>
  <c r="BS102" i="14"/>
  <c r="BT102" i="14"/>
  <c r="BO103" i="14"/>
  <c r="BP103" i="14"/>
  <c r="BQ103" i="14"/>
  <c r="BR103" i="14"/>
  <c r="BS103" i="14"/>
  <c r="BT103" i="14"/>
  <c r="BO104" i="14"/>
  <c r="BP104" i="14"/>
  <c r="BQ104" i="14"/>
  <c r="BR104" i="14"/>
  <c r="BS104" i="14"/>
  <c r="BT104" i="14"/>
  <c r="BO105" i="14"/>
  <c r="BP105" i="14"/>
  <c r="BQ105" i="14"/>
  <c r="BR105" i="14"/>
  <c r="BS105" i="14"/>
  <c r="BT105" i="14"/>
  <c r="BO106" i="14"/>
  <c r="BP106" i="14"/>
  <c r="BQ106" i="14"/>
  <c r="BR106" i="14"/>
  <c r="BS106" i="14"/>
  <c r="BT106" i="14"/>
  <c r="BO107" i="14"/>
  <c r="BP107" i="14"/>
  <c r="BQ107" i="14"/>
  <c r="BR107" i="14"/>
  <c r="BS107" i="14"/>
  <c r="BT107" i="14"/>
  <c r="BO108" i="14"/>
  <c r="BP108" i="14"/>
  <c r="BQ108" i="14"/>
  <c r="BR108" i="14"/>
  <c r="BS108" i="14"/>
  <c r="BT108" i="14"/>
  <c r="BO109" i="14"/>
  <c r="BP109" i="14"/>
  <c r="BQ109" i="14"/>
  <c r="BR109" i="14"/>
  <c r="BS109" i="14"/>
  <c r="BT109" i="14"/>
  <c r="BO110" i="14"/>
  <c r="BP110" i="14"/>
  <c r="BQ110" i="14"/>
  <c r="BR110" i="14"/>
  <c r="BS110" i="14"/>
  <c r="BT110" i="14"/>
  <c r="BO111" i="14"/>
  <c r="BP111" i="14"/>
  <c r="BQ111" i="14"/>
  <c r="BR111" i="14"/>
  <c r="BS111" i="14"/>
  <c r="BT111" i="14"/>
  <c r="BO112" i="14"/>
  <c r="BP112" i="14"/>
  <c r="BQ112" i="14"/>
  <c r="BR112" i="14"/>
  <c r="BS112" i="14"/>
  <c r="BT112" i="14"/>
  <c r="BO113" i="14"/>
  <c r="BP113" i="14"/>
  <c r="BQ113" i="14"/>
  <c r="BR113" i="14"/>
  <c r="BS113" i="14"/>
  <c r="BT113" i="14"/>
  <c r="BO114" i="14"/>
  <c r="BP114" i="14"/>
  <c r="BQ114" i="14"/>
  <c r="BR114" i="14"/>
  <c r="BS114" i="14"/>
  <c r="BT114" i="14"/>
  <c r="BO115" i="14"/>
  <c r="BP115" i="14"/>
  <c r="BQ115" i="14"/>
  <c r="BR115" i="14"/>
  <c r="BS115" i="14"/>
  <c r="BT115" i="14"/>
  <c r="BO116" i="14"/>
  <c r="BP116" i="14"/>
  <c r="BQ116" i="14"/>
  <c r="BR116" i="14"/>
  <c r="BS116" i="14"/>
  <c r="BT116" i="14"/>
  <c r="BO117" i="14"/>
  <c r="BP117" i="14"/>
  <c r="BQ117" i="14"/>
  <c r="BR117" i="14"/>
  <c r="BS117" i="14"/>
  <c r="BT117" i="14"/>
  <c r="BO118" i="14"/>
  <c r="BP118" i="14"/>
  <c r="BQ118" i="14"/>
  <c r="BR118" i="14"/>
  <c r="BS118" i="14"/>
  <c r="BT118" i="14"/>
  <c r="BO119" i="14"/>
  <c r="BP119" i="14"/>
  <c r="BQ119" i="14"/>
  <c r="BR119" i="14"/>
  <c r="BS119" i="14"/>
  <c r="BT119" i="14"/>
  <c r="BO120" i="14"/>
  <c r="BP120" i="14"/>
  <c r="BQ120" i="14"/>
  <c r="BR120" i="14"/>
  <c r="BS120" i="14"/>
  <c r="BT120" i="14"/>
  <c r="BO121" i="14"/>
  <c r="BP121" i="14"/>
  <c r="BQ121" i="14"/>
  <c r="BR121" i="14"/>
  <c r="BS121" i="14"/>
  <c r="BT121" i="14"/>
  <c r="BO122" i="14"/>
  <c r="BP122" i="14"/>
  <c r="BQ122" i="14"/>
  <c r="BR122" i="14"/>
  <c r="BS122" i="14"/>
  <c r="BT122" i="14"/>
  <c r="BO123" i="14"/>
  <c r="BP123" i="14"/>
  <c r="BQ123" i="14"/>
  <c r="BR123" i="14"/>
  <c r="BS123" i="14"/>
  <c r="BT123" i="14"/>
  <c r="BO124" i="14"/>
  <c r="BP124" i="14"/>
  <c r="BQ124" i="14"/>
  <c r="BR124" i="14"/>
  <c r="BS124" i="14"/>
  <c r="BT124" i="14"/>
  <c r="BO125" i="14"/>
  <c r="BP125" i="14"/>
  <c r="BQ125" i="14"/>
  <c r="BR125" i="14"/>
  <c r="BS125" i="14"/>
  <c r="BT125" i="14"/>
  <c r="BO126" i="14"/>
  <c r="BP126" i="14"/>
  <c r="BQ126" i="14"/>
  <c r="BR126" i="14"/>
  <c r="BS126" i="14"/>
  <c r="BT126" i="14"/>
  <c r="BO127" i="14"/>
  <c r="BP127" i="14"/>
  <c r="BQ127" i="14"/>
  <c r="BR127" i="14"/>
  <c r="BS127" i="14"/>
  <c r="BT127" i="14"/>
  <c r="BO128" i="14"/>
  <c r="BP128" i="14"/>
  <c r="BQ128" i="14"/>
  <c r="BR128" i="14"/>
  <c r="BS128" i="14"/>
  <c r="BT128" i="14"/>
  <c r="BO129" i="14"/>
  <c r="BP129" i="14"/>
  <c r="BQ129" i="14"/>
  <c r="BR129" i="14"/>
  <c r="BS129" i="14"/>
  <c r="BT129" i="14"/>
  <c r="BO130" i="14"/>
  <c r="BP130" i="14"/>
  <c r="BQ130" i="14"/>
  <c r="BR130" i="14"/>
  <c r="BS130" i="14"/>
  <c r="BT130" i="14"/>
  <c r="BO131" i="14"/>
  <c r="BP131" i="14"/>
  <c r="BQ131" i="14"/>
  <c r="BR131" i="14"/>
  <c r="BS131" i="14"/>
  <c r="BT131" i="14"/>
  <c r="BO132" i="14"/>
  <c r="BP132" i="14"/>
  <c r="BQ132" i="14"/>
  <c r="BR132" i="14"/>
  <c r="BS132" i="14"/>
  <c r="BT132" i="14"/>
  <c r="BO133" i="14"/>
  <c r="BP133" i="14"/>
  <c r="BQ133" i="14"/>
  <c r="BR133" i="14"/>
  <c r="BS133" i="14"/>
  <c r="BT133" i="14"/>
  <c r="BO134" i="14"/>
  <c r="BP134" i="14"/>
  <c r="BQ134" i="14"/>
  <c r="BR134" i="14"/>
  <c r="BS134" i="14"/>
  <c r="BT134" i="14"/>
  <c r="BO135" i="14"/>
  <c r="BP135" i="14"/>
  <c r="BQ135" i="14"/>
  <c r="BR135" i="14"/>
  <c r="BS135" i="14"/>
  <c r="BT135" i="14"/>
  <c r="BO136" i="14"/>
  <c r="BP136" i="14"/>
  <c r="BQ136" i="14"/>
  <c r="BR136" i="14"/>
  <c r="BS136" i="14"/>
  <c r="BT136" i="14"/>
  <c r="BO137" i="14"/>
  <c r="BP137" i="14"/>
  <c r="BQ137" i="14"/>
  <c r="BR137" i="14"/>
  <c r="BS137" i="14"/>
  <c r="BT137" i="14"/>
  <c r="BO138" i="14"/>
  <c r="BP138" i="14"/>
  <c r="BQ138" i="14"/>
  <c r="BR138" i="14"/>
  <c r="BS138" i="14"/>
  <c r="BT138" i="14"/>
  <c r="BO139" i="14"/>
  <c r="BP139" i="14"/>
  <c r="BQ139" i="14"/>
  <c r="BR139" i="14"/>
  <c r="BS139" i="14"/>
  <c r="BT139" i="14"/>
  <c r="BO140" i="14"/>
  <c r="BP140" i="14"/>
  <c r="BQ140" i="14"/>
  <c r="BR140" i="14"/>
  <c r="BS140" i="14"/>
  <c r="BT140" i="14"/>
  <c r="BO141" i="14"/>
  <c r="BP141" i="14"/>
  <c r="BQ141" i="14"/>
  <c r="BR141" i="14"/>
  <c r="BS141" i="14"/>
  <c r="BT141" i="14"/>
  <c r="BO142" i="14"/>
  <c r="BP142" i="14"/>
  <c r="BQ142" i="14"/>
  <c r="BR142" i="14"/>
  <c r="BS142" i="14"/>
  <c r="BT142" i="14"/>
  <c r="BO143" i="14"/>
  <c r="BP143" i="14"/>
  <c r="BQ143" i="14"/>
  <c r="BR143" i="14"/>
  <c r="BS143" i="14"/>
  <c r="BT143" i="14"/>
  <c r="BO144" i="14"/>
  <c r="BP144" i="14"/>
  <c r="BQ144" i="14"/>
  <c r="BR144" i="14"/>
  <c r="BS144" i="14"/>
  <c r="BT144" i="14"/>
  <c r="BO145" i="14"/>
  <c r="BP145" i="14"/>
  <c r="BQ145" i="14"/>
  <c r="BR145" i="14"/>
  <c r="BS145" i="14"/>
  <c r="BT145" i="14"/>
  <c r="BO146" i="14"/>
  <c r="BP146" i="14"/>
  <c r="BQ146" i="14"/>
  <c r="BR146" i="14"/>
  <c r="BS146" i="14"/>
  <c r="BT146" i="14"/>
  <c r="BO147" i="14"/>
  <c r="BP147" i="14"/>
  <c r="BQ147" i="14"/>
  <c r="BR147" i="14"/>
  <c r="BS147" i="14"/>
  <c r="BT147" i="14"/>
  <c r="BO148" i="14"/>
  <c r="BP148" i="14"/>
  <c r="BQ148" i="14"/>
  <c r="BR148" i="14"/>
  <c r="BS148" i="14"/>
  <c r="BT148" i="14"/>
  <c r="BO149" i="14"/>
  <c r="BP149" i="14"/>
  <c r="BQ149" i="14"/>
  <c r="BR149" i="14"/>
  <c r="BS149" i="14"/>
  <c r="BT149" i="14"/>
  <c r="BO150" i="14"/>
  <c r="BP150" i="14"/>
  <c r="BQ150" i="14"/>
  <c r="BR150" i="14"/>
  <c r="BS150" i="14"/>
  <c r="BT150" i="14"/>
  <c r="BO151" i="14"/>
  <c r="BP151" i="14"/>
  <c r="BQ151" i="14"/>
  <c r="BR151" i="14"/>
  <c r="BS151" i="14"/>
  <c r="BT151" i="14"/>
  <c r="BO152" i="14"/>
  <c r="BP152" i="14"/>
  <c r="BQ152" i="14"/>
  <c r="BR152" i="14"/>
  <c r="BS152" i="14"/>
  <c r="BT152" i="14"/>
  <c r="BO153" i="14"/>
  <c r="BP153" i="14"/>
  <c r="BQ153" i="14"/>
  <c r="BR153" i="14"/>
  <c r="BS153" i="14"/>
  <c r="BT153" i="14"/>
  <c r="BO154" i="14"/>
  <c r="BP154" i="14"/>
  <c r="BQ154" i="14"/>
  <c r="BR154" i="14"/>
  <c r="BS154" i="14"/>
  <c r="BT154" i="14"/>
  <c r="BO155" i="14"/>
  <c r="BP155" i="14"/>
  <c r="BQ155" i="14"/>
  <c r="BR155" i="14"/>
  <c r="BS155" i="14"/>
  <c r="BT155" i="14"/>
  <c r="BO156" i="14"/>
  <c r="BP156" i="14"/>
  <c r="BQ156" i="14"/>
  <c r="BR156" i="14"/>
  <c r="BS156" i="14"/>
  <c r="BT156" i="14"/>
  <c r="BO157" i="14"/>
  <c r="BP157" i="14"/>
  <c r="BQ157" i="14"/>
  <c r="BR157" i="14"/>
  <c r="BS157" i="14"/>
  <c r="BT157" i="14"/>
  <c r="BO158" i="14"/>
  <c r="BP158" i="14"/>
  <c r="BQ158" i="14"/>
  <c r="BR158" i="14"/>
  <c r="BS158" i="14"/>
  <c r="BT158" i="14"/>
  <c r="BO82" i="14"/>
  <c r="BP82" i="14"/>
  <c r="BQ82" i="14"/>
  <c r="BR82" i="14"/>
  <c r="BS82" i="14"/>
  <c r="BT82" i="14"/>
  <c r="BN83" i="14"/>
  <c r="BN84" i="14"/>
  <c r="BN85" i="14"/>
  <c r="BN86" i="14"/>
  <c r="BN87" i="14"/>
  <c r="BN88" i="14"/>
  <c r="BN89" i="14"/>
  <c r="BN90" i="14"/>
  <c r="BN91" i="14"/>
  <c r="BN92" i="14"/>
  <c r="BN93" i="14"/>
  <c r="BN94" i="14"/>
  <c r="BN95" i="14"/>
  <c r="BN96" i="14"/>
  <c r="BN97" i="14"/>
  <c r="BN98" i="14"/>
  <c r="BN99" i="14"/>
  <c r="BN100" i="14"/>
  <c r="BN101" i="14"/>
  <c r="BN102" i="14"/>
  <c r="BN103" i="14"/>
  <c r="BN104" i="14"/>
  <c r="BN105" i="14"/>
  <c r="BN106" i="14"/>
  <c r="BN107" i="14"/>
  <c r="BN108" i="14"/>
  <c r="BN109" i="14"/>
  <c r="BN110" i="14"/>
  <c r="BN111" i="14"/>
  <c r="BN112" i="14"/>
  <c r="BN113" i="14"/>
  <c r="BN114" i="14"/>
  <c r="BN115" i="14"/>
  <c r="BN116" i="14"/>
  <c r="BN117" i="14"/>
  <c r="BN118" i="14"/>
  <c r="BN119" i="14"/>
  <c r="BN120" i="14"/>
  <c r="BN121" i="14"/>
  <c r="BN122" i="14"/>
  <c r="BN123" i="14"/>
  <c r="BN124" i="14"/>
  <c r="BN125" i="14"/>
  <c r="BN126" i="14"/>
  <c r="BN127" i="14"/>
  <c r="BN128" i="14"/>
  <c r="BN129" i="14"/>
  <c r="BN130" i="14"/>
  <c r="BN131" i="14"/>
  <c r="BN132" i="14"/>
  <c r="BN133" i="14"/>
  <c r="BN134" i="14"/>
  <c r="BN135" i="14"/>
  <c r="BN136" i="14"/>
  <c r="BN137" i="14"/>
  <c r="BN138" i="14"/>
  <c r="BN139" i="14"/>
  <c r="BN140" i="14"/>
  <c r="BN141" i="14"/>
  <c r="BN142" i="14"/>
  <c r="BN143" i="14"/>
  <c r="BN144" i="14"/>
  <c r="BN145" i="14"/>
  <c r="BN146" i="14"/>
  <c r="BN147" i="14"/>
  <c r="BN148" i="14"/>
  <c r="BN149" i="14"/>
  <c r="BN150" i="14"/>
  <c r="BN151" i="14"/>
  <c r="BN152" i="14"/>
  <c r="BN153" i="14"/>
  <c r="BN154" i="14"/>
  <c r="BN155" i="14"/>
  <c r="BN156" i="14"/>
  <c r="BN157" i="14"/>
  <c r="BN158" i="14"/>
  <c r="BN82" i="14"/>
  <c r="BT78" i="14"/>
  <c r="S23" i="3"/>
  <c r="O18" i="1"/>
  <c r="O38" i="1" s="1"/>
  <c r="O61" i="1" s="1"/>
  <c r="F4" i="17"/>
  <c r="F37" i="16"/>
  <c r="BJ24" i="16"/>
  <c r="BR37" i="16"/>
  <c r="BL51" i="14"/>
  <c r="BK35" i="14"/>
  <c r="E7" i="14"/>
  <c r="S32" i="3"/>
  <c r="K32" i="3"/>
  <c r="K31" i="3"/>
  <c r="M25" i="3"/>
  <c r="F79" i="14" l="1"/>
  <c r="D79" i="14"/>
  <c r="D50" i="14"/>
  <c r="E50" i="14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F50" i="14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BF79" i="14"/>
  <c r="BG79" i="14"/>
  <c r="BH79" i="14"/>
  <c r="BI79" i="14"/>
  <c r="BJ79" i="14"/>
  <c r="BK79" i="14"/>
  <c r="BL79" i="14"/>
  <c r="BN79" i="14"/>
  <c r="BO79" i="14"/>
  <c r="BP79" i="14"/>
  <c r="BQ79" i="14"/>
  <c r="BR79" i="14"/>
  <c r="BS79" i="14"/>
  <c r="BT79" i="14"/>
  <c r="C79" i="14"/>
  <c r="BK77" i="14"/>
  <c r="BS78" i="14"/>
  <c r="BN48" i="14"/>
  <c r="BO48" i="14"/>
  <c r="BP48" i="14"/>
  <c r="BQ48" i="14"/>
  <c r="BR48" i="14"/>
  <c r="BS48" i="14"/>
  <c r="BT48" i="14"/>
  <c r="BN49" i="14"/>
  <c r="BO49" i="14"/>
  <c r="BP49" i="14"/>
  <c r="BQ49" i="14"/>
  <c r="BR49" i="14"/>
  <c r="BS49" i="14"/>
  <c r="BT49" i="14"/>
  <c r="BN50" i="14"/>
  <c r="BO50" i="14"/>
  <c r="BP50" i="14"/>
  <c r="BQ50" i="14"/>
  <c r="BR50" i="14"/>
  <c r="BS50" i="14"/>
  <c r="BT50" i="14"/>
  <c r="BN51" i="14"/>
  <c r="BO51" i="14"/>
  <c r="BP51" i="14"/>
  <c r="BQ51" i="14"/>
  <c r="BR51" i="14"/>
  <c r="BS51" i="14"/>
  <c r="BT51" i="14"/>
  <c r="BN52" i="14"/>
  <c r="BO52" i="14"/>
  <c r="BP52" i="14"/>
  <c r="BQ52" i="14"/>
  <c r="BR52" i="14"/>
  <c r="BS52" i="14"/>
  <c r="BT52" i="14"/>
  <c r="BN53" i="14"/>
  <c r="BO53" i="14"/>
  <c r="BP53" i="14"/>
  <c r="BQ53" i="14"/>
  <c r="BR53" i="14"/>
  <c r="BS53" i="14"/>
  <c r="BT53" i="14"/>
  <c r="BN54" i="14"/>
  <c r="BO54" i="14"/>
  <c r="BP54" i="14"/>
  <c r="BQ54" i="14"/>
  <c r="BR54" i="14"/>
  <c r="BS54" i="14"/>
  <c r="BT54" i="14"/>
  <c r="BN55" i="14"/>
  <c r="BO55" i="14"/>
  <c r="BP55" i="14"/>
  <c r="BQ55" i="14"/>
  <c r="BR55" i="14"/>
  <c r="BS55" i="14"/>
  <c r="BT55" i="14"/>
  <c r="BN56" i="14"/>
  <c r="BO56" i="14"/>
  <c r="BP56" i="14"/>
  <c r="BQ56" i="14"/>
  <c r="BR56" i="14"/>
  <c r="BS56" i="14"/>
  <c r="BT56" i="14"/>
  <c r="BN57" i="14"/>
  <c r="BO57" i="14"/>
  <c r="BP57" i="14"/>
  <c r="BQ57" i="14"/>
  <c r="BR57" i="14"/>
  <c r="BS57" i="14"/>
  <c r="BT57" i="14"/>
  <c r="BN58" i="14"/>
  <c r="BO58" i="14"/>
  <c r="BP58" i="14"/>
  <c r="BQ58" i="14"/>
  <c r="BR58" i="14"/>
  <c r="BS58" i="14"/>
  <c r="BT58" i="14"/>
  <c r="BN59" i="14"/>
  <c r="BO59" i="14"/>
  <c r="BP59" i="14"/>
  <c r="BQ59" i="14"/>
  <c r="BR59" i="14"/>
  <c r="BS59" i="14"/>
  <c r="BT59" i="14"/>
  <c r="BN60" i="14"/>
  <c r="BO60" i="14"/>
  <c r="BP60" i="14"/>
  <c r="BQ60" i="14"/>
  <c r="BR60" i="14"/>
  <c r="BS60" i="14"/>
  <c r="BT60" i="14"/>
  <c r="BN61" i="14"/>
  <c r="BO61" i="14"/>
  <c r="BP61" i="14"/>
  <c r="BQ61" i="14"/>
  <c r="BR61" i="14"/>
  <c r="BS61" i="14"/>
  <c r="BT61" i="14"/>
  <c r="BN62" i="14"/>
  <c r="BO62" i="14"/>
  <c r="BP62" i="14"/>
  <c r="BQ62" i="14"/>
  <c r="BR62" i="14"/>
  <c r="BS62" i="14"/>
  <c r="BT62" i="14"/>
  <c r="BN63" i="14"/>
  <c r="BO63" i="14"/>
  <c r="BP63" i="14"/>
  <c r="BQ63" i="14"/>
  <c r="BR63" i="14"/>
  <c r="BS63" i="14"/>
  <c r="BT63" i="14"/>
  <c r="BN64" i="14"/>
  <c r="BO64" i="14"/>
  <c r="BP64" i="14"/>
  <c r="BQ64" i="14"/>
  <c r="BR64" i="14"/>
  <c r="BS64" i="14"/>
  <c r="BT64" i="14"/>
  <c r="BN65" i="14"/>
  <c r="BO65" i="14"/>
  <c r="BP65" i="14"/>
  <c r="BQ65" i="14"/>
  <c r="BR65" i="14"/>
  <c r="BS65" i="14"/>
  <c r="BT65" i="14"/>
  <c r="BN66" i="14"/>
  <c r="BO66" i="14"/>
  <c r="BP66" i="14"/>
  <c r="BQ66" i="14"/>
  <c r="BR66" i="14"/>
  <c r="BS66" i="14"/>
  <c r="BT66" i="14"/>
  <c r="BN67" i="14"/>
  <c r="BO67" i="14"/>
  <c r="BP67" i="14"/>
  <c r="BQ67" i="14"/>
  <c r="BR67" i="14"/>
  <c r="BS67" i="14"/>
  <c r="BT67" i="14"/>
  <c r="BN68" i="14"/>
  <c r="BO68" i="14"/>
  <c r="BP68" i="14"/>
  <c r="BQ68" i="14"/>
  <c r="BR68" i="14"/>
  <c r="BS68" i="14"/>
  <c r="BT68" i="14"/>
  <c r="BN69" i="14"/>
  <c r="BO69" i="14"/>
  <c r="BP69" i="14"/>
  <c r="BQ69" i="14"/>
  <c r="BR69" i="14"/>
  <c r="BS69" i="14"/>
  <c r="BT69" i="14"/>
  <c r="BN70" i="14"/>
  <c r="BO70" i="14"/>
  <c r="BP70" i="14"/>
  <c r="BQ70" i="14"/>
  <c r="BR70" i="14"/>
  <c r="BS70" i="14"/>
  <c r="BT70" i="14"/>
  <c r="BN71" i="14"/>
  <c r="BO71" i="14"/>
  <c r="BP71" i="14"/>
  <c r="BQ71" i="14"/>
  <c r="BR71" i="14"/>
  <c r="BS71" i="14"/>
  <c r="BT71" i="14"/>
  <c r="BN72" i="14"/>
  <c r="BO72" i="14"/>
  <c r="BP72" i="14"/>
  <c r="BQ72" i="14"/>
  <c r="BR72" i="14"/>
  <c r="BS72" i="14"/>
  <c r="BT72" i="14"/>
  <c r="BN73" i="14"/>
  <c r="BO73" i="14"/>
  <c r="BP73" i="14"/>
  <c r="BQ73" i="14"/>
  <c r="BR73" i="14"/>
  <c r="BS73" i="14"/>
  <c r="BT73" i="14"/>
  <c r="BN74" i="14"/>
  <c r="BO74" i="14"/>
  <c r="BP74" i="14"/>
  <c r="BQ74" i="14"/>
  <c r="BR74" i="14"/>
  <c r="BS74" i="14"/>
  <c r="BT74" i="14"/>
  <c r="BN75" i="14"/>
  <c r="BO75" i="14"/>
  <c r="BP75" i="14"/>
  <c r="BQ75" i="14"/>
  <c r="BR75" i="14"/>
  <c r="BS75" i="14"/>
  <c r="BT75" i="14"/>
  <c r="BN76" i="14"/>
  <c r="BO76" i="14"/>
  <c r="BP76" i="14"/>
  <c r="BQ76" i="14"/>
  <c r="BR76" i="14"/>
  <c r="BS76" i="14"/>
  <c r="BT76" i="14"/>
  <c r="BN77" i="14"/>
  <c r="BO77" i="14"/>
  <c r="BP77" i="14"/>
  <c r="BQ77" i="14"/>
  <c r="BR77" i="14"/>
  <c r="BS77" i="14"/>
  <c r="BT77" i="14"/>
  <c r="BN78" i="14"/>
  <c r="BO78" i="14"/>
  <c r="BP78" i="14"/>
  <c r="BQ78" i="14"/>
  <c r="BR78" i="14"/>
  <c r="BL77" i="14"/>
  <c r="BF48" i="14"/>
  <c r="BG48" i="14"/>
  <c r="BH48" i="14"/>
  <c r="BI48" i="14"/>
  <c r="BJ48" i="14"/>
  <c r="BK48" i="14"/>
  <c r="BL48" i="14"/>
  <c r="BF49" i="14"/>
  <c r="BG49" i="14"/>
  <c r="BH49" i="14"/>
  <c r="BI49" i="14"/>
  <c r="BJ49" i="14"/>
  <c r="BK49" i="14"/>
  <c r="BL49" i="14"/>
  <c r="BF50" i="14"/>
  <c r="BG50" i="14"/>
  <c r="BH50" i="14"/>
  <c r="BI50" i="14"/>
  <c r="BJ50" i="14"/>
  <c r="BK50" i="14"/>
  <c r="BL50" i="14"/>
  <c r="BF51" i="14"/>
  <c r="BG51" i="14"/>
  <c r="BH51" i="14"/>
  <c r="BI51" i="14"/>
  <c r="BJ51" i="14"/>
  <c r="BK51" i="14"/>
  <c r="BF52" i="14"/>
  <c r="BG52" i="14"/>
  <c r="BH52" i="14"/>
  <c r="BI52" i="14"/>
  <c r="BJ52" i="14"/>
  <c r="BK52" i="14"/>
  <c r="BL52" i="14"/>
  <c r="BF53" i="14"/>
  <c r="BG53" i="14"/>
  <c r="BH53" i="14"/>
  <c r="BI53" i="14"/>
  <c r="BJ53" i="14"/>
  <c r="BK53" i="14"/>
  <c r="BL53" i="14"/>
  <c r="BF54" i="14"/>
  <c r="BG54" i="14"/>
  <c r="BH54" i="14"/>
  <c r="BI54" i="14"/>
  <c r="BJ54" i="14"/>
  <c r="BK54" i="14"/>
  <c r="BL54" i="14"/>
  <c r="BF55" i="14"/>
  <c r="BG55" i="14"/>
  <c r="BH55" i="14"/>
  <c r="BI55" i="14"/>
  <c r="BJ55" i="14"/>
  <c r="BK55" i="14"/>
  <c r="BL55" i="14"/>
  <c r="BF56" i="14"/>
  <c r="BG56" i="14"/>
  <c r="BH56" i="14"/>
  <c r="BI56" i="14"/>
  <c r="BJ56" i="14"/>
  <c r="BK56" i="14"/>
  <c r="BL56" i="14"/>
  <c r="BF57" i="14"/>
  <c r="BG57" i="14"/>
  <c r="BH57" i="14"/>
  <c r="BI57" i="14"/>
  <c r="BJ57" i="14"/>
  <c r="BK57" i="14"/>
  <c r="BL57" i="14"/>
  <c r="BF58" i="14"/>
  <c r="BG58" i="14"/>
  <c r="BH58" i="14"/>
  <c r="BI58" i="14"/>
  <c r="BJ58" i="14"/>
  <c r="BK58" i="14"/>
  <c r="BL58" i="14"/>
  <c r="BF59" i="14"/>
  <c r="BG59" i="14"/>
  <c r="BH59" i="14"/>
  <c r="BI59" i="14"/>
  <c r="BJ59" i="14"/>
  <c r="BK59" i="14"/>
  <c r="BL59" i="14"/>
  <c r="BF60" i="14"/>
  <c r="BG60" i="14"/>
  <c r="BH60" i="14"/>
  <c r="BI60" i="14"/>
  <c r="BJ60" i="14"/>
  <c r="BK60" i="14"/>
  <c r="BL60" i="14"/>
  <c r="BF61" i="14"/>
  <c r="BG61" i="14"/>
  <c r="BH61" i="14"/>
  <c r="BI61" i="14"/>
  <c r="BJ61" i="14"/>
  <c r="BK61" i="14"/>
  <c r="BL61" i="14"/>
  <c r="BF62" i="14"/>
  <c r="BG62" i="14"/>
  <c r="BH62" i="14"/>
  <c r="BI62" i="14"/>
  <c r="BJ62" i="14"/>
  <c r="BK62" i="14"/>
  <c r="BL62" i="14"/>
  <c r="BF63" i="14"/>
  <c r="BG63" i="14"/>
  <c r="BH63" i="14"/>
  <c r="BI63" i="14"/>
  <c r="BJ63" i="14"/>
  <c r="BK63" i="14"/>
  <c r="BL63" i="14"/>
  <c r="BF64" i="14"/>
  <c r="BG64" i="14"/>
  <c r="BH64" i="14"/>
  <c r="BI64" i="14"/>
  <c r="BJ64" i="14"/>
  <c r="BK64" i="14"/>
  <c r="BL64" i="14"/>
  <c r="BF65" i="14"/>
  <c r="BG65" i="14"/>
  <c r="BH65" i="14"/>
  <c r="BI65" i="14"/>
  <c r="BJ65" i="14"/>
  <c r="BK65" i="14"/>
  <c r="BL65" i="14"/>
  <c r="BF66" i="14"/>
  <c r="BG66" i="14"/>
  <c r="BH66" i="14"/>
  <c r="BI66" i="14"/>
  <c r="BJ66" i="14"/>
  <c r="BK66" i="14"/>
  <c r="BL66" i="14"/>
  <c r="BF67" i="14"/>
  <c r="BG67" i="14"/>
  <c r="BH67" i="14"/>
  <c r="BI67" i="14"/>
  <c r="BJ67" i="14"/>
  <c r="BK67" i="14"/>
  <c r="BL67" i="14"/>
  <c r="BF68" i="14"/>
  <c r="BG68" i="14"/>
  <c r="BH68" i="14"/>
  <c r="BI68" i="14"/>
  <c r="BJ68" i="14"/>
  <c r="BK68" i="14"/>
  <c r="BL68" i="14"/>
  <c r="BF69" i="14"/>
  <c r="BG69" i="14"/>
  <c r="BH69" i="14"/>
  <c r="BI69" i="14"/>
  <c r="BJ69" i="14"/>
  <c r="BK69" i="14"/>
  <c r="BL69" i="14"/>
  <c r="BF70" i="14"/>
  <c r="BG70" i="14"/>
  <c r="BH70" i="14"/>
  <c r="BI70" i="14"/>
  <c r="BJ70" i="14"/>
  <c r="BK70" i="14"/>
  <c r="BL70" i="14"/>
  <c r="BF71" i="14"/>
  <c r="BG71" i="14"/>
  <c r="BH71" i="14"/>
  <c r="BI71" i="14"/>
  <c r="BJ71" i="14"/>
  <c r="BK71" i="14"/>
  <c r="BL71" i="14"/>
  <c r="BF72" i="14"/>
  <c r="BG72" i="14"/>
  <c r="BH72" i="14"/>
  <c r="BI72" i="14"/>
  <c r="BJ72" i="14"/>
  <c r="BK72" i="14"/>
  <c r="BL72" i="14"/>
  <c r="BF73" i="14"/>
  <c r="BG73" i="14"/>
  <c r="BH73" i="14"/>
  <c r="BI73" i="14"/>
  <c r="BJ73" i="14"/>
  <c r="BK73" i="14"/>
  <c r="BL73" i="14"/>
  <c r="BF74" i="14"/>
  <c r="BG74" i="14"/>
  <c r="BH74" i="14"/>
  <c r="BI74" i="14"/>
  <c r="BJ74" i="14"/>
  <c r="BK74" i="14"/>
  <c r="BL74" i="14"/>
  <c r="BF75" i="14"/>
  <c r="BG75" i="14"/>
  <c r="BH75" i="14"/>
  <c r="BI75" i="14"/>
  <c r="BJ75" i="14"/>
  <c r="BK75" i="14"/>
  <c r="BL75" i="14"/>
  <c r="BF76" i="14"/>
  <c r="BG76" i="14"/>
  <c r="BH76" i="14"/>
  <c r="BI76" i="14"/>
  <c r="BJ76" i="14"/>
  <c r="BK76" i="14"/>
  <c r="BL76" i="14"/>
  <c r="BF77" i="14"/>
  <c r="BG77" i="14"/>
  <c r="BH77" i="14"/>
  <c r="BI77" i="14"/>
  <c r="BJ77" i="14"/>
  <c r="BF78" i="14"/>
  <c r="BG78" i="14"/>
  <c r="BH78" i="14"/>
  <c r="BI78" i="14"/>
  <c r="BJ78" i="14"/>
  <c r="BK78" i="14"/>
  <c r="BL78" i="14"/>
  <c r="C57" i="14"/>
  <c r="C58" i="14"/>
  <c r="C59" i="14"/>
  <c r="C60" i="14"/>
  <c r="C61" i="14"/>
  <c r="C62" i="14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51" i="14"/>
  <c r="C52" i="14" s="1"/>
  <c r="C53" i="14" s="1"/>
  <c r="C54" i="14" s="1"/>
  <c r="C55" i="14" s="1"/>
  <c r="C56" i="14" s="1"/>
  <c r="C50" i="14"/>
  <c r="F48" i="14"/>
  <c r="F49" i="14" s="1"/>
  <c r="D48" i="14"/>
  <c r="E48" i="14" s="1"/>
  <c r="E49" i="14" s="1"/>
  <c r="D49" i="14"/>
  <c r="BR47" i="14"/>
  <c r="BS47" i="14" l="1"/>
  <c r="BK47" i="14"/>
  <c r="BS46" i="14"/>
  <c r="BK46" i="14"/>
  <c r="BS45" i="14"/>
  <c r="BK45" i="14"/>
  <c r="BS44" i="14"/>
  <c r="BK44" i="14"/>
  <c r="BS43" i="14"/>
  <c r="BK43" i="14"/>
  <c r="BS42" i="14"/>
  <c r="BK42" i="14"/>
  <c r="BS41" i="14"/>
  <c r="BK41" i="14"/>
  <c r="BS40" i="14"/>
  <c r="BK40" i="14"/>
  <c r="BS39" i="14"/>
  <c r="BK39" i="14"/>
  <c r="BS38" i="14"/>
  <c r="BK38" i="14"/>
  <c r="BS37" i="14"/>
  <c r="BK37" i="14"/>
  <c r="BS36" i="14"/>
  <c r="BK36" i="14"/>
  <c r="BS35" i="14"/>
  <c r="BS34" i="14"/>
  <c r="BK34" i="14"/>
  <c r="BS33" i="14"/>
  <c r="BK33" i="14"/>
  <c r="BS32" i="14"/>
  <c r="BK32" i="14"/>
  <c r="BS31" i="14"/>
  <c r="BK31" i="14"/>
  <c r="BS30" i="14"/>
  <c r="BK30" i="14"/>
  <c r="BS29" i="14"/>
  <c r="BK29" i="14"/>
  <c r="BS28" i="14"/>
  <c r="BK28" i="14"/>
  <c r="BS27" i="14"/>
  <c r="BK27" i="14"/>
  <c r="BS26" i="14"/>
  <c r="BK26" i="14"/>
  <c r="BS25" i="14"/>
  <c r="BK25" i="14"/>
  <c r="BS24" i="14"/>
  <c r="BK24" i="14"/>
  <c r="BS23" i="14"/>
  <c r="BK23" i="14"/>
  <c r="BS22" i="14"/>
  <c r="BK22" i="14"/>
  <c r="BS21" i="14"/>
  <c r="BK21" i="14"/>
  <c r="BS20" i="14"/>
  <c r="BK20" i="14"/>
  <c r="BS19" i="14"/>
  <c r="BK19" i="14"/>
  <c r="BS18" i="14"/>
  <c r="BK18" i="14"/>
  <c r="BS17" i="14"/>
  <c r="BK17" i="14"/>
  <c r="BS16" i="14"/>
  <c r="BK16" i="14"/>
  <c r="BS15" i="14"/>
  <c r="BK15" i="14"/>
  <c r="BS14" i="14"/>
  <c r="BK14" i="14"/>
  <c r="BS13" i="14"/>
  <c r="BK13" i="14"/>
  <c r="BS12" i="14"/>
  <c r="BK12" i="14"/>
  <c r="BS11" i="14"/>
  <c r="BK11" i="14"/>
  <c r="BS10" i="14"/>
  <c r="BK10" i="14"/>
  <c r="BS9" i="14"/>
  <c r="BK9" i="14"/>
  <c r="BS8" i="14"/>
  <c r="BK8" i="14"/>
  <c r="BS7" i="14"/>
  <c r="BK7" i="14"/>
  <c r="BS6" i="14"/>
  <c r="BK6" i="14"/>
  <c r="BS5" i="14"/>
  <c r="BK5" i="14"/>
  <c r="BS4" i="14"/>
  <c r="BK4" i="14"/>
  <c r="BS3" i="14"/>
  <c r="BK3" i="14"/>
  <c r="BT47" i="14"/>
  <c r="BL47" i="14"/>
  <c r="BT46" i="14"/>
  <c r="BL46" i="14"/>
  <c r="BT45" i="14"/>
  <c r="BL45" i="14"/>
  <c r="BT44" i="14"/>
  <c r="BL44" i="14"/>
  <c r="BT43" i="14"/>
  <c r="BL43" i="14"/>
  <c r="BT42" i="14"/>
  <c r="BL42" i="14"/>
  <c r="BT41" i="14"/>
  <c r="BL41" i="14"/>
  <c r="BT40" i="14"/>
  <c r="BL40" i="14"/>
  <c r="BT39" i="14"/>
  <c r="BL39" i="14"/>
  <c r="BT38" i="14"/>
  <c r="BL38" i="14"/>
  <c r="BT37" i="14"/>
  <c r="BL37" i="14"/>
  <c r="BT36" i="14"/>
  <c r="BL36" i="14"/>
  <c r="BT35" i="14"/>
  <c r="BL35" i="14"/>
  <c r="BT34" i="14"/>
  <c r="BL34" i="14"/>
  <c r="BT33" i="14"/>
  <c r="BL33" i="14"/>
  <c r="BT32" i="14"/>
  <c r="BL32" i="14"/>
  <c r="BT31" i="14"/>
  <c r="BL31" i="14"/>
  <c r="BT30" i="14"/>
  <c r="BL30" i="14"/>
  <c r="BT29" i="14"/>
  <c r="BL29" i="14"/>
  <c r="BT28" i="14"/>
  <c r="BL28" i="14"/>
  <c r="BT27" i="14"/>
  <c r="BL27" i="14"/>
  <c r="BT26" i="14"/>
  <c r="BL26" i="14"/>
  <c r="BT25" i="14"/>
  <c r="BL25" i="14"/>
  <c r="BT24" i="14"/>
  <c r="BL24" i="14"/>
  <c r="BT23" i="14"/>
  <c r="BL23" i="14"/>
  <c r="BT22" i="14"/>
  <c r="BL22" i="14"/>
  <c r="BT21" i="14"/>
  <c r="BL21" i="14"/>
  <c r="BT20" i="14"/>
  <c r="BL20" i="14"/>
  <c r="BT19" i="14"/>
  <c r="BL19" i="14"/>
  <c r="BT18" i="14"/>
  <c r="BL18" i="14"/>
  <c r="BT17" i="14"/>
  <c r="BL17" i="14"/>
  <c r="BT16" i="14"/>
  <c r="BL16" i="14"/>
  <c r="BT15" i="14"/>
  <c r="BL15" i="14"/>
  <c r="BT14" i="14"/>
  <c r="BL14" i="14"/>
  <c r="BT13" i="14"/>
  <c r="BL13" i="14"/>
  <c r="BT12" i="14"/>
  <c r="BL12" i="14"/>
  <c r="BT11" i="14"/>
  <c r="BL11" i="14"/>
  <c r="BT10" i="14"/>
  <c r="BL10" i="14"/>
  <c r="BT9" i="14"/>
  <c r="BL9" i="14"/>
  <c r="BT8" i="14"/>
  <c r="BL8" i="14"/>
  <c r="BT7" i="14"/>
  <c r="BL7" i="14"/>
  <c r="BT6" i="14"/>
  <c r="BL6" i="14"/>
  <c r="BT5" i="14"/>
  <c r="BL5" i="14"/>
  <c r="BT4" i="14"/>
  <c r="BL4" i="14"/>
  <c r="BT3" i="14"/>
  <c r="BL3" i="14"/>
  <c r="T4" i="3" l="1"/>
  <c r="U4" i="3"/>
  <c r="T5" i="3"/>
  <c r="U5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U3" i="3"/>
  <c r="T3" i="3"/>
  <c r="F4" i="2" l="1"/>
  <c r="E10" i="2"/>
  <c r="F111" i="2"/>
  <c r="E7" i="1"/>
  <c r="F4" i="1"/>
  <c r="T64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3" i="2"/>
  <c r="O56" i="2"/>
  <c r="P56" i="2"/>
  <c r="Q56" i="2"/>
  <c r="R56" i="2"/>
  <c r="S56" i="2"/>
  <c r="O57" i="2"/>
  <c r="P57" i="2"/>
  <c r="Q57" i="2"/>
  <c r="R57" i="2"/>
  <c r="S57" i="2"/>
  <c r="O58" i="2"/>
  <c r="P58" i="2"/>
  <c r="Q58" i="2"/>
  <c r="R58" i="2"/>
  <c r="S58" i="2"/>
  <c r="O59" i="2"/>
  <c r="P59" i="2"/>
  <c r="Q59" i="2"/>
  <c r="R59" i="2"/>
  <c r="S59" i="2"/>
  <c r="O60" i="2"/>
  <c r="P60" i="2"/>
  <c r="Q60" i="2"/>
  <c r="R60" i="2"/>
  <c r="S60" i="2"/>
  <c r="O61" i="2"/>
  <c r="P61" i="2"/>
  <c r="Q61" i="2"/>
  <c r="R61" i="2"/>
  <c r="S61" i="2"/>
  <c r="O62" i="2"/>
  <c r="P62" i="2"/>
  <c r="Q62" i="2"/>
  <c r="R62" i="2"/>
  <c r="S62" i="2"/>
  <c r="O63" i="2"/>
  <c r="P63" i="2"/>
  <c r="Q63" i="2"/>
  <c r="R63" i="2"/>
  <c r="S63" i="2"/>
  <c r="O64" i="2"/>
  <c r="P64" i="2"/>
  <c r="Q64" i="2"/>
  <c r="R64" i="2"/>
  <c r="S64" i="2"/>
  <c r="O65" i="2"/>
  <c r="P65" i="2"/>
  <c r="Q65" i="2"/>
  <c r="R65" i="2"/>
  <c r="S65" i="2"/>
  <c r="O66" i="2"/>
  <c r="P66" i="2"/>
  <c r="Q66" i="2"/>
  <c r="R66" i="2"/>
  <c r="S66" i="2"/>
  <c r="O67" i="2"/>
  <c r="P67" i="2"/>
  <c r="Q67" i="2"/>
  <c r="R67" i="2"/>
  <c r="S67" i="2"/>
  <c r="O68" i="2"/>
  <c r="P68" i="2"/>
  <c r="Q68" i="2"/>
  <c r="R68" i="2"/>
  <c r="S68" i="2"/>
  <c r="O69" i="2"/>
  <c r="P69" i="2"/>
  <c r="Q69" i="2"/>
  <c r="R69" i="2"/>
  <c r="S69" i="2"/>
  <c r="O70" i="2"/>
  <c r="P70" i="2"/>
  <c r="Q70" i="2"/>
  <c r="R70" i="2"/>
  <c r="S70" i="2"/>
  <c r="O71" i="2"/>
  <c r="P71" i="2"/>
  <c r="Q71" i="2"/>
  <c r="R71" i="2"/>
  <c r="S71" i="2"/>
  <c r="O72" i="2"/>
  <c r="P72" i="2"/>
  <c r="Q72" i="2"/>
  <c r="R72" i="2"/>
  <c r="S72" i="2"/>
  <c r="O73" i="2"/>
  <c r="P73" i="2"/>
  <c r="Q73" i="2"/>
  <c r="R73" i="2"/>
  <c r="S73" i="2"/>
  <c r="O74" i="2"/>
  <c r="P74" i="2"/>
  <c r="Q74" i="2"/>
  <c r="R74" i="2"/>
  <c r="S74" i="2"/>
  <c r="O75" i="2"/>
  <c r="P75" i="2"/>
  <c r="Q75" i="2"/>
  <c r="R75" i="2"/>
  <c r="S75" i="2"/>
  <c r="O76" i="2"/>
  <c r="P76" i="2"/>
  <c r="Q76" i="2"/>
  <c r="R76" i="2"/>
  <c r="S76" i="2"/>
  <c r="O77" i="2"/>
  <c r="P77" i="2"/>
  <c r="Q77" i="2"/>
  <c r="R77" i="2"/>
  <c r="S77" i="2"/>
  <c r="O78" i="2"/>
  <c r="P78" i="2"/>
  <c r="Q78" i="2"/>
  <c r="R78" i="2"/>
  <c r="S78" i="2"/>
  <c r="O79" i="2"/>
  <c r="P79" i="2"/>
  <c r="Q79" i="2"/>
  <c r="R79" i="2"/>
  <c r="S79" i="2"/>
  <c r="O80" i="2"/>
  <c r="P80" i="2"/>
  <c r="Q80" i="2"/>
  <c r="R80" i="2"/>
  <c r="S80" i="2"/>
  <c r="O81" i="2"/>
  <c r="P81" i="2"/>
  <c r="Q81" i="2"/>
  <c r="R81" i="2"/>
  <c r="S81" i="2"/>
  <c r="O82" i="2"/>
  <c r="P82" i="2"/>
  <c r="Q82" i="2"/>
  <c r="R82" i="2"/>
  <c r="S82" i="2"/>
  <c r="O83" i="2"/>
  <c r="P83" i="2"/>
  <c r="Q83" i="2"/>
  <c r="R83" i="2"/>
  <c r="S83" i="2"/>
  <c r="O84" i="2"/>
  <c r="P84" i="2"/>
  <c r="Q84" i="2"/>
  <c r="R84" i="2"/>
  <c r="S84" i="2"/>
  <c r="O85" i="2"/>
  <c r="P85" i="2"/>
  <c r="Q85" i="2"/>
  <c r="R85" i="2"/>
  <c r="S85" i="2"/>
  <c r="O86" i="2"/>
  <c r="P86" i="2"/>
  <c r="Q86" i="2"/>
  <c r="R86" i="2"/>
  <c r="S86" i="2"/>
  <c r="O87" i="2"/>
  <c r="P87" i="2"/>
  <c r="Q87" i="2"/>
  <c r="R87" i="2"/>
  <c r="S87" i="2"/>
  <c r="O88" i="2"/>
  <c r="P88" i="2"/>
  <c r="Q88" i="2"/>
  <c r="R88" i="2"/>
  <c r="S88" i="2"/>
  <c r="O89" i="2"/>
  <c r="P89" i="2"/>
  <c r="Q89" i="2"/>
  <c r="R89" i="2"/>
  <c r="S89" i="2"/>
  <c r="O90" i="2"/>
  <c r="P90" i="2"/>
  <c r="Q90" i="2"/>
  <c r="R90" i="2"/>
  <c r="S90" i="2"/>
  <c r="O91" i="2"/>
  <c r="P91" i="2"/>
  <c r="Q91" i="2"/>
  <c r="R91" i="2"/>
  <c r="S91" i="2"/>
  <c r="O92" i="2"/>
  <c r="P92" i="2"/>
  <c r="Q92" i="2"/>
  <c r="R92" i="2"/>
  <c r="S92" i="2"/>
  <c r="O93" i="2"/>
  <c r="P93" i="2"/>
  <c r="Q93" i="2"/>
  <c r="R93" i="2"/>
  <c r="S93" i="2"/>
  <c r="O94" i="2"/>
  <c r="P94" i="2"/>
  <c r="Q94" i="2"/>
  <c r="R94" i="2"/>
  <c r="S94" i="2"/>
  <c r="O95" i="2"/>
  <c r="P95" i="2"/>
  <c r="Q95" i="2"/>
  <c r="R95" i="2"/>
  <c r="S95" i="2"/>
  <c r="O96" i="2"/>
  <c r="P96" i="2"/>
  <c r="Q96" i="2"/>
  <c r="R96" i="2"/>
  <c r="S96" i="2"/>
  <c r="O97" i="2"/>
  <c r="P97" i="2"/>
  <c r="Q97" i="2"/>
  <c r="R97" i="2"/>
  <c r="S97" i="2"/>
  <c r="O98" i="2"/>
  <c r="P98" i="2"/>
  <c r="Q98" i="2"/>
  <c r="R98" i="2"/>
  <c r="S98" i="2"/>
  <c r="O99" i="2"/>
  <c r="P99" i="2"/>
  <c r="Q99" i="2"/>
  <c r="R99" i="2"/>
  <c r="S99" i="2"/>
  <c r="O100" i="2"/>
  <c r="P100" i="2"/>
  <c r="Q100" i="2"/>
  <c r="R100" i="2"/>
  <c r="S100" i="2"/>
  <c r="O101" i="2"/>
  <c r="P101" i="2"/>
  <c r="Q101" i="2"/>
  <c r="R101" i="2"/>
  <c r="S101" i="2"/>
  <c r="O102" i="2"/>
  <c r="P102" i="2"/>
  <c r="Q102" i="2"/>
  <c r="R102" i="2"/>
  <c r="S102" i="2"/>
  <c r="O103" i="2"/>
  <c r="P103" i="2"/>
  <c r="Q103" i="2"/>
  <c r="R103" i="2"/>
  <c r="S103" i="2"/>
  <c r="O104" i="2"/>
  <c r="P104" i="2"/>
  <c r="Q104" i="2"/>
  <c r="R104" i="2"/>
  <c r="S104" i="2"/>
  <c r="O105" i="2"/>
  <c r="P105" i="2"/>
  <c r="Q105" i="2"/>
  <c r="R105" i="2"/>
  <c r="S105" i="2"/>
  <c r="O106" i="2"/>
  <c r="P106" i="2"/>
  <c r="Q106" i="2"/>
  <c r="R106" i="2"/>
  <c r="S106" i="2"/>
  <c r="O107" i="2"/>
  <c r="P107" i="2"/>
  <c r="Q107" i="2"/>
  <c r="R107" i="2"/>
  <c r="S107" i="2"/>
  <c r="O108" i="2"/>
  <c r="P108" i="2"/>
  <c r="Q108" i="2"/>
  <c r="R108" i="2"/>
  <c r="S108" i="2"/>
  <c r="O109" i="2"/>
  <c r="P109" i="2"/>
  <c r="Q109" i="2"/>
  <c r="R109" i="2"/>
  <c r="S109" i="2"/>
  <c r="O110" i="2"/>
  <c r="P110" i="2"/>
  <c r="Q110" i="2"/>
  <c r="R110" i="2"/>
  <c r="S110" i="2"/>
  <c r="O111" i="2"/>
  <c r="P111" i="2"/>
  <c r="Q111" i="2"/>
  <c r="R111" i="2"/>
  <c r="S111" i="2"/>
  <c r="O112" i="2"/>
  <c r="P112" i="2"/>
  <c r="Q112" i="2"/>
  <c r="R112" i="2"/>
  <c r="S112" i="2"/>
  <c r="O113" i="2"/>
  <c r="P113" i="2"/>
  <c r="Q113" i="2"/>
  <c r="R113" i="2"/>
  <c r="S113" i="2"/>
  <c r="O114" i="2"/>
  <c r="P114" i="2"/>
  <c r="Q114" i="2"/>
  <c r="R114" i="2"/>
  <c r="S114" i="2"/>
  <c r="O115" i="2"/>
  <c r="P115" i="2"/>
  <c r="Q115" i="2"/>
  <c r="R115" i="2"/>
  <c r="S115" i="2"/>
  <c r="O116" i="2"/>
  <c r="P116" i="2"/>
  <c r="Q116" i="2"/>
  <c r="R116" i="2"/>
  <c r="S116" i="2"/>
  <c r="O117" i="2"/>
  <c r="P117" i="2"/>
  <c r="Q117" i="2"/>
  <c r="R117" i="2"/>
  <c r="S117" i="2"/>
  <c r="O118" i="2"/>
  <c r="P118" i="2"/>
  <c r="Q118" i="2"/>
  <c r="R118" i="2"/>
  <c r="S118" i="2"/>
  <c r="O119" i="2"/>
  <c r="P119" i="2"/>
  <c r="Q119" i="2"/>
  <c r="R119" i="2"/>
  <c r="S119" i="2"/>
  <c r="O120" i="2"/>
  <c r="P120" i="2"/>
  <c r="Q120" i="2"/>
  <c r="R120" i="2"/>
  <c r="S120" i="2"/>
  <c r="O121" i="2"/>
  <c r="P121" i="2"/>
  <c r="Q121" i="2"/>
  <c r="R121" i="2"/>
  <c r="S121" i="2"/>
  <c r="O122" i="2"/>
  <c r="P122" i="2"/>
  <c r="Q122" i="2"/>
  <c r="R122" i="2"/>
  <c r="S122" i="2"/>
  <c r="O123" i="2"/>
  <c r="P123" i="2"/>
  <c r="Q123" i="2"/>
  <c r="R123" i="2"/>
  <c r="S123" i="2"/>
  <c r="O124" i="2"/>
  <c r="P124" i="2"/>
  <c r="Q124" i="2"/>
  <c r="R124" i="2"/>
  <c r="S124" i="2"/>
  <c r="O125" i="2"/>
  <c r="P125" i="2"/>
  <c r="Q125" i="2"/>
  <c r="R125" i="2"/>
  <c r="S125" i="2"/>
  <c r="O126" i="2"/>
  <c r="P126" i="2"/>
  <c r="Q126" i="2"/>
  <c r="R126" i="2"/>
  <c r="S126" i="2"/>
  <c r="O127" i="2"/>
  <c r="P127" i="2"/>
  <c r="Q127" i="2"/>
  <c r="R127" i="2"/>
  <c r="S127" i="2"/>
  <c r="O128" i="2"/>
  <c r="P128" i="2"/>
  <c r="Q128" i="2"/>
  <c r="R128" i="2"/>
  <c r="S128" i="2"/>
  <c r="O129" i="2"/>
  <c r="P129" i="2"/>
  <c r="Q129" i="2"/>
  <c r="R129" i="2"/>
  <c r="S129" i="2"/>
  <c r="O130" i="2"/>
  <c r="P130" i="2"/>
  <c r="Q130" i="2"/>
  <c r="R130" i="2"/>
  <c r="S130" i="2"/>
  <c r="O131" i="2"/>
  <c r="P131" i="2"/>
  <c r="Q131" i="2"/>
  <c r="R131" i="2"/>
  <c r="S131" i="2"/>
  <c r="O132" i="2"/>
  <c r="P132" i="2"/>
  <c r="Q132" i="2"/>
  <c r="R132" i="2"/>
  <c r="S132" i="2"/>
  <c r="O133" i="2"/>
  <c r="P133" i="2"/>
  <c r="Q133" i="2"/>
  <c r="R133" i="2"/>
  <c r="S133" i="2"/>
  <c r="O134" i="2"/>
  <c r="P134" i="2"/>
  <c r="Q134" i="2"/>
  <c r="R134" i="2"/>
  <c r="S134" i="2"/>
  <c r="O135" i="2"/>
  <c r="P135" i="2"/>
  <c r="Q135" i="2"/>
  <c r="R135" i="2"/>
  <c r="S135" i="2"/>
  <c r="O136" i="2"/>
  <c r="P136" i="2"/>
  <c r="Q136" i="2"/>
  <c r="R136" i="2"/>
  <c r="S136" i="2"/>
  <c r="O137" i="2"/>
  <c r="P137" i="2"/>
  <c r="Q137" i="2"/>
  <c r="R137" i="2"/>
  <c r="S137" i="2"/>
  <c r="O138" i="2"/>
  <c r="P138" i="2"/>
  <c r="Q138" i="2"/>
  <c r="R138" i="2"/>
  <c r="S138" i="2"/>
  <c r="O139" i="2"/>
  <c r="P139" i="2"/>
  <c r="Q139" i="2"/>
  <c r="R139" i="2"/>
  <c r="S139" i="2"/>
  <c r="O140" i="2"/>
  <c r="P140" i="2"/>
  <c r="Q140" i="2"/>
  <c r="R140" i="2"/>
  <c r="S140" i="2"/>
  <c r="O141" i="2"/>
  <c r="P141" i="2"/>
  <c r="Q141" i="2"/>
  <c r="R141" i="2"/>
  <c r="S141" i="2"/>
  <c r="O142" i="2"/>
  <c r="P142" i="2"/>
  <c r="Q142" i="2"/>
  <c r="R142" i="2"/>
  <c r="S142" i="2"/>
  <c r="G56" i="2"/>
  <c r="H56" i="2"/>
  <c r="I56" i="2"/>
  <c r="J56" i="2"/>
  <c r="K56" i="2"/>
  <c r="L56" i="2"/>
  <c r="M56" i="2"/>
  <c r="G57" i="2"/>
  <c r="H57" i="2"/>
  <c r="I57" i="2"/>
  <c r="J57" i="2"/>
  <c r="K57" i="2"/>
  <c r="L57" i="2"/>
  <c r="M57" i="2"/>
  <c r="G58" i="2"/>
  <c r="H58" i="2"/>
  <c r="I58" i="2"/>
  <c r="J58" i="2"/>
  <c r="K58" i="2"/>
  <c r="L58" i="2"/>
  <c r="M58" i="2"/>
  <c r="G59" i="2"/>
  <c r="H59" i="2"/>
  <c r="I59" i="2"/>
  <c r="J59" i="2"/>
  <c r="K59" i="2"/>
  <c r="L59" i="2"/>
  <c r="M59" i="2"/>
  <c r="G60" i="2"/>
  <c r="H60" i="2"/>
  <c r="I60" i="2"/>
  <c r="J60" i="2"/>
  <c r="K60" i="2"/>
  <c r="L60" i="2"/>
  <c r="M60" i="2"/>
  <c r="G61" i="2"/>
  <c r="H61" i="2"/>
  <c r="I61" i="2"/>
  <c r="J61" i="2"/>
  <c r="K61" i="2"/>
  <c r="L61" i="2"/>
  <c r="M61" i="2"/>
  <c r="G62" i="2"/>
  <c r="H62" i="2"/>
  <c r="I62" i="2"/>
  <c r="J62" i="2"/>
  <c r="K62" i="2"/>
  <c r="L62" i="2"/>
  <c r="M62" i="2"/>
  <c r="G63" i="2"/>
  <c r="H63" i="2"/>
  <c r="I63" i="2"/>
  <c r="J63" i="2"/>
  <c r="K63" i="2"/>
  <c r="L63" i="2"/>
  <c r="M63" i="2"/>
  <c r="G64" i="2"/>
  <c r="H64" i="2"/>
  <c r="I64" i="2"/>
  <c r="J64" i="2"/>
  <c r="K64" i="2"/>
  <c r="L64" i="2"/>
  <c r="M64" i="2"/>
  <c r="G65" i="2"/>
  <c r="H65" i="2"/>
  <c r="I65" i="2"/>
  <c r="J65" i="2"/>
  <c r="K65" i="2"/>
  <c r="L65" i="2"/>
  <c r="M65" i="2"/>
  <c r="G66" i="2"/>
  <c r="H66" i="2"/>
  <c r="I66" i="2"/>
  <c r="J66" i="2"/>
  <c r="K66" i="2"/>
  <c r="L66" i="2"/>
  <c r="M66" i="2"/>
  <c r="G67" i="2"/>
  <c r="H67" i="2"/>
  <c r="I67" i="2"/>
  <c r="J67" i="2"/>
  <c r="K67" i="2"/>
  <c r="L67" i="2"/>
  <c r="M67" i="2"/>
  <c r="G68" i="2"/>
  <c r="H68" i="2"/>
  <c r="I68" i="2"/>
  <c r="J68" i="2"/>
  <c r="K68" i="2"/>
  <c r="L68" i="2"/>
  <c r="M68" i="2"/>
  <c r="G69" i="2"/>
  <c r="H69" i="2"/>
  <c r="I69" i="2"/>
  <c r="J69" i="2"/>
  <c r="K69" i="2"/>
  <c r="L69" i="2"/>
  <c r="M69" i="2"/>
  <c r="G70" i="2"/>
  <c r="H70" i="2"/>
  <c r="I70" i="2"/>
  <c r="J70" i="2"/>
  <c r="K70" i="2"/>
  <c r="L70" i="2"/>
  <c r="M70" i="2"/>
  <c r="G71" i="2"/>
  <c r="H71" i="2"/>
  <c r="I71" i="2"/>
  <c r="J71" i="2"/>
  <c r="K71" i="2"/>
  <c r="L71" i="2"/>
  <c r="M71" i="2"/>
  <c r="G72" i="2"/>
  <c r="H72" i="2"/>
  <c r="I72" i="2"/>
  <c r="J72" i="2"/>
  <c r="K72" i="2"/>
  <c r="L72" i="2"/>
  <c r="M72" i="2"/>
  <c r="G73" i="2"/>
  <c r="H73" i="2"/>
  <c r="I73" i="2"/>
  <c r="J73" i="2"/>
  <c r="K73" i="2"/>
  <c r="L73" i="2"/>
  <c r="M73" i="2"/>
  <c r="G74" i="2"/>
  <c r="H74" i="2"/>
  <c r="I74" i="2"/>
  <c r="J74" i="2"/>
  <c r="K74" i="2"/>
  <c r="L74" i="2"/>
  <c r="M74" i="2"/>
  <c r="G75" i="2"/>
  <c r="H75" i="2"/>
  <c r="I75" i="2"/>
  <c r="J75" i="2"/>
  <c r="K75" i="2"/>
  <c r="L75" i="2"/>
  <c r="M75" i="2"/>
  <c r="G76" i="2"/>
  <c r="H76" i="2"/>
  <c r="I76" i="2"/>
  <c r="J76" i="2"/>
  <c r="K76" i="2"/>
  <c r="L76" i="2"/>
  <c r="M76" i="2"/>
  <c r="G77" i="2"/>
  <c r="H77" i="2"/>
  <c r="I77" i="2"/>
  <c r="J77" i="2"/>
  <c r="K77" i="2"/>
  <c r="L77" i="2"/>
  <c r="M77" i="2"/>
  <c r="G78" i="2"/>
  <c r="H78" i="2"/>
  <c r="I78" i="2"/>
  <c r="J78" i="2"/>
  <c r="K78" i="2"/>
  <c r="L78" i="2"/>
  <c r="M78" i="2"/>
  <c r="G79" i="2"/>
  <c r="H79" i="2"/>
  <c r="I79" i="2"/>
  <c r="J79" i="2"/>
  <c r="K79" i="2"/>
  <c r="L79" i="2"/>
  <c r="M79" i="2"/>
  <c r="G80" i="2"/>
  <c r="H80" i="2"/>
  <c r="I80" i="2"/>
  <c r="J80" i="2"/>
  <c r="K80" i="2"/>
  <c r="L80" i="2"/>
  <c r="M80" i="2"/>
  <c r="G81" i="2"/>
  <c r="H81" i="2"/>
  <c r="I81" i="2"/>
  <c r="J81" i="2"/>
  <c r="K81" i="2"/>
  <c r="L81" i="2"/>
  <c r="M81" i="2"/>
  <c r="G82" i="2"/>
  <c r="H82" i="2"/>
  <c r="I82" i="2"/>
  <c r="J82" i="2"/>
  <c r="K82" i="2"/>
  <c r="L82" i="2"/>
  <c r="M82" i="2"/>
  <c r="G83" i="2"/>
  <c r="H83" i="2"/>
  <c r="I83" i="2"/>
  <c r="J83" i="2"/>
  <c r="K83" i="2"/>
  <c r="L83" i="2"/>
  <c r="M83" i="2"/>
  <c r="G84" i="2"/>
  <c r="H84" i="2"/>
  <c r="I84" i="2"/>
  <c r="J84" i="2"/>
  <c r="K84" i="2"/>
  <c r="L84" i="2"/>
  <c r="M84" i="2"/>
  <c r="G85" i="2"/>
  <c r="H85" i="2"/>
  <c r="I85" i="2"/>
  <c r="J85" i="2"/>
  <c r="K85" i="2"/>
  <c r="L85" i="2"/>
  <c r="M85" i="2"/>
  <c r="G86" i="2"/>
  <c r="H86" i="2"/>
  <c r="I86" i="2"/>
  <c r="J86" i="2"/>
  <c r="K86" i="2"/>
  <c r="L86" i="2"/>
  <c r="M86" i="2"/>
  <c r="G87" i="2"/>
  <c r="H87" i="2"/>
  <c r="I87" i="2"/>
  <c r="J87" i="2"/>
  <c r="K87" i="2"/>
  <c r="L87" i="2"/>
  <c r="M87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G102" i="2"/>
  <c r="H102" i="2"/>
  <c r="I102" i="2"/>
  <c r="J102" i="2"/>
  <c r="K102" i="2"/>
  <c r="L102" i="2"/>
  <c r="M102" i="2"/>
  <c r="G103" i="2"/>
  <c r="H103" i="2"/>
  <c r="I103" i="2"/>
  <c r="J103" i="2"/>
  <c r="K103" i="2"/>
  <c r="L103" i="2"/>
  <c r="M103" i="2"/>
  <c r="G104" i="2"/>
  <c r="H104" i="2"/>
  <c r="I104" i="2"/>
  <c r="J104" i="2"/>
  <c r="K104" i="2"/>
  <c r="L104" i="2"/>
  <c r="M104" i="2"/>
  <c r="G105" i="2"/>
  <c r="H105" i="2"/>
  <c r="I105" i="2"/>
  <c r="J105" i="2"/>
  <c r="K105" i="2"/>
  <c r="L105" i="2"/>
  <c r="M105" i="2"/>
  <c r="G106" i="2"/>
  <c r="H106" i="2"/>
  <c r="I106" i="2"/>
  <c r="J106" i="2"/>
  <c r="K106" i="2"/>
  <c r="L106" i="2"/>
  <c r="M106" i="2"/>
  <c r="G107" i="2"/>
  <c r="H107" i="2"/>
  <c r="I107" i="2"/>
  <c r="J107" i="2"/>
  <c r="K107" i="2"/>
  <c r="L107" i="2"/>
  <c r="M107" i="2"/>
  <c r="G108" i="2"/>
  <c r="H108" i="2"/>
  <c r="I108" i="2"/>
  <c r="J108" i="2"/>
  <c r="K108" i="2"/>
  <c r="L108" i="2"/>
  <c r="M108" i="2"/>
  <c r="G109" i="2"/>
  <c r="H109" i="2"/>
  <c r="I109" i="2"/>
  <c r="J109" i="2"/>
  <c r="K109" i="2"/>
  <c r="L109" i="2"/>
  <c r="M109" i="2"/>
  <c r="G110" i="2"/>
  <c r="H110" i="2"/>
  <c r="I110" i="2"/>
  <c r="J110" i="2"/>
  <c r="K110" i="2"/>
  <c r="L110" i="2"/>
  <c r="M110" i="2"/>
  <c r="G111" i="2"/>
  <c r="H111" i="2"/>
  <c r="I111" i="2"/>
  <c r="J111" i="2"/>
  <c r="K111" i="2"/>
  <c r="L111" i="2"/>
  <c r="M111" i="2"/>
  <c r="G112" i="2"/>
  <c r="H112" i="2"/>
  <c r="I112" i="2"/>
  <c r="J112" i="2"/>
  <c r="K112" i="2"/>
  <c r="L112" i="2"/>
  <c r="M112" i="2"/>
  <c r="G113" i="2"/>
  <c r="H113" i="2"/>
  <c r="I113" i="2"/>
  <c r="J113" i="2"/>
  <c r="K113" i="2"/>
  <c r="L113" i="2"/>
  <c r="M113" i="2"/>
  <c r="G114" i="2"/>
  <c r="H114" i="2"/>
  <c r="I114" i="2"/>
  <c r="J114" i="2"/>
  <c r="K114" i="2"/>
  <c r="L114" i="2"/>
  <c r="M114" i="2"/>
  <c r="G115" i="2"/>
  <c r="H115" i="2"/>
  <c r="I115" i="2"/>
  <c r="J115" i="2"/>
  <c r="K115" i="2"/>
  <c r="L115" i="2"/>
  <c r="M115" i="2"/>
  <c r="G116" i="2"/>
  <c r="H116" i="2"/>
  <c r="I116" i="2"/>
  <c r="J116" i="2"/>
  <c r="K116" i="2"/>
  <c r="L116" i="2"/>
  <c r="M116" i="2"/>
  <c r="G117" i="2"/>
  <c r="H117" i="2"/>
  <c r="I117" i="2"/>
  <c r="J117" i="2"/>
  <c r="K117" i="2"/>
  <c r="L117" i="2"/>
  <c r="M117" i="2"/>
  <c r="G118" i="2"/>
  <c r="H118" i="2"/>
  <c r="I118" i="2"/>
  <c r="J118" i="2"/>
  <c r="K118" i="2"/>
  <c r="L118" i="2"/>
  <c r="M118" i="2"/>
  <c r="G119" i="2"/>
  <c r="H119" i="2"/>
  <c r="I119" i="2"/>
  <c r="J119" i="2"/>
  <c r="K119" i="2"/>
  <c r="L119" i="2"/>
  <c r="M119" i="2"/>
  <c r="G120" i="2"/>
  <c r="H120" i="2"/>
  <c r="I120" i="2"/>
  <c r="J120" i="2"/>
  <c r="K120" i="2"/>
  <c r="L120" i="2"/>
  <c r="M120" i="2"/>
  <c r="G121" i="2"/>
  <c r="H121" i="2"/>
  <c r="I121" i="2"/>
  <c r="J121" i="2"/>
  <c r="K121" i="2"/>
  <c r="L121" i="2"/>
  <c r="M121" i="2"/>
  <c r="G122" i="2"/>
  <c r="H122" i="2"/>
  <c r="I122" i="2"/>
  <c r="J122" i="2"/>
  <c r="K122" i="2"/>
  <c r="L122" i="2"/>
  <c r="M122" i="2"/>
  <c r="G123" i="2"/>
  <c r="H123" i="2"/>
  <c r="I123" i="2"/>
  <c r="J123" i="2"/>
  <c r="K123" i="2"/>
  <c r="L123" i="2"/>
  <c r="M123" i="2"/>
  <c r="G124" i="2"/>
  <c r="H124" i="2"/>
  <c r="I124" i="2"/>
  <c r="J124" i="2"/>
  <c r="K124" i="2"/>
  <c r="L124" i="2"/>
  <c r="M124" i="2"/>
  <c r="G125" i="2"/>
  <c r="H125" i="2"/>
  <c r="I125" i="2"/>
  <c r="J125" i="2"/>
  <c r="K125" i="2"/>
  <c r="L125" i="2"/>
  <c r="M125" i="2"/>
  <c r="G126" i="2"/>
  <c r="H126" i="2"/>
  <c r="I126" i="2"/>
  <c r="J126" i="2"/>
  <c r="K126" i="2"/>
  <c r="L126" i="2"/>
  <c r="M126" i="2"/>
  <c r="G127" i="2"/>
  <c r="H127" i="2"/>
  <c r="I127" i="2"/>
  <c r="J127" i="2"/>
  <c r="K127" i="2"/>
  <c r="L127" i="2"/>
  <c r="M127" i="2"/>
  <c r="G128" i="2"/>
  <c r="H128" i="2"/>
  <c r="I128" i="2"/>
  <c r="J128" i="2"/>
  <c r="K128" i="2"/>
  <c r="L128" i="2"/>
  <c r="M128" i="2"/>
  <c r="G129" i="2"/>
  <c r="H129" i="2"/>
  <c r="I129" i="2"/>
  <c r="J129" i="2"/>
  <c r="K129" i="2"/>
  <c r="L129" i="2"/>
  <c r="M129" i="2"/>
  <c r="G130" i="2"/>
  <c r="H130" i="2"/>
  <c r="I130" i="2"/>
  <c r="J130" i="2"/>
  <c r="K130" i="2"/>
  <c r="L130" i="2"/>
  <c r="M130" i="2"/>
  <c r="G131" i="2"/>
  <c r="H131" i="2"/>
  <c r="I131" i="2"/>
  <c r="J131" i="2"/>
  <c r="K131" i="2"/>
  <c r="L131" i="2"/>
  <c r="M131" i="2"/>
  <c r="G132" i="2"/>
  <c r="H132" i="2"/>
  <c r="I132" i="2"/>
  <c r="J132" i="2"/>
  <c r="K132" i="2"/>
  <c r="L132" i="2"/>
  <c r="M132" i="2"/>
  <c r="G133" i="2"/>
  <c r="H133" i="2"/>
  <c r="I133" i="2"/>
  <c r="J133" i="2"/>
  <c r="K133" i="2"/>
  <c r="L133" i="2"/>
  <c r="M133" i="2"/>
  <c r="G134" i="2"/>
  <c r="H134" i="2"/>
  <c r="I134" i="2"/>
  <c r="J134" i="2"/>
  <c r="K134" i="2"/>
  <c r="L134" i="2"/>
  <c r="M134" i="2"/>
  <c r="G135" i="2"/>
  <c r="H135" i="2"/>
  <c r="I135" i="2"/>
  <c r="J135" i="2"/>
  <c r="K135" i="2"/>
  <c r="L135" i="2"/>
  <c r="M135" i="2"/>
  <c r="G136" i="2"/>
  <c r="H136" i="2"/>
  <c r="I136" i="2"/>
  <c r="J136" i="2"/>
  <c r="K136" i="2"/>
  <c r="L136" i="2"/>
  <c r="M136" i="2"/>
  <c r="G137" i="2"/>
  <c r="H137" i="2"/>
  <c r="I137" i="2"/>
  <c r="J137" i="2"/>
  <c r="K137" i="2"/>
  <c r="L137" i="2"/>
  <c r="M137" i="2"/>
  <c r="G138" i="2"/>
  <c r="H138" i="2"/>
  <c r="I138" i="2"/>
  <c r="J138" i="2"/>
  <c r="K138" i="2"/>
  <c r="L138" i="2"/>
  <c r="M138" i="2"/>
  <c r="G139" i="2"/>
  <c r="H139" i="2"/>
  <c r="I139" i="2"/>
  <c r="J139" i="2"/>
  <c r="K139" i="2"/>
  <c r="L139" i="2"/>
  <c r="M139" i="2"/>
  <c r="G140" i="2"/>
  <c r="H140" i="2"/>
  <c r="I140" i="2"/>
  <c r="J140" i="2"/>
  <c r="K140" i="2"/>
  <c r="L140" i="2"/>
  <c r="M140" i="2"/>
  <c r="G141" i="2"/>
  <c r="H141" i="2"/>
  <c r="I141" i="2"/>
  <c r="J141" i="2"/>
  <c r="K141" i="2"/>
  <c r="L141" i="2"/>
  <c r="M141" i="2"/>
  <c r="G142" i="2"/>
  <c r="H142" i="2"/>
  <c r="I142" i="2"/>
  <c r="J142" i="2"/>
  <c r="K142" i="2"/>
  <c r="L142" i="2"/>
  <c r="M142" i="2"/>
  <c r="P12" i="2"/>
  <c r="M48" i="2" l="1"/>
  <c r="L45" i="2"/>
  <c r="M55" i="2"/>
  <c r="M54" i="2"/>
  <c r="M53" i="2"/>
  <c r="M52" i="2"/>
  <c r="M51" i="2"/>
  <c r="M50" i="2"/>
  <c r="M49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L55" i="2"/>
  <c r="L54" i="2"/>
  <c r="L53" i="2"/>
  <c r="L52" i="2"/>
  <c r="L51" i="2"/>
  <c r="L50" i="2"/>
  <c r="L49" i="2"/>
  <c r="L48" i="2"/>
  <c r="L47" i="2"/>
  <c r="L46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Q15" i="2" l="1"/>
  <c r="BM4" i="19"/>
  <c r="BN4" i="19"/>
  <c r="BO4" i="19"/>
  <c r="BP4" i="19"/>
  <c r="BQ4" i="19"/>
  <c r="BM5" i="19"/>
  <c r="BN5" i="19"/>
  <c r="BO5" i="19"/>
  <c r="BP5" i="19"/>
  <c r="BQ5" i="19"/>
  <c r="BM6" i="19"/>
  <c r="BN6" i="19"/>
  <c r="BO6" i="19"/>
  <c r="BP6" i="19"/>
  <c r="BQ6" i="19"/>
  <c r="BM7" i="19"/>
  <c r="BN7" i="19"/>
  <c r="BO7" i="19"/>
  <c r="BP7" i="19"/>
  <c r="BQ7" i="19"/>
  <c r="BM8" i="19"/>
  <c r="BN8" i="19"/>
  <c r="BO8" i="19"/>
  <c r="BP8" i="19"/>
  <c r="BQ8" i="19"/>
  <c r="BM9" i="19"/>
  <c r="BN9" i="19"/>
  <c r="BO9" i="19"/>
  <c r="BP9" i="19"/>
  <c r="BQ9" i="19"/>
  <c r="BM10" i="19"/>
  <c r="BN10" i="19"/>
  <c r="BO10" i="19"/>
  <c r="BP10" i="19"/>
  <c r="BQ10" i="19"/>
  <c r="BM11" i="19"/>
  <c r="BN11" i="19"/>
  <c r="BO11" i="19"/>
  <c r="BP11" i="19"/>
  <c r="BQ11" i="19"/>
  <c r="BM12" i="19"/>
  <c r="BN12" i="19"/>
  <c r="BO12" i="19"/>
  <c r="BP12" i="19"/>
  <c r="BQ12" i="19"/>
  <c r="BQ3" i="19"/>
  <c r="BP3" i="19"/>
  <c r="BO3" i="19"/>
  <c r="BN3" i="19"/>
  <c r="BM3" i="19"/>
  <c r="BF12" i="19"/>
  <c r="BG12" i="19"/>
  <c r="BH12" i="19"/>
  <c r="BI12" i="19"/>
  <c r="BJ12" i="19"/>
  <c r="BK12" i="19"/>
  <c r="BF4" i="19"/>
  <c r="BG4" i="19"/>
  <c r="BH4" i="19"/>
  <c r="BI4" i="19"/>
  <c r="BJ4" i="19"/>
  <c r="BK4" i="19"/>
  <c r="BF5" i="19"/>
  <c r="BG5" i="19"/>
  <c r="BH5" i="19"/>
  <c r="BI5" i="19"/>
  <c r="BJ5" i="19"/>
  <c r="BK5" i="19"/>
  <c r="BF6" i="19"/>
  <c r="BG6" i="19"/>
  <c r="BH6" i="19"/>
  <c r="BI6" i="19"/>
  <c r="BJ6" i="19"/>
  <c r="BK6" i="19"/>
  <c r="BF7" i="19"/>
  <c r="BG7" i="19"/>
  <c r="BH7" i="19"/>
  <c r="BI7" i="19"/>
  <c r="BJ7" i="19"/>
  <c r="BK7" i="19"/>
  <c r="BF8" i="19"/>
  <c r="BG8" i="19"/>
  <c r="BH8" i="19"/>
  <c r="BI8" i="19"/>
  <c r="BJ8" i="19"/>
  <c r="BK8" i="19"/>
  <c r="BF9" i="19"/>
  <c r="BG9" i="19"/>
  <c r="BH9" i="19"/>
  <c r="BI9" i="19"/>
  <c r="BJ9" i="19"/>
  <c r="BK9" i="19"/>
  <c r="BF10" i="19"/>
  <c r="BG10" i="19"/>
  <c r="BH10" i="19"/>
  <c r="BI10" i="19"/>
  <c r="BJ10" i="19"/>
  <c r="BK10" i="19"/>
  <c r="BF11" i="19"/>
  <c r="BG11" i="19"/>
  <c r="BH11" i="19"/>
  <c r="BI11" i="19"/>
  <c r="BJ11" i="19"/>
  <c r="BK11" i="19"/>
  <c r="BG3" i="19"/>
  <c r="BH3" i="19"/>
  <c r="BI3" i="19"/>
  <c r="BJ3" i="19"/>
  <c r="BK3" i="19"/>
  <c r="BF3" i="19"/>
  <c r="BE4" i="19"/>
  <c r="BE5" i="19"/>
  <c r="BE6" i="19"/>
  <c r="BE7" i="19"/>
  <c r="BE8" i="19"/>
  <c r="BE9" i="19"/>
  <c r="BE10" i="19"/>
  <c r="BE11" i="19"/>
  <c r="BE12" i="19"/>
  <c r="BE3" i="19"/>
  <c r="C6" i="19"/>
  <c r="C7" i="19"/>
  <c r="C8" i="19"/>
  <c r="C9" i="19"/>
  <c r="C10" i="19"/>
  <c r="C11" i="19"/>
  <c r="C12" i="19"/>
  <c r="C5" i="19"/>
  <c r="C4" i="19"/>
  <c r="E4" i="19" s="1"/>
  <c r="E5" i="19" s="1"/>
  <c r="E6" i="19" s="1"/>
  <c r="E7" i="19" s="1"/>
  <c r="E8" i="19" s="1"/>
  <c r="E9" i="19" s="1"/>
  <c r="E10" i="19" s="1"/>
  <c r="E11" i="19" s="1"/>
  <c r="E12" i="19" s="1"/>
  <c r="BO48" i="18"/>
  <c r="BN4" i="18"/>
  <c r="BO4" i="18"/>
  <c r="BP4" i="18"/>
  <c r="BQ4" i="18"/>
  <c r="BR4" i="18"/>
  <c r="BN5" i="18"/>
  <c r="BO5" i="18"/>
  <c r="BP5" i="18"/>
  <c r="BQ5" i="18"/>
  <c r="BR5" i="18"/>
  <c r="BN6" i="18"/>
  <c r="BO6" i="18"/>
  <c r="BP6" i="18"/>
  <c r="BQ6" i="18"/>
  <c r="BR6" i="18"/>
  <c r="BN7" i="18"/>
  <c r="BO7" i="18"/>
  <c r="BP7" i="18"/>
  <c r="BQ7" i="18"/>
  <c r="BR7" i="18"/>
  <c r="BN8" i="18"/>
  <c r="BO8" i="18"/>
  <c r="BP8" i="18"/>
  <c r="BQ8" i="18"/>
  <c r="BR8" i="18"/>
  <c r="BN9" i="18"/>
  <c r="BO9" i="18"/>
  <c r="BP9" i="18"/>
  <c r="BQ9" i="18"/>
  <c r="BR9" i="18"/>
  <c r="BN10" i="18"/>
  <c r="BO10" i="18"/>
  <c r="BP10" i="18"/>
  <c r="BQ10" i="18"/>
  <c r="BR10" i="18"/>
  <c r="BN11" i="18"/>
  <c r="BO11" i="18"/>
  <c r="BP11" i="18"/>
  <c r="BQ11" i="18"/>
  <c r="BR11" i="18"/>
  <c r="BN12" i="18"/>
  <c r="BO12" i="18"/>
  <c r="BP12" i="18"/>
  <c r="BQ12" i="18"/>
  <c r="BR12" i="18"/>
  <c r="BN13" i="18"/>
  <c r="BO13" i="18"/>
  <c r="BP13" i="18"/>
  <c r="BQ13" i="18"/>
  <c r="BR13" i="18"/>
  <c r="BN14" i="18"/>
  <c r="BO14" i="18"/>
  <c r="BP14" i="18"/>
  <c r="BQ14" i="18"/>
  <c r="BR14" i="18"/>
  <c r="BN15" i="18"/>
  <c r="BO15" i="18"/>
  <c r="BP15" i="18"/>
  <c r="BQ15" i="18"/>
  <c r="BR15" i="18"/>
  <c r="BN16" i="18"/>
  <c r="BO16" i="18"/>
  <c r="BP16" i="18"/>
  <c r="BQ16" i="18"/>
  <c r="BR16" i="18"/>
  <c r="BN17" i="18"/>
  <c r="BO17" i="18"/>
  <c r="BP17" i="18"/>
  <c r="BQ17" i="18"/>
  <c r="BR17" i="18"/>
  <c r="BN18" i="18"/>
  <c r="BO18" i="18"/>
  <c r="BP18" i="18"/>
  <c r="BQ18" i="18"/>
  <c r="BR18" i="18"/>
  <c r="BN19" i="18"/>
  <c r="BO19" i="18"/>
  <c r="BP19" i="18"/>
  <c r="BQ19" i="18"/>
  <c r="BR19" i="18"/>
  <c r="BN20" i="18"/>
  <c r="BO20" i="18"/>
  <c r="BP20" i="18"/>
  <c r="BQ20" i="18"/>
  <c r="BR20" i="18"/>
  <c r="BN21" i="18"/>
  <c r="BO21" i="18"/>
  <c r="BP21" i="18"/>
  <c r="BQ21" i="18"/>
  <c r="BR21" i="18"/>
  <c r="BN22" i="18"/>
  <c r="BO22" i="18"/>
  <c r="BP22" i="18"/>
  <c r="BQ22" i="18"/>
  <c r="BR22" i="18"/>
  <c r="BN23" i="18"/>
  <c r="BO23" i="18"/>
  <c r="BP23" i="18"/>
  <c r="BQ23" i="18"/>
  <c r="BR23" i="18"/>
  <c r="BN24" i="18"/>
  <c r="BO24" i="18"/>
  <c r="BP24" i="18"/>
  <c r="BQ24" i="18"/>
  <c r="BR24" i="18"/>
  <c r="BN25" i="18"/>
  <c r="BO25" i="18"/>
  <c r="BP25" i="18"/>
  <c r="BQ25" i="18"/>
  <c r="BR25" i="18"/>
  <c r="BN26" i="18"/>
  <c r="BO26" i="18"/>
  <c r="BP26" i="18"/>
  <c r="BQ26" i="18"/>
  <c r="BR26" i="18"/>
  <c r="BN27" i="18"/>
  <c r="BO27" i="18"/>
  <c r="BP27" i="18"/>
  <c r="BQ27" i="18"/>
  <c r="BR27" i="18"/>
  <c r="BN28" i="18"/>
  <c r="BO28" i="18"/>
  <c r="BP28" i="18"/>
  <c r="BQ28" i="18"/>
  <c r="BR28" i="18"/>
  <c r="BN29" i="18"/>
  <c r="BO29" i="18"/>
  <c r="BP29" i="18"/>
  <c r="BQ29" i="18"/>
  <c r="BR29" i="18"/>
  <c r="BN30" i="18"/>
  <c r="BO30" i="18"/>
  <c r="BP30" i="18"/>
  <c r="BQ30" i="18"/>
  <c r="BR30" i="18"/>
  <c r="BN31" i="18"/>
  <c r="BO31" i="18"/>
  <c r="BP31" i="18"/>
  <c r="BQ31" i="18"/>
  <c r="BR31" i="18"/>
  <c r="BN32" i="18"/>
  <c r="BO32" i="18"/>
  <c r="BP32" i="18"/>
  <c r="BQ32" i="18"/>
  <c r="BR32" i="18"/>
  <c r="BN33" i="18"/>
  <c r="BO33" i="18"/>
  <c r="BP33" i="18"/>
  <c r="BQ33" i="18"/>
  <c r="BR33" i="18"/>
  <c r="BN34" i="18"/>
  <c r="BO34" i="18"/>
  <c r="BP34" i="18"/>
  <c r="BQ34" i="18"/>
  <c r="BR34" i="18"/>
  <c r="BN35" i="18"/>
  <c r="BO35" i="18"/>
  <c r="BP35" i="18"/>
  <c r="BQ35" i="18"/>
  <c r="BR35" i="18"/>
  <c r="BN36" i="18"/>
  <c r="BO36" i="18"/>
  <c r="BP36" i="18"/>
  <c r="BQ36" i="18"/>
  <c r="BR36" i="18"/>
  <c r="BN37" i="18"/>
  <c r="BO37" i="18"/>
  <c r="BP37" i="18"/>
  <c r="BQ37" i="18"/>
  <c r="BR37" i="18"/>
  <c r="BN38" i="18"/>
  <c r="BO38" i="18"/>
  <c r="BP38" i="18"/>
  <c r="BQ38" i="18"/>
  <c r="BR38" i="18"/>
  <c r="BN39" i="18"/>
  <c r="BO39" i="18"/>
  <c r="BP39" i="18"/>
  <c r="BQ39" i="18"/>
  <c r="BR39" i="18"/>
  <c r="BN40" i="18"/>
  <c r="BO40" i="18"/>
  <c r="BP40" i="18"/>
  <c r="BQ40" i="18"/>
  <c r="BR40" i="18"/>
  <c r="BN41" i="18"/>
  <c r="BO41" i="18"/>
  <c r="BP41" i="18"/>
  <c r="BQ41" i="18"/>
  <c r="BR41" i="18"/>
  <c r="BN42" i="18"/>
  <c r="BO42" i="18"/>
  <c r="BP42" i="18"/>
  <c r="BQ42" i="18"/>
  <c r="BR42" i="18"/>
  <c r="BN43" i="18"/>
  <c r="BO43" i="18"/>
  <c r="BP43" i="18"/>
  <c r="BQ43" i="18"/>
  <c r="BR43" i="18"/>
  <c r="BN44" i="18"/>
  <c r="BO44" i="18"/>
  <c r="BP44" i="18"/>
  <c r="BQ44" i="18"/>
  <c r="BR44" i="18"/>
  <c r="BN45" i="18"/>
  <c r="BO45" i="18"/>
  <c r="BP45" i="18"/>
  <c r="BQ45" i="18"/>
  <c r="BR45" i="18"/>
  <c r="BN46" i="18"/>
  <c r="BO46" i="18"/>
  <c r="BP46" i="18"/>
  <c r="BQ46" i="18"/>
  <c r="BR46" i="18"/>
  <c r="BN47" i="18"/>
  <c r="BO47" i="18"/>
  <c r="BP47" i="18"/>
  <c r="BQ47" i="18"/>
  <c r="BR47" i="18"/>
  <c r="BN48" i="18"/>
  <c r="BP48" i="18"/>
  <c r="BQ48" i="18"/>
  <c r="BR48" i="18"/>
  <c r="BR3" i="18"/>
  <c r="BQ3" i="18"/>
  <c r="BP3" i="18"/>
  <c r="BO3" i="18"/>
  <c r="BN3" i="17"/>
  <c r="BN3" i="18"/>
  <c r="BN4" i="17"/>
  <c r="BO4" i="17"/>
  <c r="BP4" i="17"/>
  <c r="BQ4" i="17"/>
  <c r="BR4" i="17"/>
  <c r="BN5" i="17"/>
  <c r="BO5" i="17"/>
  <c r="BP5" i="17"/>
  <c r="BQ5" i="17"/>
  <c r="BR5" i="17"/>
  <c r="BN6" i="17"/>
  <c r="BO6" i="17"/>
  <c r="BP6" i="17"/>
  <c r="BQ6" i="17"/>
  <c r="BR6" i="17"/>
  <c r="BN7" i="17"/>
  <c r="BO7" i="17"/>
  <c r="BP7" i="17"/>
  <c r="BQ7" i="17"/>
  <c r="BR7" i="17"/>
  <c r="BN8" i="17"/>
  <c r="BO8" i="17"/>
  <c r="BP8" i="17"/>
  <c r="BQ8" i="17"/>
  <c r="BR8" i="17"/>
  <c r="BN9" i="17"/>
  <c r="BO9" i="17"/>
  <c r="BP9" i="17"/>
  <c r="BQ9" i="17"/>
  <c r="BR9" i="17"/>
  <c r="BN10" i="17"/>
  <c r="BO10" i="17"/>
  <c r="BP10" i="17"/>
  <c r="BQ10" i="17"/>
  <c r="BR10" i="17"/>
  <c r="BN11" i="17"/>
  <c r="BO11" i="17"/>
  <c r="BP11" i="17"/>
  <c r="BQ11" i="17"/>
  <c r="BR11" i="17"/>
  <c r="BN12" i="17"/>
  <c r="BO12" i="17"/>
  <c r="BP12" i="17"/>
  <c r="BQ12" i="17"/>
  <c r="BR12" i="17"/>
  <c r="BN13" i="17"/>
  <c r="BO13" i="17"/>
  <c r="BP13" i="17"/>
  <c r="BQ13" i="17"/>
  <c r="BR13" i="17"/>
  <c r="BN14" i="17"/>
  <c r="BO14" i="17"/>
  <c r="BP14" i="17"/>
  <c r="BQ14" i="17"/>
  <c r="BR14" i="17"/>
  <c r="BN15" i="17"/>
  <c r="BO15" i="17"/>
  <c r="BP15" i="17"/>
  <c r="BQ15" i="17"/>
  <c r="BR15" i="17"/>
  <c r="BN16" i="17"/>
  <c r="BO16" i="17"/>
  <c r="BP16" i="17"/>
  <c r="BQ16" i="17"/>
  <c r="BR16" i="17"/>
  <c r="BN17" i="17"/>
  <c r="BO17" i="17"/>
  <c r="BP17" i="17"/>
  <c r="BQ17" i="17"/>
  <c r="BR17" i="17"/>
  <c r="BN18" i="17"/>
  <c r="BO18" i="17"/>
  <c r="BP18" i="17"/>
  <c r="BQ18" i="17"/>
  <c r="BR18" i="17"/>
  <c r="BN19" i="17"/>
  <c r="BO19" i="17"/>
  <c r="BP19" i="17"/>
  <c r="BQ19" i="17"/>
  <c r="BR19" i="17"/>
  <c r="BN20" i="17"/>
  <c r="BO20" i="17"/>
  <c r="BP20" i="17"/>
  <c r="BQ20" i="17"/>
  <c r="BR20" i="17"/>
  <c r="BN21" i="17"/>
  <c r="BO21" i="17"/>
  <c r="BP21" i="17"/>
  <c r="BQ21" i="17"/>
  <c r="BR21" i="17"/>
  <c r="BN22" i="17"/>
  <c r="BO22" i="17"/>
  <c r="BP22" i="17"/>
  <c r="BQ22" i="17"/>
  <c r="BR22" i="17"/>
  <c r="BN23" i="17"/>
  <c r="BO23" i="17"/>
  <c r="BP23" i="17"/>
  <c r="BQ23" i="17"/>
  <c r="BR23" i="17"/>
  <c r="BN24" i="17"/>
  <c r="BO24" i="17"/>
  <c r="BP24" i="17"/>
  <c r="BQ24" i="17"/>
  <c r="BR24" i="17"/>
  <c r="BN25" i="17"/>
  <c r="BO25" i="17"/>
  <c r="BP25" i="17"/>
  <c r="BQ25" i="17"/>
  <c r="BR25" i="17"/>
  <c r="BN26" i="17"/>
  <c r="BO26" i="17"/>
  <c r="BP26" i="17"/>
  <c r="BQ26" i="17"/>
  <c r="BR26" i="17"/>
  <c r="BN27" i="17"/>
  <c r="BO27" i="17"/>
  <c r="BP27" i="17"/>
  <c r="BQ27" i="17"/>
  <c r="BR27" i="17"/>
  <c r="BN28" i="17"/>
  <c r="BO28" i="17"/>
  <c r="BP28" i="17"/>
  <c r="BQ28" i="17"/>
  <c r="BR28" i="17"/>
  <c r="BN29" i="17"/>
  <c r="BO29" i="17"/>
  <c r="BP29" i="17"/>
  <c r="BQ29" i="17"/>
  <c r="BR29" i="17"/>
  <c r="BN30" i="17"/>
  <c r="BO30" i="17"/>
  <c r="BP30" i="17"/>
  <c r="BQ30" i="17"/>
  <c r="BR30" i="17"/>
  <c r="BN31" i="17"/>
  <c r="BO31" i="17"/>
  <c r="BP31" i="17"/>
  <c r="BQ31" i="17"/>
  <c r="BR31" i="17"/>
  <c r="BN32" i="17"/>
  <c r="BO32" i="17"/>
  <c r="BP32" i="17"/>
  <c r="BQ32" i="17"/>
  <c r="BR32" i="17"/>
  <c r="BN33" i="17"/>
  <c r="BO33" i="17"/>
  <c r="BP33" i="17"/>
  <c r="BQ33" i="17"/>
  <c r="BR33" i="17"/>
  <c r="BN34" i="17"/>
  <c r="BO34" i="17"/>
  <c r="BP34" i="17"/>
  <c r="BQ34" i="17"/>
  <c r="BR34" i="17"/>
  <c r="BN35" i="17"/>
  <c r="BO35" i="17"/>
  <c r="BP35" i="17"/>
  <c r="BQ35" i="17"/>
  <c r="BR35" i="17"/>
  <c r="BN36" i="17"/>
  <c r="BO36" i="17"/>
  <c r="BP36" i="17"/>
  <c r="BQ36" i="17"/>
  <c r="BR36" i="17"/>
  <c r="BN37" i="17"/>
  <c r="BO37" i="17"/>
  <c r="BP37" i="17"/>
  <c r="BQ37" i="17"/>
  <c r="BR37" i="17"/>
  <c r="BN38" i="17"/>
  <c r="BO38" i="17"/>
  <c r="BP38" i="17"/>
  <c r="BQ38" i="17"/>
  <c r="BR38" i="17"/>
  <c r="BN39" i="17"/>
  <c r="BO39" i="17"/>
  <c r="BP39" i="17"/>
  <c r="BQ39" i="17"/>
  <c r="BR39" i="17"/>
  <c r="BN40" i="17"/>
  <c r="BO40" i="17"/>
  <c r="BP40" i="17"/>
  <c r="BQ40" i="17"/>
  <c r="BR40" i="17"/>
  <c r="BN41" i="17"/>
  <c r="BO41" i="17"/>
  <c r="BP41" i="17"/>
  <c r="BQ41" i="17"/>
  <c r="BR41" i="17"/>
  <c r="BR3" i="17"/>
  <c r="BQ3" i="17"/>
  <c r="BP3" i="17"/>
  <c r="BO3" i="17"/>
  <c r="BF4" i="18"/>
  <c r="BG4" i="18"/>
  <c r="BH4" i="18"/>
  <c r="BI4" i="18"/>
  <c r="BJ4" i="18"/>
  <c r="BK4" i="18"/>
  <c r="BL4" i="18"/>
  <c r="BF5" i="18"/>
  <c r="BG5" i="18"/>
  <c r="BH5" i="18"/>
  <c r="BI5" i="18"/>
  <c r="BJ5" i="18"/>
  <c r="BK5" i="18"/>
  <c r="BL5" i="18"/>
  <c r="BF6" i="18"/>
  <c r="BG6" i="18"/>
  <c r="BH6" i="18"/>
  <c r="BI6" i="18"/>
  <c r="BJ6" i="18"/>
  <c r="BK6" i="18"/>
  <c r="BL6" i="18"/>
  <c r="BF7" i="18"/>
  <c r="BG7" i="18"/>
  <c r="BH7" i="18"/>
  <c r="BI7" i="18"/>
  <c r="BJ7" i="18"/>
  <c r="BK7" i="18"/>
  <c r="BL7" i="18"/>
  <c r="BF8" i="18"/>
  <c r="BG8" i="18"/>
  <c r="BH8" i="18"/>
  <c r="BI8" i="18"/>
  <c r="BJ8" i="18"/>
  <c r="BK8" i="18"/>
  <c r="BL8" i="18"/>
  <c r="BF9" i="18"/>
  <c r="BG9" i="18"/>
  <c r="BH9" i="18"/>
  <c r="BI9" i="18"/>
  <c r="BJ9" i="18"/>
  <c r="BK9" i="18"/>
  <c r="BL9" i="18"/>
  <c r="BF10" i="18"/>
  <c r="BG10" i="18"/>
  <c r="BH10" i="18"/>
  <c r="BI10" i="18"/>
  <c r="BJ10" i="18"/>
  <c r="BK10" i="18"/>
  <c r="BL10" i="18"/>
  <c r="BF11" i="18"/>
  <c r="BG11" i="18"/>
  <c r="BH11" i="18"/>
  <c r="BI11" i="18"/>
  <c r="BJ11" i="18"/>
  <c r="BK11" i="18"/>
  <c r="BL11" i="18"/>
  <c r="BF12" i="18"/>
  <c r="BG12" i="18"/>
  <c r="BH12" i="18"/>
  <c r="BI12" i="18"/>
  <c r="BJ12" i="18"/>
  <c r="BK12" i="18"/>
  <c r="BL12" i="18"/>
  <c r="BF13" i="18"/>
  <c r="BG13" i="18"/>
  <c r="BH13" i="18"/>
  <c r="BI13" i="18"/>
  <c r="BJ13" i="18"/>
  <c r="BK13" i="18"/>
  <c r="BL13" i="18"/>
  <c r="BF14" i="18"/>
  <c r="BG14" i="18"/>
  <c r="BH14" i="18"/>
  <c r="BI14" i="18"/>
  <c r="BJ14" i="18"/>
  <c r="BK14" i="18"/>
  <c r="BL14" i="18"/>
  <c r="BF15" i="18"/>
  <c r="BG15" i="18"/>
  <c r="BH15" i="18"/>
  <c r="BI15" i="18"/>
  <c r="BJ15" i="18"/>
  <c r="BK15" i="18"/>
  <c r="BL15" i="18"/>
  <c r="BF16" i="18"/>
  <c r="BG16" i="18"/>
  <c r="BH16" i="18"/>
  <c r="BI16" i="18"/>
  <c r="BJ16" i="18"/>
  <c r="BK16" i="18"/>
  <c r="BL16" i="18"/>
  <c r="BF17" i="18"/>
  <c r="BG17" i="18"/>
  <c r="BH17" i="18"/>
  <c r="BI17" i="18"/>
  <c r="BJ17" i="18"/>
  <c r="BK17" i="18"/>
  <c r="BL17" i="18"/>
  <c r="BF18" i="18"/>
  <c r="BG18" i="18"/>
  <c r="BH18" i="18"/>
  <c r="BI18" i="18"/>
  <c r="BJ18" i="18"/>
  <c r="BK18" i="18"/>
  <c r="BL18" i="18"/>
  <c r="BF19" i="18"/>
  <c r="BG19" i="18"/>
  <c r="BH19" i="18"/>
  <c r="BI19" i="18"/>
  <c r="BJ19" i="18"/>
  <c r="BK19" i="18"/>
  <c r="BL19" i="18"/>
  <c r="BF20" i="18"/>
  <c r="BG20" i="18"/>
  <c r="BH20" i="18"/>
  <c r="BI20" i="18"/>
  <c r="BJ20" i="18"/>
  <c r="BK20" i="18"/>
  <c r="BL20" i="18"/>
  <c r="BF21" i="18"/>
  <c r="BG21" i="18"/>
  <c r="BH21" i="18"/>
  <c r="BI21" i="18"/>
  <c r="BJ21" i="18"/>
  <c r="BK21" i="18"/>
  <c r="BL21" i="18"/>
  <c r="BF22" i="18"/>
  <c r="BG22" i="18"/>
  <c r="BH22" i="18"/>
  <c r="BI22" i="18"/>
  <c r="BJ22" i="18"/>
  <c r="BK22" i="18"/>
  <c r="BL22" i="18"/>
  <c r="BF23" i="18"/>
  <c r="BG23" i="18"/>
  <c r="BH23" i="18"/>
  <c r="BI23" i="18"/>
  <c r="BJ23" i="18"/>
  <c r="BK23" i="18"/>
  <c r="BL23" i="18"/>
  <c r="BF24" i="18"/>
  <c r="BG24" i="18"/>
  <c r="BH24" i="18"/>
  <c r="BI24" i="18"/>
  <c r="BJ24" i="18"/>
  <c r="BK24" i="18"/>
  <c r="BL24" i="18"/>
  <c r="BF25" i="18"/>
  <c r="BG25" i="18"/>
  <c r="BH25" i="18"/>
  <c r="BI25" i="18"/>
  <c r="BJ25" i="18"/>
  <c r="BK25" i="18"/>
  <c r="BL25" i="18"/>
  <c r="BF26" i="18"/>
  <c r="BG26" i="18"/>
  <c r="BH26" i="18"/>
  <c r="BI26" i="18"/>
  <c r="BJ26" i="18"/>
  <c r="BK26" i="18"/>
  <c r="BL26" i="18"/>
  <c r="BF27" i="18"/>
  <c r="BG27" i="18"/>
  <c r="BH27" i="18"/>
  <c r="BI27" i="18"/>
  <c r="BJ27" i="18"/>
  <c r="BK27" i="18"/>
  <c r="BL27" i="18"/>
  <c r="BF28" i="18"/>
  <c r="BG28" i="18"/>
  <c r="BH28" i="18"/>
  <c r="BI28" i="18"/>
  <c r="BJ28" i="18"/>
  <c r="BK28" i="18"/>
  <c r="BL28" i="18"/>
  <c r="BF29" i="18"/>
  <c r="BG29" i="18"/>
  <c r="BH29" i="18"/>
  <c r="BI29" i="18"/>
  <c r="BJ29" i="18"/>
  <c r="BK29" i="18"/>
  <c r="BL29" i="18"/>
  <c r="BF30" i="18"/>
  <c r="BG30" i="18"/>
  <c r="BH30" i="18"/>
  <c r="BI30" i="18"/>
  <c r="BJ30" i="18"/>
  <c r="BK30" i="18"/>
  <c r="BL30" i="18"/>
  <c r="BF31" i="18"/>
  <c r="BG31" i="18"/>
  <c r="BH31" i="18"/>
  <c r="BI31" i="18"/>
  <c r="BJ31" i="18"/>
  <c r="BK31" i="18"/>
  <c r="BL31" i="18"/>
  <c r="BF32" i="18"/>
  <c r="BG32" i="18"/>
  <c r="BH32" i="18"/>
  <c r="BI32" i="18"/>
  <c r="BJ32" i="18"/>
  <c r="BK32" i="18"/>
  <c r="BL32" i="18"/>
  <c r="BF33" i="18"/>
  <c r="BG33" i="18"/>
  <c r="BH33" i="18"/>
  <c r="BI33" i="18"/>
  <c r="BJ33" i="18"/>
  <c r="BK33" i="18"/>
  <c r="BL33" i="18"/>
  <c r="BF34" i="18"/>
  <c r="BG34" i="18"/>
  <c r="BH34" i="18"/>
  <c r="BI34" i="18"/>
  <c r="BJ34" i="18"/>
  <c r="BK34" i="18"/>
  <c r="BL34" i="18"/>
  <c r="BF35" i="18"/>
  <c r="BG35" i="18"/>
  <c r="BH35" i="18"/>
  <c r="BI35" i="18"/>
  <c r="BJ35" i="18"/>
  <c r="BK35" i="18"/>
  <c r="BL35" i="18"/>
  <c r="BF36" i="18"/>
  <c r="BG36" i="18"/>
  <c r="BH36" i="18"/>
  <c r="BI36" i="18"/>
  <c r="BJ36" i="18"/>
  <c r="BK36" i="18"/>
  <c r="BL36" i="18"/>
  <c r="BF37" i="18"/>
  <c r="BG37" i="18"/>
  <c r="BH37" i="18"/>
  <c r="BI37" i="18"/>
  <c r="BJ37" i="18"/>
  <c r="BK37" i="18"/>
  <c r="BL37" i="18"/>
  <c r="BF38" i="18"/>
  <c r="BG38" i="18"/>
  <c r="BH38" i="18"/>
  <c r="BI38" i="18"/>
  <c r="BJ38" i="18"/>
  <c r="BK38" i="18"/>
  <c r="BL38" i="18"/>
  <c r="BF39" i="18"/>
  <c r="BG39" i="18"/>
  <c r="BH39" i="18"/>
  <c r="BI39" i="18"/>
  <c r="BJ39" i="18"/>
  <c r="BK39" i="18"/>
  <c r="BL39" i="18"/>
  <c r="BF40" i="18"/>
  <c r="BG40" i="18"/>
  <c r="BH40" i="18"/>
  <c r="BI40" i="18"/>
  <c r="BJ40" i="18"/>
  <c r="BK40" i="18"/>
  <c r="BL40" i="18"/>
  <c r="BF41" i="18"/>
  <c r="BG41" i="18"/>
  <c r="BH41" i="18"/>
  <c r="BI41" i="18"/>
  <c r="BJ41" i="18"/>
  <c r="BK41" i="18"/>
  <c r="BL41" i="18"/>
  <c r="BF42" i="18"/>
  <c r="BG42" i="18"/>
  <c r="BH42" i="18"/>
  <c r="BI42" i="18"/>
  <c r="BJ42" i="18"/>
  <c r="BK42" i="18"/>
  <c r="BL42" i="18"/>
  <c r="BF43" i="18"/>
  <c r="BG43" i="18"/>
  <c r="BH43" i="18"/>
  <c r="BI43" i="18"/>
  <c r="BJ43" i="18"/>
  <c r="BK43" i="18"/>
  <c r="BL43" i="18"/>
  <c r="BF44" i="18"/>
  <c r="BG44" i="18"/>
  <c r="BH44" i="18"/>
  <c r="BI44" i="18"/>
  <c r="BJ44" i="18"/>
  <c r="BK44" i="18"/>
  <c r="BL44" i="18"/>
  <c r="BF45" i="18"/>
  <c r="BG45" i="18"/>
  <c r="BH45" i="18"/>
  <c r="BI45" i="18"/>
  <c r="BJ45" i="18"/>
  <c r="BK45" i="18"/>
  <c r="BL45" i="18"/>
  <c r="BF46" i="18"/>
  <c r="BG46" i="18"/>
  <c r="BH46" i="18"/>
  <c r="BI46" i="18"/>
  <c r="BJ46" i="18"/>
  <c r="BK46" i="18"/>
  <c r="BL46" i="18"/>
  <c r="BF47" i="18"/>
  <c r="BG47" i="18"/>
  <c r="BH47" i="18"/>
  <c r="BI47" i="18"/>
  <c r="BJ47" i="18"/>
  <c r="BK47" i="18"/>
  <c r="BL47" i="18"/>
  <c r="BF48" i="18"/>
  <c r="BG48" i="18"/>
  <c r="BH48" i="18"/>
  <c r="BI48" i="18"/>
  <c r="BJ48" i="18"/>
  <c r="BK48" i="18"/>
  <c r="BL48" i="18"/>
  <c r="BL3" i="18"/>
  <c r="BK3" i="18"/>
  <c r="BJ3" i="18"/>
  <c r="BI3" i="18"/>
  <c r="BH3" i="18"/>
  <c r="BG3" i="18"/>
  <c r="BF3" i="18"/>
  <c r="C38" i="18"/>
  <c r="C39" i="18"/>
  <c r="C40" i="18"/>
  <c r="C41" i="18"/>
  <c r="C42" i="18"/>
  <c r="C43" i="18"/>
  <c r="C44" i="18"/>
  <c r="C45" i="18"/>
  <c r="C46" i="18"/>
  <c r="C47" i="18"/>
  <c r="C48" i="18"/>
  <c r="C30" i="18"/>
  <c r="C31" i="18"/>
  <c r="C32" i="18"/>
  <c r="C33" i="18"/>
  <c r="C34" i="18"/>
  <c r="C35" i="18"/>
  <c r="C36" i="18"/>
  <c r="C37" i="18"/>
  <c r="C29" i="18"/>
  <c r="C24" i="18"/>
  <c r="C25" i="18"/>
  <c r="C26" i="18"/>
  <c r="C27" i="18"/>
  <c r="C28" i="18"/>
  <c r="C23" i="18"/>
  <c r="C22" i="18"/>
  <c r="C21" i="18"/>
  <c r="C20" i="18"/>
  <c r="C18" i="18"/>
  <c r="C12" i="18"/>
  <c r="C13" i="18"/>
  <c r="C14" i="18"/>
  <c r="C15" i="18"/>
  <c r="C16" i="18"/>
  <c r="C17" i="18"/>
  <c r="C19" i="18"/>
  <c r="C11" i="18"/>
  <c r="C4" i="18"/>
  <c r="E4" i="18" s="1"/>
  <c r="C5" i="18"/>
  <c r="E5" i="18" s="1"/>
  <c r="C6" i="18"/>
  <c r="E6" i="18" s="1"/>
  <c r="C7" i="18"/>
  <c r="C8" i="18"/>
  <c r="C9" i="18"/>
  <c r="C10" i="18"/>
  <c r="D4" i="19" l="1"/>
  <c r="D5" i="19" s="1"/>
  <c r="D6" i="19" s="1"/>
  <c r="D7" i="19" s="1"/>
  <c r="D8" i="19" s="1"/>
  <c r="D9" i="19" s="1"/>
  <c r="D10" i="19" s="1"/>
  <c r="D11" i="19" s="1"/>
  <c r="D12" i="19" s="1"/>
  <c r="E7" i="18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D4" i="18" l="1"/>
  <c r="D5" i="18" l="1"/>
  <c r="D6" i="18" s="1"/>
  <c r="D7" i="18" s="1"/>
  <c r="D8" i="18" s="1"/>
  <c r="D9" i="18" s="1"/>
  <c r="D10" i="18" l="1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BG4" i="17" l="1"/>
  <c r="BH4" i="17"/>
  <c r="BI4" i="17"/>
  <c r="BJ4" i="17"/>
  <c r="BK4" i="17"/>
  <c r="BL4" i="17"/>
  <c r="BG5" i="17"/>
  <c r="BH5" i="17"/>
  <c r="BI5" i="17"/>
  <c r="BJ5" i="17"/>
  <c r="BK5" i="17"/>
  <c r="BL5" i="17"/>
  <c r="BG6" i="17"/>
  <c r="BH6" i="17"/>
  <c r="BI6" i="17"/>
  <c r="BJ6" i="17"/>
  <c r="BK6" i="17"/>
  <c r="BL6" i="17"/>
  <c r="BG7" i="17"/>
  <c r="BH7" i="17"/>
  <c r="BI7" i="17"/>
  <c r="BJ7" i="17"/>
  <c r="BK7" i="17"/>
  <c r="BL7" i="17"/>
  <c r="BG8" i="17"/>
  <c r="BH8" i="17"/>
  <c r="BI8" i="17"/>
  <c r="BJ8" i="17"/>
  <c r="BK8" i="17"/>
  <c r="BL8" i="17"/>
  <c r="BG9" i="17"/>
  <c r="BH9" i="17"/>
  <c r="BI9" i="17"/>
  <c r="BJ9" i="17"/>
  <c r="BK9" i="17"/>
  <c r="BL9" i="17"/>
  <c r="BG10" i="17"/>
  <c r="BH10" i="17"/>
  <c r="BI10" i="17"/>
  <c r="BJ10" i="17"/>
  <c r="BK10" i="17"/>
  <c r="BL10" i="17"/>
  <c r="BG11" i="17"/>
  <c r="BH11" i="17"/>
  <c r="BI11" i="17"/>
  <c r="BJ11" i="17"/>
  <c r="BK11" i="17"/>
  <c r="BL11" i="17"/>
  <c r="BG12" i="17"/>
  <c r="BH12" i="17"/>
  <c r="BI12" i="17"/>
  <c r="BJ12" i="17"/>
  <c r="BK12" i="17"/>
  <c r="BL12" i="17"/>
  <c r="BG13" i="17"/>
  <c r="BH13" i="17"/>
  <c r="BI13" i="17"/>
  <c r="BJ13" i="17"/>
  <c r="BK13" i="17"/>
  <c r="BL13" i="17"/>
  <c r="BG14" i="17"/>
  <c r="BH14" i="17"/>
  <c r="BI14" i="17"/>
  <c r="BJ14" i="17"/>
  <c r="BK14" i="17"/>
  <c r="BL14" i="17"/>
  <c r="BG15" i="17"/>
  <c r="BH15" i="17"/>
  <c r="BI15" i="17"/>
  <c r="BJ15" i="17"/>
  <c r="BK15" i="17"/>
  <c r="BL15" i="17"/>
  <c r="BG16" i="17"/>
  <c r="BH16" i="17"/>
  <c r="BI16" i="17"/>
  <c r="BJ16" i="17"/>
  <c r="BK16" i="17"/>
  <c r="BL16" i="17"/>
  <c r="BG17" i="17"/>
  <c r="BH17" i="17"/>
  <c r="BI17" i="17"/>
  <c r="BJ17" i="17"/>
  <c r="BK17" i="17"/>
  <c r="BL17" i="17"/>
  <c r="BG18" i="17"/>
  <c r="BH18" i="17"/>
  <c r="BI18" i="17"/>
  <c r="BJ18" i="17"/>
  <c r="BK18" i="17"/>
  <c r="BL18" i="17"/>
  <c r="BG19" i="17"/>
  <c r="BH19" i="17"/>
  <c r="BI19" i="17"/>
  <c r="BJ19" i="17"/>
  <c r="BK19" i="17"/>
  <c r="BL19" i="17"/>
  <c r="BG20" i="17"/>
  <c r="BH20" i="17"/>
  <c r="BI20" i="17"/>
  <c r="BJ20" i="17"/>
  <c r="BK20" i="17"/>
  <c r="BL20" i="17"/>
  <c r="BG21" i="17"/>
  <c r="BH21" i="17"/>
  <c r="BI21" i="17"/>
  <c r="BJ21" i="17"/>
  <c r="BK21" i="17"/>
  <c r="BL21" i="17"/>
  <c r="BG22" i="17"/>
  <c r="BH22" i="17"/>
  <c r="BI22" i="17"/>
  <c r="BJ22" i="17"/>
  <c r="BK22" i="17"/>
  <c r="BL22" i="17"/>
  <c r="BG23" i="17"/>
  <c r="BH23" i="17"/>
  <c r="BI23" i="17"/>
  <c r="BJ23" i="17"/>
  <c r="BK23" i="17"/>
  <c r="BL23" i="17"/>
  <c r="BG24" i="17"/>
  <c r="BH24" i="17"/>
  <c r="BI24" i="17"/>
  <c r="BJ24" i="17"/>
  <c r="BK24" i="17"/>
  <c r="BL24" i="17"/>
  <c r="BG25" i="17"/>
  <c r="BH25" i="17"/>
  <c r="BI25" i="17"/>
  <c r="BJ25" i="17"/>
  <c r="BK25" i="17"/>
  <c r="BL25" i="17"/>
  <c r="BG26" i="17"/>
  <c r="BH26" i="17"/>
  <c r="BI26" i="17"/>
  <c r="BJ26" i="17"/>
  <c r="BK26" i="17"/>
  <c r="BL26" i="17"/>
  <c r="BG27" i="17"/>
  <c r="BH27" i="17"/>
  <c r="BI27" i="17"/>
  <c r="BJ27" i="17"/>
  <c r="BK27" i="17"/>
  <c r="BL27" i="17"/>
  <c r="BG28" i="17"/>
  <c r="BH28" i="17"/>
  <c r="BI28" i="17"/>
  <c r="BJ28" i="17"/>
  <c r="BK28" i="17"/>
  <c r="BL28" i="17"/>
  <c r="BG29" i="17"/>
  <c r="BH29" i="17"/>
  <c r="BI29" i="17"/>
  <c r="BJ29" i="17"/>
  <c r="BK29" i="17"/>
  <c r="BL29" i="17"/>
  <c r="BG30" i="17"/>
  <c r="BH30" i="17"/>
  <c r="BI30" i="17"/>
  <c r="BJ30" i="17"/>
  <c r="BK30" i="17"/>
  <c r="BL30" i="17"/>
  <c r="BG31" i="17"/>
  <c r="BH31" i="17"/>
  <c r="BI31" i="17"/>
  <c r="BJ31" i="17"/>
  <c r="BK31" i="17"/>
  <c r="BL31" i="17"/>
  <c r="BG32" i="17"/>
  <c r="BH32" i="17"/>
  <c r="BI32" i="17"/>
  <c r="BJ32" i="17"/>
  <c r="BK32" i="17"/>
  <c r="BL32" i="17"/>
  <c r="BG33" i="17"/>
  <c r="BH33" i="17"/>
  <c r="BI33" i="17"/>
  <c r="BJ33" i="17"/>
  <c r="BK33" i="17"/>
  <c r="BL33" i="17"/>
  <c r="BG34" i="17"/>
  <c r="BH34" i="17"/>
  <c r="BI34" i="17"/>
  <c r="BJ34" i="17"/>
  <c r="BK34" i="17"/>
  <c r="BL34" i="17"/>
  <c r="BG35" i="17"/>
  <c r="BH35" i="17"/>
  <c r="BI35" i="17"/>
  <c r="BJ35" i="17"/>
  <c r="BK35" i="17"/>
  <c r="BL35" i="17"/>
  <c r="BG36" i="17"/>
  <c r="BH36" i="17"/>
  <c r="BI36" i="17"/>
  <c r="BJ36" i="17"/>
  <c r="BK36" i="17"/>
  <c r="BL36" i="17"/>
  <c r="BG37" i="17"/>
  <c r="BH37" i="17"/>
  <c r="BI37" i="17"/>
  <c r="BJ37" i="17"/>
  <c r="BK37" i="17"/>
  <c r="BL37" i="17"/>
  <c r="BG38" i="17"/>
  <c r="BH38" i="17"/>
  <c r="BI38" i="17"/>
  <c r="BJ38" i="17"/>
  <c r="BK38" i="17"/>
  <c r="BL38" i="17"/>
  <c r="BG39" i="17"/>
  <c r="BH39" i="17"/>
  <c r="BI39" i="17"/>
  <c r="BJ39" i="17"/>
  <c r="BK39" i="17"/>
  <c r="BL39" i="17"/>
  <c r="BG40" i="17"/>
  <c r="BH40" i="17"/>
  <c r="BI40" i="17"/>
  <c r="BJ40" i="17"/>
  <c r="BK40" i="17"/>
  <c r="BL40" i="17"/>
  <c r="BG41" i="17"/>
  <c r="BH41" i="17"/>
  <c r="BI41" i="17"/>
  <c r="BJ41" i="17"/>
  <c r="BK41" i="17"/>
  <c r="BL41" i="17"/>
  <c r="BL3" i="17"/>
  <c r="BK3" i="17"/>
  <c r="BJ3" i="17"/>
  <c r="BI3" i="17"/>
  <c r="BH3" i="17"/>
  <c r="BG3" i="17"/>
  <c r="BF4" i="17"/>
  <c r="BF5" i="17"/>
  <c r="BF6" i="17"/>
  <c r="BF7" i="17"/>
  <c r="BF8" i="17"/>
  <c r="BF9" i="17"/>
  <c r="BF10" i="17"/>
  <c r="BF11" i="17"/>
  <c r="BF12" i="17"/>
  <c r="BF13" i="17"/>
  <c r="BF14" i="17"/>
  <c r="BF15" i="17"/>
  <c r="BF16" i="17"/>
  <c r="BF17" i="17"/>
  <c r="BF18" i="17"/>
  <c r="BF19" i="17"/>
  <c r="BF20" i="17"/>
  <c r="BF21" i="17"/>
  <c r="BF22" i="17"/>
  <c r="BF23" i="17"/>
  <c r="BF24" i="17"/>
  <c r="BF25" i="17"/>
  <c r="BF26" i="17"/>
  <c r="BF27" i="17"/>
  <c r="BF28" i="17"/>
  <c r="BF29" i="17"/>
  <c r="BF30" i="17"/>
  <c r="BF31" i="17"/>
  <c r="BF32" i="17"/>
  <c r="BF33" i="17"/>
  <c r="BF34" i="17"/>
  <c r="BF35" i="17"/>
  <c r="BF36" i="17"/>
  <c r="BF37" i="17"/>
  <c r="BF38" i="17"/>
  <c r="BF39" i="17"/>
  <c r="BF40" i="17"/>
  <c r="BF41" i="17"/>
  <c r="BF3" i="17"/>
  <c r="D40" i="17"/>
  <c r="D41" i="17"/>
  <c r="D37" i="17"/>
  <c r="D38" i="17"/>
  <c r="D39" i="17"/>
  <c r="D36" i="17"/>
  <c r="D31" i="17"/>
  <c r="D32" i="17"/>
  <c r="D33" i="17"/>
  <c r="D34" i="17"/>
  <c r="D35" i="17"/>
  <c r="D26" i="17"/>
  <c r="D27" i="17"/>
  <c r="D28" i="17"/>
  <c r="D29" i="17"/>
  <c r="D30" i="17"/>
  <c r="D21" i="17"/>
  <c r="D22" i="17"/>
  <c r="D23" i="17"/>
  <c r="D24" i="17"/>
  <c r="D25" i="17"/>
  <c r="D16" i="17"/>
  <c r="D17" i="17"/>
  <c r="D18" i="17"/>
  <c r="D19" i="17"/>
  <c r="D20" i="17"/>
  <c r="D15" i="17"/>
  <c r="D14" i="17"/>
  <c r="D13" i="17"/>
  <c r="D12" i="17"/>
  <c r="D11" i="17"/>
  <c r="D10" i="17"/>
  <c r="D9" i="17"/>
  <c r="D7" i="17"/>
  <c r="D8" i="17"/>
  <c r="D5" i="17"/>
  <c r="D6" i="17"/>
  <c r="D4" i="17"/>
  <c r="E4" i="17" s="1"/>
  <c r="E5" i="17" s="1"/>
  <c r="B11" i="14"/>
  <c r="B13" i="14"/>
  <c r="A6" i="14"/>
  <c r="B6" i="14"/>
  <c r="A7" i="14"/>
  <c r="B7" i="14"/>
  <c r="A8" i="14"/>
  <c r="B8" i="14"/>
  <c r="B12" i="14" s="1"/>
  <c r="BF34" i="16"/>
  <c r="BG34" i="16"/>
  <c r="BH34" i="16"/>
  <c r="BI34" i="16"/>
  <c r="BJ34" i="16"/>
  <c r="BK34" i="16"/>
  <c r="BL34" i="16"/>
  <c r="BN34" i="16"/>
  <c r="BO34" i="16"/>
  <c r="BP34" i="16"/>
  <c r="BQ34" i="16"/>
  <c r="BR34" i="16"/>
  <c r="BF35" i="16"/>
  <c r="BG35" i="16"/>
  <c r="BH35" i="16"/>
  <c r="BI35" i="16"/>
  <c r="BJ35" i="16"/>
  <c r="BK35" i="16"/>
  <c r="BL35" i="16"/>
  <c r="BN35" i="16"/>
  <c r="BO35" i="16"/>
  <c r="BP35" i="16"/>
  <c r="BQ35" i="16"/>
  <c r="BR35" i="16"/>
  <c r="BF36" i="16"/>
  <c r="BG36" i="16"/>
  <c r="BH36" i="16"/>
  <c r="BI36" i="16"/>
  <c r="BJ36" i="16"/>
  <c r="BK36" i="16"/>
  <c r="BL36" i="16"/>
  <c r="BN36" i="16"/>
  <c r="BO36" i="16"/>
  <c r="BP36" i="16"/>
  <c r="BQ36" i="16"/>
  <c r="BR36" i="16"/>
  <c r="BF37" i="16"/>
  <c r="BG37" i="16"/>
  <c r="BH37" i="16"/>
  <c r="BI37" i="16"/>
  <c r="BJ37" i="16"/>
  <c r="BK37" i="16"/>
  <c r="BL37" i="16"/>
  <c r="BN37" i="16"/>
  <c r="BO37" i="16"/>
  <c r="BP37" i="16"/>
  <c r="BQ37" i="16"/>
  <c r="F34" i="16"/>
  <c r="F35" i="16"/>
  <c r="F36" i="16"/>
  <c r="E34" i="16"/>
  <c r="E35" i="16"/>
  <c r="E36" i="16"/>
  <c r="E37" i="16" s="1"/>
  <c r="D34" i="16"/>
  <c r="D35" i="16"/>
  <c r="D36" i="16"/>
  <c r="D37" i="16"/>
  <c r="F5" i="17" l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E6" i="17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6" i="16" l="1"/>
  <c r="E7" i="16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5" i="16"/>
  <c r="E4" i="16"/>
  <c r="BR33" i="16" l="1"/>
  <c r="BN4" i="16"/>
  <c r="BO4" i="16"/>
  <c r="BP4" i="16"/>
  <c r="BQ4" i="16"/>
  <c r="BR4" i="16"/>
  <c r="BN5" i="16"/>
  <c r="BO5" i="16"/>
  <c r="BP5" i="16"/>
  <c r="BQ5" i="16"/>
  <c r="BR5" i="16"/>
  <c r="BN6" i="16"/>
  <c r="BO6" i="16"/>
  <c r="BP6" i="16"/>
  <c r="BQ6" i="16"/>
  <c r="BR6" i="16"/>
  <c r="BN7" i="16"/>
  <c r="BO7" i="16"/>
  <c r="BP7" i="16"/>
  <c r="BQ7" i="16"/>
  <c r="BR7" i="16"/>
  <c r="BN8" i="16"/>
  <c r="BO8" i="16"/>
  <c r="BP8" i="16"/>
  <c r="BQ8" i="16"/>
  <c r="BR8" i="16"/>
  <c r="BN9" i="16"/>
  <c r="BO9" i="16"/>
  <c r="BP9" i="16"/>
  <c r="BQ9" i="16"/>
  <c r="BR9" i="16"/>
  <c r="BN10" i="16"/>
  <c r="BO10" i="16"/>
  <c r="BP10" i="16"/>
  <c r="BQ10" i="16"/>
  <c r="BR10" i="16"/>
  <c r="BN11" i="16"/>
  <c r="BO11" i="16"/>
  <c r="BP11" i="16"/>
  <c r="BQ11" i="16"/>
  <c r="BR11" i="16"/>
  <c r="BN12" i="16"/>
  <c r="BO12" i="16"/>
  <c r="BP12" i="16"/>
  <c r="BQ12" i="16"/>
  <c r="BR12" i="16"/>
  <c r="BN13" i="16"/>
  <c r="BO13" i="16"/>
  <c r="BP13" i="16"/>
  <c r="BQ13" i="16"/>
  <c r="BR13" i="16"/>
  <c r="BN14" i="16"/>
  <c r="BO14" i="16"/>
  <c r="BP14" i="16"/>
  <c r="BQ14" i="16"/>
  <c r="BR14" i="16"/>
  <c r="BN15" i="16"/>
  <c r="BO15" i="16"/>
  <c r="BP15" i="16"/>
  <c r="BQ15" i="16"/>
  <c r="BR15" i="16"/>
  <c r="BN16" i="16"/>
  <c r="BO16" i="16"/>
  <c r="BP16" i="16"/>
  <c r="BQ16" i="16"/>
  <c r="BR16" i="16"/>
  <c r="BN17" i="16"/>
  <c r="BO17" i="16"/>
  <c r="BP17" i="16"/>
  <c r="BQ17" i="16"/>
  <c r="BR17" i="16"/>
  <c r="BN18" i="16"/>
  <c r="BO18" i="16"/>
  <c r="BP18" i="16"/>
  <c r="BQ18" i="16"/>
  <c r="BR18" i="16"/>
  <c r="BN19" i="16"/>
  <c r="BO19" i="16"/>
  <c r="BP19" i="16"/>
  <c r="BQ19" i="16"/>
  <c r="BR19" i="16"/>
  <c r="BN20" i="16"/>
  <c r="BO20" i="16"/>
  <c r="BP20" i="16"/>
  <c r="BQ20" i="16"/>
  <c r="BR20" i="16"/>
  <c r="BN21" i="16"/>
  <c r="BO21" i="16"/>
  <c r="BP21" i="16"/>
  <c r="BQ21" i="16"/>
  <c r="BR21" i="16"/>
  <c r="BN22" i="16"/>
  <c r="BO22" i="16"/>
  <c r="BP22" i="16"/>
  <c r="BQ22" i="16"/>
  <c r="BR22" i="16"/>
  <c r="BN23" i="16"/>
  <c r="BO23" i="16"/>
  <c r="BP23" i="16"/>
  <c r="BQ23" i="16"/>
  <c r="BR23" i="16"/>
  <c r="BN24" i="16"/>
  <c r="BO24" i="16"/>
  <c r="BP24" i="16"/>
  <c r="BQ24" i="16"/>
  <c r="BR24" i="16"/>
  <c r="BN25" i="16"/>
  <c r="BO25" i="16"/>
  <c r="BP25" i="16"/>
  <c r="BQ25" i="16"/>
  <c r="BR25" i="16"/>
  <c r="BN26" i="16"/>
  <c r="BO26" i="16"/>
  <c r="BP26" i="16"/>
  <c r="BQ26" i="16"/>
  <c r="BR26" i="16"/>
  <c r="BN27" i="16"/>
  <c r="BO27" i="16"/>
  <c r="BP27" i="16"/>
  <c r="BQ27" i="16"/>
  <c r="BR27" i="16"/>
  <c r="BN28" i="16"/>
  <c r="BO28" i="16"/>
  <c r="BP28" i="16"/>
  <c r="BQ28" i="16"/>
  <c r="BR28" i="16"/>
  <c r="BN29" i="16"/>
  <c r="BO29" i="16"/>
  <c r="BP29" i="16"/>
  <c r="BQ29" i="16"/>
  <c r="BR29" i="16"/>
  <c r="BN30" i="16"/>
  <c r="BO30" i="16"/>
  <c r="BP30" i="16"/>
  <c r="BQ30" i="16"/>
  <c r="BR30" i="16"/>
  <c r="BN31" i="16"/>
  <c r="BO31" i="16"/>
  <c r="BP31" i="16"/>
  <c r="BQ31" i="16"/>
  <c r="BR31" i="16"/>
  <c r="BN32" i="16"/>
  <c r="BO32" i="16"/>
  <c r="BP32" i="16"/>
  <c r="BQ32" i="16"/>
  <c r="BR32" i="16"/>
  <c r="BN33" i="16"/>
  <c r="BO33" i="16"/>
  <c r="BP33" i="16"/>
  <c r="BQ33" i="16"/>
  <c r="BR3" i="16"/>
  <c r="BQ3" i="16"/>
  <c r="BP3" i="16"/>
  <c r="BO3" i="16"/>
  <c r="BN3" i="16"/>
  <c r="BG4" i="16"/>
  <c r="BH4" i="16"/>
  <c r="BI4" i="16"/>
  <c r="BJ4" i="16"/>
  <c r="BK4" i="16"/>
  <c r="BL4" i="16"/>
  <c r="BG5" i="16"/>
  <c r="BH5" i="16"/>
  <c r="BI5" i="16"/>
  <c r="BJ5" i="16"/>
  <c r="BK5" i="16"/>
  <c r="BL5" i="16"/>
  <c r="BG6" i="16"/>
  <c r="BH6" i="16"/>
  <c r="BI6" i="16"/>
  <c r="BJ6" i="16"/>
  <c r="BK6" i="16"/>
  <c r="BL6" i="16"/>
  <c r="BG7" i="16"/>
  <c r="BH7" i="16"/>
  <c r="BI7" i="16"/>
  <c r="BJ7" i="16"/>
  <c r="BK7" i="16"/>
  <c r="BL7" i="16"/>
  <c r="BG8" i="16"/>
  <c r="BH8" i="16"/>
  <c r="BI8" i="16"/>
  <c r="BJ8" i="16"/>
  <c r="BK8" i="16"/>
  <c r="BL8" i="16"/>
  <c r="BG9" i="16"/>
  <c r="BH9" i="16"/>
  <c r="BI9" i="16"/>
  <c r="BJ9" i="16"/>
  <c r="BK9" i="16"/>
  <c r="BL9" i="16"/>
  <c r="BG10" i="16"/>
  <c r="BH10" i="16"/>
  <c r="BI10" i="16"/>
  <c r="BJ10" i="16"/>
  <c r="BK10" i="16"/>
  <c r="BL10" i="16"/>
  <c r="BG11" i="16"/>
  <c r="BH11" i="16"/>
  <c r="BI11" i="16"/>
  <c r="BJ11" i="16"/>
  <c r="BK11" i="16"/>
  <c r="BL11" i="16"/>
  <c r="BG12" i="16"/>
  <c r="BH12" i="16"/>
  <c r="BI12" i="16"/>
  <c r="BJ12" i="16"/>
  <c r="BK12" i="16"/>
  <c r="BL12" i="16"/>
  <c r="BG13" i="16"/>
  <c r="BH13" i="16"/>
  <c r="BI13" i="16"/>
  <c r="BJ13" i="16"/>
  <c r="BK13" i="16"/>
  <c r="BL13" i="16"/>
  <c r="BG14" i="16"/>
  <c r="BH14" i="16"/>
  <c r="BI14" i="16"/>
  <c r="BJ14" i="16"/>
  <c r="BK14" i="16"/>
  <c r="BL14" i="16"/>
  <c r="BG15" i="16"/>
  <c r="BH15" i="16"/>
  <c r="BI15" i="16"/>
  <c r="BJ15" i="16"/>
  <c r="BK15" i="16"/>
  <c r="BL15" i="16"/>
  <c r="BG16" i="16"/>
  <c r="BH16" i="16"/>
  <c r="BI16" i="16"/>
  <c r="BJ16" i="16"/>
  <c r="BK16" i="16"/>
  <c r="BL16" i="16"/>
  <c r="BG17" i="16"/>
  <c r="BH17" i="16"/>
  <c r="BI17" i="16"/>
  <c r="BJ17" i="16"/>
  <c r="BK17" i="16"/>
  <c r="BL17" i="16"/>
  <c r="BG18" i="16"/>
  <c r="BH18" i="16"/>
  <c r="BI18" i="16"/>
  <c r="BJ18" i="16"/>
  <c r="BK18" i="16"/>
  <c r="BL18" i="16"/>
  <c r="BG19" i="16"/>
  <c r="BH19" i="16"/>
  <c r="BI19" i="16"/>
  <c r="BJ19" i="16"/>
  <c r="BK19" i="16"/>
  <c r="BL19" i="16"/>
  <c r="BG20" i="16"/>
  <c r="BH20" i="16"/>
  <c r="BI20" i="16"/>
  <c r="BJ20" i="16"/>
  <c r="BK20" i="16"/>
  <c r="BL20" i="16"/>
  <c r="BG21" i="16"/>
  <c r="BH21" i="16"/>
  <c r="BI21" i="16"/>
  <c r="BJ21" i="16"/>
  <c r="BK21" i="16"/>
  <c r="BL21" i="16"/>
  <c r="BG22" i="16"/>
  <c r="BH22" i="16"/>
  <c r="BI22" i="16"/>
  <c r="BJ22" i="16"/>
  <c r="BK22" i="16"/>
  <c r="BL22" i="16"/>
  <c r="BG23" i="16"/>
  <c r="BH23" i="16"/>
  <c r="BI23" i="16"/>
  <c r="BJ23" i="16"/>
  <c r="BK23" i="16"/>
  <c r="BL23" i="16"/>
  <c r="BG24" i="16"/>
  <c r="BH24" i="16"/>
  <c r="BI24" i="16"/>
  <c r="BK24" i="16"/>
  <c r="BL24" i="16"/>
  <c r="BG25" i="16"/>
  <c r="BH25" i="16"/>
  <c r="BI25" i="16"/>
  <c r="BJ25" i="16"/>
  <c r="BK25" i="16"/>
  <c r="BL25" i="16"/>
  <c r="BG26" i="16"/>
  <c r="BH26" i="16"/>
  <c r="BI26" i="16"/>
  <c r="BJ26" i="16"/>
  <c r="BK26" i="16"/>
  <c r="BL26" i="16"/>
  <c r="BG27" i="16"/>
  <c r="BH27" i="16"/>
  <c r="BI27" i="16"/>
  <c r="BJ27" i="16"/>
  <c r="BK27" i="16"/>
  <c r="BL27" i="16"/>
  <c r="BG28" i="16"/>
  <c r="BH28" i="16"/>
  <c r="BI28" i="16"/>
  <c r="BJ28" i="16"/>
  <c r="BK28" i="16"/>
  <c r="BL28" i="16"/>
  <c r="BG29" i="16"/>
  <c r="BH29" i="16"/>
  <c r="BI29" i="16"/>
  <c r="BJ29" i="16"/>
  <c r="BK29" i="16"/>
  <c r="BL29" i="16"/>
  <c r="BG30" i="16"/>
  <c r="BH30" i="16"/>
  <c r="BI30" i="16"/>
  <c r="BJ30" i="16"/>
  <c r="BK30" i="16"/>
  <c r="BL30" i="16"/>
  <c r="BG31" i="16"/>
  <c r="BH31" i="16"/>
  <c r="BI31" i="16"/>
  <c r="BJ31" i="16"/>
  <c r="BK31" i="16"/>
  <c r="BL31" i="16"/>
  <c r="BG32" i="16"/>
  <c r="BH32" i="16"/>
  <c r="BI32" i="16"/>
  <c r="BJ32" i="16"/>
  <c r="BK32" i="16"/>
  <c r="BL32" i="16"/>
  <c r="BG33" i="16"/>
  <c r="BH33" i="16"/>
  <c r="BI33" i="16"/>
  <c r="BJ33" i="16"/>
  <c r="BK33" i="16"/>
  <c r="BL33" i="16"/>
  <c r="BL3" i="16"/>
  <c r="BK3" i="16"/>
  <c r="BJ3" i="16"/>
  <c r="BI3" i="16"/>
  <c r="BH3" i="16"/>
  <c r="BG3" i="16"/>
  <c r="BF4" i="16"/>
  <c r="BF5" i="16"/>
  <c r="BF6" i="16"/>
  <c r="BF7" i="16"/>
  <c r="BF8" i="16"/>
  <c r="BF9" i="16"/>
  <c r="BF10" i="16"/>
  <c r="BF11" i="16"/>
  <c r="BF12" i="16"/>
  <c r="BF13" i="16"/>
  <c r="BF14" i="16"/>
  <c r="BF15" i="16"/>
  <c r="BF16" i="16"/>
  <c r="BF17" i="16"/>
  <c r="BF18" i="16"/>
  <c r="BF19" i="16"/>
  <c r="BF20" i="16"/>
  <c r="BF21" i="16"/>
  <c r="BF22" i="16"/>
  <c r="BF23" i="16"/>
  <c r="BF24" i="16"/>
  <c r="BF25" i="16"/>
  <c r="BF26" i="16"/>
  <c r="BF27" i="16"/>
  <c r="BF28" i="16"/>
  <c r="BF29" i="16"/>
  <c r="BF30" i="16"/>
  <c r="BF31" i="16"/>
  <c r="BF32" i="16"/>
  <c r="BF33" i="16"/>
  <c r="BF3" i="16"/>
  <c r="D7" i="14"/>
  <c r="D8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A6" i="16"/>
  <c r="D9" i="16"/>
  <c r="D7" i="16"/>
  <c r="D6" i="16"/>
  <c r="D5" i="16"/>
  <c r="D4" i="16"/>
  <c r="A7" i="16"/>
  <c r="A8" i="16"/>
  <c r="BH9" i="14"/>
  <c r="BO11" i="14"/>
  <c r="BG7" i="14"/>
  <c r="BG6" i="14"/>
  <c r="BG5" i="14"/>
  <c r="BG4" i="14"/>
  <c r="BF22" i="14"/>
  <c r="BH8" i="14"/>
  <c r="BH7" i="14"/>
  <c r="F4" i="16" l="1"/>
  <c r="F5" i="16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BH38" i="14"/>
  <c r="BF4" i="14"/>
  <c r="BH3" i="14"/>
  <c r="BG3" i="14"/>
  <c r="BF3" i="14"/>
  <c r="D4" i="14"/>
  <c r="F4" i="14" s="1"/>
  <c r="D5" i="14" l="1"/>
  <c r="F5" i="14" s="1"/>
  <c r="BO41" i="14"/>
  <c r="BN23" i="14"/>
  <c r="BN4" i="14"/>
  <c r="BO4" i="14"/>
  <c r="BP4" i="14"/>
  <c r="BQ4" i="14"/>
  <c r="BR4" i="14"/>
  <c r="BN5" i="14"/>
  <c r="BO5" i="14"/>
  <c r="BP5" i="14"/>
  <c r="BQ5" i="14"/>
  <c r="BR5" i="14"/>
  <c r="BN6" i="14"/>
  <c r="BO6" i="14"/>
  <c r="BP6" i="14"/>
  <c r="BQ6" i="14"/>
  <c r="BR6" i="14"/>
  <c r="BN7" i="14"/>
  <c r="BO7" i="14"/>
  <c r="BP7" i="14"/>
  <c r="BQ7" i="14"/>
  <c r="BR7" i="14"/>
  <c r="BN8" i="14"/>
  <c r="BO8" i="14"/>
  <c r="BP8" i="14"/>
  <c r="BQ8" i="14"/>
  <c r="BR8" i="14"/>
  <c r="BN9" i="14"/>
  <c r="BO9" i="14"/>
  <c r="BP9" i="14"/>
  <c r="BQ9" i="14"/>
  <c r="BR9" i="14"/>
  <c r="BN10" i="14"/>
  <c r="BO10" i="14"/>
  <c r="BP10" i="14"/>
  <c r="BQ10" i="14"/>
  <c r="BR10" i="14"/>
  <c r="BN11" i="14"/>
  <c r="BP11" i="14"/>
  <c r="BQ11" i="14"/>
  <c r="BR11" i="14"/>
  <c r="BN12" i="14"/>
  <c r="BO12" i="14"/>
  <c r="BP12" i="14"/>
  <c r="BQ12" i="14"/>
  <c r="BR12" i="14"/>
  <c r="BN13" i="14"/>
  <c r="BO13" i="14"/>
  <c r="BP13" i="14"/>
  <c r="BQ13" i="14"/>
  <c r="BR13" i="14"/>
  <c r="BN14" i="14"/>
  <c r="BO14" i="14"/>
  <c r="BP14" i="14"/>
  <c r="BQ14" i="14"/>
  <c r="BR14" i="14"/>
  <c r="BN15" i="14"/>
  <c r="BO15" i="14"/>
  <c r="BP15" i="14"/>
  <c r="BQ15" i="14"/>
  <c r="BR15" i="14"/>
  <c r="BN16" i="14"/>
  <c r="BO16" i="14"/>
  <c r="BP16" i="14"/>
  <c r="BQ16" i="14"/>
  <c r="BR16" i="14"/>
  <c r="BN17" i="14"/>
  <c r="BO17" i="14"/>
  <c r="BP17" i="14"/>
  <c r="BQ17" i="14"/>
  <c r="BR17" i="14"/>
  <c r="BN18" i="14"/>
  <c r="BO18" i="14"/>
  <c r="BP18" i="14"/>
  <c r="BQ18" i="14"/>
  <c r="BR18" i="14"/>
  <c r="BN19" i="14"/>
  <c r="BO19" i="14"/>
  <c r="BP19" i="14"/>
  <c r="BQ19" i="14"/>
  <c r="BR19" i="14"/>
  <c r="BN20" i="14"/>
  <c r="BO20" i="14"/>
  <c r="BP20" i="14"/>
  <c r="BQ20" i="14"/>
  <c r="BR20" i="14"/>
  <c r="BN21" i="14"/>
  <c r="BO21" i="14"/>
  <c r="BP21" i="14"/>
  <c r="BQ21" i="14"/>
  <c r="BR21" i="14"/>
  <c r="BN22" i="14"/>
  <c r="BO22" i="14"/>
  <c r="BP22" i="14"/>
  <c r="BQ22" i="14"/>
  <c r="BR22" i="14"/>
  <c r="BO23" i="14"/>
  <c r="BP23" i="14"/>
  <c r="BQ23" i="14"/>
  <c r="BR23" i="14"/>
  <c r="BN24" i="14"/>
  <c r="BO24" i="14"/>
  <c r="BP24" i="14"/>
  <c r="BQ24" i="14"/>
  <c r="BR24" i="14"/>
  <c r="BN25" i="14"/>
  <c r="BO25" i="14"/>
  <c r="BP25" i="14"/>
  <c r="BQ25" i="14"/>
  <c r="BR25" i="14"/>
  <c r="BN26" i="14"/>
  <c r="BO26" i="14"/>
  <c r="BP26" i="14"/>
  <c r="BQ26" i="14"/>
  <c r="BR26" i="14"/>
  <c r="BN27" i="14"/>
  <c r="BO27" i="14"/>
  <c r="BP27" i="14"/>
  <c r="BQ27" i="14"/>
  <c r="BR27" i="14"/>
  <c r="BN28" i="14"/>
  <c r="BO28" i="14"/>
  <c r="BP28" i="14"/>
  <c r="BQ28" i="14"/>
  <c r="BR28" i="14"/>
  <c r="BN29" i="14"/>
  <c r="BO29" i="14"/>
  <c r="BP29" i="14"/>
  <c r="BQ29" i="14"/>
  <c r="BR29" i="14"/>
  <c r="BN30" i="14"/>
  <c r="BO30" i="14"/>
  <c r="BP30" i="14"/>
  <c r="BQ30" i="14"/>
  <c r="BR30" i="14"/>
  <c r="BN31" i="14"/>
  <c r="BO31" i="14"/>
  <c r="BP31" i="14"/>
  <c r="BQ31" i="14"/>
  <c r="BR31" i="14"/>
  <c r="BN32" i="14"/>
  <c r="BO32" i="14"/>
  <c r="BP32" i="14"/>
  <c r="BQ32" i="14"/>
  <c r="BR32" i="14"/>
  <c r="BN33" i="14"/>
  <c r="BO33" i="14"/>
  <c r="BP33" i="14"/>
  <c r="BQ33" i="14"/>
  <c r="BR33" i="14"/>
  <c r="BN34" i="14"/>
  <c r="BO34" i="14"/>
  <c r="BP34" i="14"/>
  <c r="BQ34" i="14"/>
  <c r="BR34" i="14"/>
  <c r="BN35" i="14"/>
  <c r="BO35" i="14"/>
  <c r="BP35" i="14"/>
  <c r="BQ35" i="14"/>
  <c r="BR35" i="14"/>
  <c r="BN36" i="14"/>
  <c r="BO36" i="14"/>
  <c r="BP36" i="14"/>
  <c r="BQ36" i="14"/>
  <c r="BR36" i="14"/>
  <c r="BN37" i="14"/>
  <c r="BO37" i="14"/>
  <c r="BP37" i="14"/>
  <c r="BQ37" i="14"/>
  <c r="BR37" i="14"/>
  <c r="BN38" i="14"/>
  <c r="BO38" i="14"/>
  <c r="BP38" i="14"/>
  <c r="BQ38" i="14"/>
  <c r="BR38" i="14"/>
  <c r="BN39" i="14"/>
  <c r="BO39" i="14"/>
  <c r="BP39" i="14"/>
  <c r="BQ39" i="14"/>
  <c r="BR39" i="14"/>
  <c r="BN40" i="14"/>
  <c r="BO40" i="14"/>
  <c r="BP40" i="14"/>
  <c r="BQ40" i="14"/>
  <c r="BR40" i="14"/>
  <c r="BN41" i="14"/>
  <c r="BP41" i="14"/>
  <c r="BQ41" i="14"/>
  <c r="BR41" i="14"/>
  <c r="BN42" i="14"/>
  <c r="BO42" i="14"/>
  <c r="BP42" i="14"/>
  <c r="BQ42" i="14"/>
  <c r="BR42" i="14"/>
  <c r="BN43" i="14"/>
  <c r="BO43" i="14"/>
  <c r="BP43" i="14"/>
  <c r="BQ43" i="14"/>
  <c r="BR43" i="14"/>
  <c r="BN44" i="14"/>
  <c r="BO44" i="14"/>
  <c r="BP44" i="14"/>
  <c r="BQ44" i="14"/>
  <c r="BR44" i="14"/>
  <c r="BN45" i="14"/>
  <c r="BO45" i="14"/>
  <c r="BP45" i="14"/>
  <c r="BQ45" i="14"/>
  <c r="BR45" i="14"/>
  <c r="BN46" i="14"/>
  <c r="BO46" i="14"/>
  <c r="BP46" i="14"/>
  <c r="BQ46" i="14"/>
  <c r="BR46" i="14"/>
  <c r="BN47" i="14"/>
  <c r="BO47" i="14"/>
  <c r="BP47" i="14"/>
  <c r="BQ47" i="14"/>
  <c r="BN3" i="14"/>
  <c r="BR3" i="14"/>
  <c r="BQ3" i="14"/>
  <c r="BP3" i="14"/>
  <c r="BO3" i="14"/>
  <c r="BH4" i="14"/>
  <c r="BI4" i="14"/>
  <c r="BJ4" i="14"/>
  <c r="BH5" i="14"/>
  <c r="BI5" i="14"/>
  <c r="BJ5" i="14"/>
  <c r="BH6" i="14"/>
  <c r="BI6" i="14"/>
  <c r="BJ6" i="14"/>
  <c r="BI7" i="14"/>
  <c r="BJ7" i="14"/>
  <c r="BI8" i="14"/>
  <c r="BJ8" i="14"/>
  <c r="BI9" i="14"/>
  <c r="BJ9" i="14"/>
  <c r="BH10" i="14"/>
  <c r="BI10" i="14"/>
  <c r="BJ10" i="14"/>
  <c r="BH11" i="14"/>
  <c r="BI11" i="14"/>
  <c r="BJ11" i="14"/>
  <c r="BH12" i="14"/>
  <c r="BI12" i="14"/>
  <c r="BJ12" i="14"/>
  <c r="BH13" i="14"/>
  <c r="BI13" i="14"/>
  <c r="BJ13" i="14"/>
  <c r="BH14" i="14"/>
  <c r="BI14" i="14"/>
  <c r="BJ14" i="14"/>
  <c r="BH15" i="14"/>
  <c r="BI15" i="14"/>
  <c r="BJ15" i="14"/>
  <c r="BH16" i="14"/>
  <c r="BI16" i="14"/>
  <c r="BJ16" i="14"/>
  <c r="BH17" i="14"/>
  <c r="BI17" i="14"/>
  <c r="BJ17" i="14"/>
  <c r="BH18" i="14"/>
  <c r="BI18" i="14"/>
  <c r="BJ18" i="14"/>
  <c r="BH19" i="14"/>
  <c r="BI19" i="14"/>
  <c r="BJ19" i="14"/>
  <c r="BH20" i="14"/>
  <c r="BI20" i="14"/>
  <c r="BJ20" i="14"/>
  <c r="BH21" i="14"/>
  <c r="BI21" i="14"/>
  <c r="BJ21" i="14"/>
  <c r="BH22" i="14"/>
  <c r="BI22" i="14"/>
  <c r="BJ22" i="14"/>
  <c r="BH23" i="14"/>
  <c r="BI23" i="14"/>
  <c r="BJ23" i="14"/>
  <c r="BH24" i="14"/>
  <c r="BI24" i="14"/>
  <c r="BJ24" i="14"/>
  <c r="BH25" i="14"/>
  <c r="BI25" i="14"/>
  <c r="BJ25" i="14"/>
  <c r="BH26" i="14"/>
  <c r="BI26" i="14"/>
  <c r="BJ26" i="14"/>
  <c r="BH27" i="14"/>
  <c r="BI27" i="14"/>
  <c r="BJ27" i="14"/>
  <c r="BH28" i="14"/>
  <c r="BI28" i="14"/>
  <c r="BJ28" i="14"/>
  <c r="BH29" i="14"/>
  <c r="BI29" i="14"/>
  <c r="BJ29" i="14"/>
  <c r="BH30" i="14"/>
  <c r="BI30" i="14"/>
  <c r="BJ30" i="14"/>
  <c r="BH31" i="14"/>
  <c r="BI31" i="14"/>
  <c r="BJ31" i="14"/>
  <c r="BH32" i="14"/>
  <c r="BI32" i="14"/>
  <c r="BJ32" i="14"/>
  <c r="BH33" i="14"/>
  <c r="BI33" i="14"/>
  <c r="BJ33" i="14"/>
  <c r="BH34" i="14"/>
  <c r="BI34" i="14"/>
  <c r="BJ34" i="14"/>
  <c r="BH35" i="14"/>
  <c r="BI35" i="14"/>
  <c r="BJ35" i="14"/>
  <c r="BH36" i="14"/>
  <c r="BI36" i="14"/>
  <c r="BJ36" i="14"/>
  <c r="BH37" i="14"/>
  <c r="BI37" i="14"/>
  <c r="BJ37" i="14"/>
  <c r="BI38" i="14"/>
  <c r="BJ38" i="14"/>
  <c r="BH39" i="14"/>
  <c r="BI39" i="14"/>
  <c r="BJ39" i="14"/>
  <c r="BH40" i="14"/>
  <c r="BI40" i="14"/>
  <c r="BJ40" i="14"/>
  <c r="BH41" i="14"/>
  <c r="BI41" i="14"/>
  <c r="BJ41" i="14"/>
  <c r="BH42" i="14"/>
  <c r="BI42" i="14"/>
  <c r="BJ42" i="14"/>
  <c r="BH43" i="14"/>
  <c r="BI43" i="14"/>
  <c r="BJ43" i="14"/>
  <c r="BH44" i="14"/>
  <c r="BI44" i="14"/>
  <c r="BJ44" i="14"/>
  <c r="BH45" i="14"/>
  <c r="BI45" i="14"/>
  <c r="BJ45" i="14"/>
  <c r="BH46" i="14"/>
  <c r="BI46" i="14"/>
  <c r="BJ46" i="14"/>
  <c r="BH47" i="14"/>
  <c r="BI47" i="14"/>
  <c r="BJ47" i="14"/>
  <c r="BJ3" i="14"/>
  <c r="BI3" i="14"/>
  <c r="BG8" i="14"/>
  <c r="BG9" i="14"/>
  <c r="BG10" i="14"/>
  <c r="BG11" i="14"/>
  <c r="BG12" i="14"/>
  <c r="BG13" i="14"/>
  <c r="BG14" i="14"/>
  <c r="BG15" i="14"/>
  <c r="BG16" i="14"/>
  <c r="BG17" i="14"/>
  <c r="BG18" i="14"/>
  <c r="BG19" i="14"/>
  <c r="BG20" i="14"/>
  <c r="BG21" i="14"/>
  <c r="BG22" i="14"/>
  <c r="BG23" i="14"/>
  <c r="BG24" i="14"/>
  <c r="BG25" i="14"/>
  <c r="BG26" i="14"/>
  <c r="BG27" i="14"/>
  <c r="BG28" i="14"/>
  <c r="BG29" i="14"/>
  <c r="BG30" i="14"/>
  <c r="BG31" i="14"/>
  <c r="BG32" i="14"/>
  <c r="BG33" i="14"/>
  <c r="BG34" i="14"/>
  <c r="BG35" i="14"/>
  <c r="BG36" i="14"/>
  <c r="BG37" i="14"/>
  <c r="BG38" i="14"/>
  <c r="BG39" i="14"/>
  <c r="BG40" i="14"/>
  <c r="BG41" i="14"/>
  <c r="BG42" i="14"/>
  <c r="BG43" i="14"/>
  <c r="BG44" i="14"/>
  <c r="BG45" i="14"/>
  <c r="BG46" i="14"/>
  <c r="BG47" i="14"/>
  <c r="BF5" i="14"/>
  <c r="BF6" i="14"/>
  <c r="BF7" i="14"/>
  <c r="BF8" i="14"/>
  <c r="BF9" i="14"/>
  <c r="BF10" i="14"/>
  <c r="BF11" i="14"/>
  <c r="BF12" i="14"/>
  <c r="BF13" i="14"/>
  <c r="BF14" i="14"/>
  <c r="BF15" i="14"/>
  <c r="BF16" i="14"/>
  <c r="BF17" i="14"/>
  <c r="BF18" i="14"/>
  <c r="BF19" i="14"/>
  <c r="BF20" i="14"/>
  <c r="BF21" i="14"/>
  <c r="BF23" i="14"/>
  <c r="BF24" i="14"/>
  <c r="BF25" i="14"/>
  <c r="BF26" i="14"/>
  <c r="BF27" i="14"/>
  <c r="BF28" i="14"/>
  <c r="BF29" i="14"/>
  <c r="BF30" i="14"/>
  <c r="BF31" i="14"/>
  <c r="BF32" i="14"/>
  <c r="BF33" i="14"/>
  <c r="BF34" i="14"/>
  <c r="BF35" i="14"/>
  <c r="BF36" i="14"/>
  <c r="BF37" i="14"/>
  <c r="BF38" i="14"/>
  <c r="BF39" i="14"/>
  <c r="BF40" i="14"/>
  <c r="BF41" i="14"/>
  <c r="BF42" i="14"/>
  <c r="BF43" i="14"/>
  <c r="BF44" i="14"/>
  <c r="BF45" i="14"/>
  <c r="BF46" i="14"/>
  <c r="BF47" i="14"/>
  <c r="D46" i="14"/>
  <c r="D47" i="14"/>
  <c r="D42" i="14"/>
  <c r="D43" i="14"/>
  <c r="D44" i="14"/>
  <c r="D45" i="14"/>
  <c r="D34" i="14"/>
  <c r="D35" i="14"/>
  <c r="D36" i="14"/>
  <c r="D37" i="14"/>
  <c r="D38" i="14"/>
  <c r="D39" i="14"/>
  <c r="D40" i="14"/>
  <c r="D41" i="14"/>
  <c r="D26" i="14"/>
  <c r="D27" i="14"/>
  <c r="D28" i="14"/>
  <c r="D29" i="14"/>
  <c r="D30" i="14"/>
  <c r="D31" i="14"/>
  <c r="D32" i="14"/>
  <c r="D33" i="14"/>
  <c r="D22" i="14"/>
  <c r="D23" i="14"/>
  <c r="D24" i="14"/>
  <c r="D25" i="14"/>
  <c r="D19" i="14"/>
  <c r="D20" i="14"/>
  <c r="D21" i="14"/>
  <c r="D18" i="14"/>
  <c r="D16" i="14"/>
  <c r="D17" i="14"/>
  <c r="D15" i="14"/>
  <c r="D14" i="14"/>
  <c r="D11" i="14"/>
  <c r="D10" i="14"/>
  <c r="D9" i="14"/>
  <c r="D6" i="14"/>
  <c r="D8" i="14"/>
  <c r="D13" i="14"/>
  <c r="D12" i="14"/>
  <c r="B10" i="14"/>
  <c r="E4" i="14" l="1"/>
  <c r="E5" i="14" s="1"/>
  <c r="E6" i="14" s="1"/>
  <c r="E8" i="14" s="1"/>
  <c r="E9" i="14" s="1"/>
  <c r="E10" i="14" s="1"/>
  <c r="E11" i="14" s="1"/>
  <c r="E12" i="14" s="1"/>
  <c r="E13" i="14" s="1"/>
  <c r="F6" i="14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E14" i="14" l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O24" i="1" l="1"/>
  <c r="O60" i="1" l="1"/>
  <c r="O47" i="1"/>
  <c r="P11" i="2"/>
  <c r="O55" i="2"/>
  <c r="O37" i="1" l="1"/>
  <c r="O39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47" i="1"/>
  <c r="Q47" i="1"/>
  <c r="R47" i="1"/>
  <c r="S47" i="1"/>
  <c r="O48" i="1"/>
  <c r="O49" i="1"/>
  <c r="O50" i="1"/>
  <c r="O51" i="1"/>
  <c r="O52" i="1"/>
  <c r="O53" i="1"/>
  <c r="O54" i="1"/>
  <c r="O55" i="1"/>
  <c r="O56" i="1"/>
  <c r="O57" i="1"/>
  <c r="O58" i="1"/>
  <c r="O59" i="1"/>
  <c r="O63" i="1"/>
  <c r="O64" i="1"/>
  <c r="O65" i="1"/>
  <c r="P24" i="1"/>
  <c r="P30" i="1"/>
  <c r="P10" i="1"/>
  <c r="O25" i="1"/>
  <c r="P25" i="1"/>
  <c r="Q25" i="1"/>
  <c r="R25" i="1"/>
  <c r="S25" i="1"/>
  <c r="O26" i="1"/>
  <c r="P26" i="1"/>
  <c r="Q26" i="1"/>
  <c r="R26" i="1"/>
  <c r="S26" i="1"/>
  <c r="O27" i="1"/>
  <c r="P27" i="1"/>
  <c r="Q27" i="1"/>
  <c r="R27" i="1"/>
  <c r="S27" i="1"/>
  <c r="O28" i="1"/>
  <c r="P28" i="1"/>
  <c r="Q28" i="1"/>
  <c r="R28" i="1"/>
  <c r="S28" i="1"/>
  <c r="O29" i="1"/>
  <c r="P29" i="1"/>
  <c r="Q29" i="1"/>
  <c r="R29" i="1"/>
  <c r="S29" i="1"/>
  <c r="O30" i="1"/>
  <c r="Q30" i="1"/>
  <c r="R30" i="1"/>
  <c r="S30" i="1"/>
  <c r="O31" i="1"/>
  <c r="Q31" i="1"/>
  <c r="R31" i="1"/>
  <c r="S31" i="1"/>
  <c r="O32" i="1"/>
  <c r="P32" i="1"/>
  <c r="Q32" i="1"/>
  <c r="R32" i="1"/>
  <c r="S32" i="1"/>
  <c r="O33" i="1"/>
  <c r="P33" i="1"/>
  <c r="Q33" i="1"/>
  <c r="R33" i="1"/>
  <c r="S33" i="1"/>
  <c r="O34" i="1"/>
  <c r="P34" i="1"/>
  <c r="Q34" i="1"/>
  <c r="R34" i="1"/>
  <c r="S34" i="1"/>
  <c r="O35" i="1"/>
  <c r="P35" i="1"/>
  <c r="Q35" i="1"/>
  <c r="R35" i="1"/>
  <c r="S35" i="1"/>
  <c r="O36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O40" i="1"/>
  <c r="P40" i="1"/>
  <c r="Q40" i="1"/>
  <c r="R40" i="1"/>
  <c r="S40" i="1"/>
  <c r="O41" i="1"/>
  <c r="P41" i="1"/>
  <c r="Q41" i="1"/>
  <c r="R41" i="1"/>
  <c r="S41" i="1"/>
  <c r="Q24" i="1"/>
  <c r="R24" i="1"/>
  <c r="S24" i="1"/>
  <c r="O62" i="1" l="1"/>
  <c r="P31" i="1"/>
  <c r="Q10" i="3" l="1"/>
  <c r="O4" i="3"/>
  <c r="P4" i="3"/>
  <c r="Q4" i="3"/>
  <c r="R4" i="3"/>
  <c r="S4" i="3"/>
  <c r="O5" i="3"/>
  <c r="P5" i="3"/>
  <c r="Q5" i="3"/>
  <c r="R5" i="3"/>
  <c r="S5" i="3"/>
  <c r="O6" i="3"/>
  <c r="P6" i="3"/>
  <c r="Q6" i="3"/>
  <c r="R6" i="3"/>
  <c r="S6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O10" i="3"/>
  <c r="P10" i="3"/>
  <c r="R10" i="3"/>
  <c r="S10" i="3"/>
  <c r="O11" i="3"/>
  <c r="P11" i="3"/>
  <c r="Q11" i="3"/>
  <c r="R11" i="3"/>
  <c r="S11" i="3"/>
  <c r="O12" i="3"/>
  <c r="P12" i="3"/>
  <c r="Q12" i="3"/>
  <c r="R12" i="3"/>
  <c r="S12" i="3"/>
  <c r="O13" i="3"/>
  <c r="P13" i="3"/>
  <c r="Q13" i="3"/>
  <c r="R13" i="3"/>
  <c r="S13" i="3"/>
  <c r="O14" i="3"/>
  <c r="P14" i="3"/>
  <c r="Q14" i="3"/>
  <c r="R14" i="3"/>
  <c r="S14" i="3"/>
  <c r="O15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O18" i="3"/>
  <c r="P18" i="3"/>
  <c r="Q18" i="3"/>
  <c r="R18" i="3"/>
  <c r="S18" i="3"/>
  <c r="O19" i="3"/>
  <c r="P19" i="3"/>
  <c r="Q19" i="3"/>
  <c r="R19" i="3"/>
  <c r="S19" i="3"/>
  <c r="O20" i="3"/>
  <c r="P20" i="3"/>
  <c r="Q20" i="3"/>
  <c r="R20" i="3"/>
  <c r="S20" i="3"/>
  <c r="O21" i="3"/>
  <c r="P21" i="3"/>
  <c r="Q21" i="3"/>
  <c r="R21" i="3"/>
  <c r="S21" i="3"/>
  <c r="O22" i="3"/>
  <c r="P22" i="3"/>
  <c r="Q22" i="3"/>
  <c r="R22" i="3"/>
  <c r="S22" i="3"/>
  <c r="O23" i="3"/>
  <c r="P23" i="3"/>
  <c r="Q23" i="3"/>
  <c r="R23" i="3"/>
  <c r="O24" i="3"/>
  <c r="P24" i="3"/>
  <c r="Q24" i="3"/>
  <c r="R24" i="3"/>
  <c r="S24" i="3"/>
  <c r="O25" i="3"/>
  <c r="P25" i="3"/>
  <c r="Q25" i="3"/>
  <c r="R25" i="3"/>
  <c r="S25" i="3"/>
  <c r="O26" i="3"/>
  <c r="P26" i="3"/>
  <c r="Q26" i="3"/>
  <c r="R26" i="3"/>
  <c r="S26" i="3"/>
  <c r="O27" i="3"/>
  <c r="P27" i="3"/>
  <c r="Q27" i="3"/>
  <c r="R27" i="3"/>
  <c r="S27" i="3"/>
  <c r="O28" i="3"/>
  <c r="P28" i="3"/>
  <c r="Q28" i="3"/>
  <c r="R28" i="3"/>
  <c r="S28" i="3"/>
  <c r="O29" i="3"/>
  <c r="P29" i="3"/>
  <c r="Q29" i="3"/>
  <c r="R29" i="3"/>
  <c r="S29" i="3"/>
  <c r="O30" i="3"/>
  <c r="P30" i="3"/>
  <c r="Q30" i="3"/>
  <c r="R30" i="3"/>
  <c r="S30" i="3"/>
  <c r="O31" i="3"/>
  <c r="P31" i="3"/>
  <c r="Q31" i="3"/>
  <c r="R31" i="3"/>
  <c r="S31" i="3"/>
  <c r="O32" i="3"/>
  <c r="P32" i="3"/>
  <c r="Q32" i="3"/>
  <c r="R32" i="3"/>
  <c r="O3" i="3"/>
  <c r="S3" i="3"/>
  <c r="R3" i="3"/>
  <c r="Q3" i="3"/>
  <c r="P3" i="3"/>
  <c r="M32" i="3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J13" i="3"/>
  <c r="K13" i="3"/>
  <c r="L13" i="3"/>
  <c r="M13" i="3"/>
  <c r="J14" i="3"/>
  <c r="K14" i="3"/>
  <c r="L14" i="3"/>
  <c r="M14" i="3"/>
  <c r="J15" i="3"/>
  <c r="K15" i="3"/>
  <c r="L15" i="3"/>
  <c r="M15" i="3"/>
  <c r="J16" i="3"/>
  <c r="K16" i="3"/>
  <c r="L16" i="3"/>
  <c r="M16" i="3"/>
  <c r="J17" i="3"/>
  <c r="K17" i="3"/>
  <c r="L17" i="3"/>
  <c r="M17" i="3"/>
  <c r="J18" i="3"/>
  <c r="K18" i="3"/>
  <c r="L18" i="3"/>
  <c r="M18" i="3"/>
  <c r="J19" i="3"/>
  <c r="K19" i="3"/>
  <c r="L19" i="3"/>
  <c r="M19" i="3"/>
  <c r="J20" i="3"/>
  <c r="K20" i="3"/>
  <c r="L20" i="3"/>
  <c r="M20" i="3"/>
  <c r="J21" i="3"/>
  <c r="K21" i="3"/>
  <c r="L21" i="3"/>
  <c r="M21" i="3"/>
  <c r="J22" i="3"/>
  <c r="K22" i="3"/>
  <c r="L22" i="3"/>
  <c r="M22" i="3"/>
  <c r="J23" i="3"/>
  <c r="K23" i="3"/>
  <c r="L23" i="3"/>
  <c r="M23" i="3"/>
  <c r="J24" i="3"/>
  <c r="K24" i="3"/>
  <c r="L24" i="3"/>
  <c r="M24" i="3"/>
  <c r="J25" i="3"/>
  <c r="K25" i="3"/>
  <c r="L25" i="3"/>
  <c r="J26" i="3"/>
  <c r="K26" i="3"/>
  <c r="L26" i="3"/>
  <c r="M26" i="3"/>
  <c r="J27" i="3"/>
  <c r="K27" i="3"/>
  <c r="L27" i="3"/>
  <c r="M27" i="3"/>
  <c r="J28" i="3"/>
  <c r="K28" i="3"/>
  <c r="L28" i="3"/>
  <c r="M28" i="3"/>
  <c r="J29" i="3"/>
  <c r="K29" i="3"/>
  <c r="L29" i="3"/>
  <c r="M29" i="3"/>
  <c r="J30" i="3"/>
  <c r="K30" i="3"/>
  <c r="L30" i="3"/>
  <c r="M30" i="3"/>
  <c r="J31" i="3"/>
  <c r="L31" i="3"/>
  <c r="M31" i="3"/>
  <c r="J32" i="3"/>
  <c r="L3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M3" i="3"/>
  <c r="L3" i="3"/>
  <c r="K3" i="3"/>
  <c r="J3" i="3"/>
  <c r="I3" i="3"/>
  <c r="H3" i="3"/>
  <c r="G3" i="3"/>
  <c r="Q3" i="2"/>
  <c r="R10" i="2"/>
  <c r="E4" i="3" l="1"/>
  <c r="F4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E5" i="3" l="1"/>
  <c r="F5" i="3" s="1"/>
  <c r="E6" i="3" l="1"/>
  <c r="F6" i="3" s="1"/>
  <c r="E7" i="3" l="1"/>
  <c r="E8" i="3"/>
  <c r="F7" i="3"/>
  <c r="F8" i="3" l="1"/>
  <c r="E9" i="3"/>
  <c r="E10" i="3" l="1"/>
  <c r="F9" i="3"/>
  <c r="E11" i="3" l="1"/>
  <c r="F10" i="3"/>
  <c r="F11" i="3" l="1"/>
  <c r="E12" i="3"/>
  <c r="F12" i="3" l="1"/>
  <c r="E13" i="3"/>
  <c r="E14" i="3" l="1"/>
  <c r="F13" i="3"/>
  <c r="F14" i="3" l="1"/>
  <c r="E15" i="3"/>
  <c r="F15" i="3" l="1"/>
  <c r="E16" i="3"/>
  <c r="E17" i="3" l="1"/>
  <c r="F16" i="3"/>
  <c r="F17" i="3" l="1"/>
  <c r="E18" i="3"/>
  <c r="E19" i="3" l="1"/>
  <c r="F18" i="3"/>
  <c r="E20" i="3" l="1"/>
  <c r="F19" i="3"/>
  <c r="F20" i="3" l="1"/>
  <c r="E21" i="3"/>
  <c r="F21" i="3" l="1"/>
  <c r="E22" i="3"/>
  <c r="E23" i="3" l="1"/>
  <c r="F22" i="3"/>
  <c r="F23" i="3" l="1"/>
  <c r="E24" i="3"/>
  <c r="E25" i="3" l="1"/>
  <c r="F24" i="3"/>
  <c r="E26" i="3" l="1"/>
  <c r="F25" i="3"/>
  <c r="F26" i="3" l="1"/>
  <c r="E27" i="3"/>
  <c r="F27" i="3" l="1"/>
  <c r="E28" i="3"/>
  <c r="E29" i="3" l="1"/>
  <c r="F28" i="3"/>
  <c r="F29" i="3" l="1"/>
  <c r="E30" i="3"/>
  <c r="F30" i="3" l="1"/>
  <c r="E31" i="3"/>
  <c r="E32" i="3" l="1"/>
  <c r="F32" i="3" s="1"/>
  <c r="F31" i="3"/>
  <c r="P10" i="2" l="1"/>
  <c r="P12" i="1"/>
  <c r="Q3" i="1"/>
  <c r="K15" i="1"/>
  <c r="I3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S10" i="2"/>
  <c r="S4" i="2"/>
  <c r="S5" i="2"/>
  <c r="S6" i="2"/>
  <c r="S7" i="2"/>
  <c r="S8" i="2"/>
  <c r="S9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3" i="2"/>
  <c r="R3" i="2"/>
  <c r="R4" i="2"/>
  <c r="R5" i="2"/>
  <c r="R6" i="2"/>
  <c r="R7" i="2"/>
  <c r="R8" i="2"/>
  <c r="R9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Q4" i="2"/>
  <c r="Q5" i="2"/>
  <c r="Q6" i="2"/>
  <c r="Q7" i="2"/>
  <c r="Q8" i="2"/>
  <c r="Q9" i="2"/>
  <c r="Q10" i="2"/>
  <c r="Q11" i="2"/>
  <c r="Q12" i="2"/>
  <c r="Q13" i="2"/>
  <c r="Q14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P4" i="2"/>
  <c r="P5" i="2"/>
  <c r="P6" i="2"/>
  <c r="P7" i="2"/>
  <c r="P8" i="2"/>
  <c r="P9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3" i="2"/>
  <c r="G4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G9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K3" i="2"/>
  <c r="J3" i="2"/>
  <c r="I3" i="2"/>
  <c r="H3" i="2"/>
  <c r="G3" i="2"/>
  <c r="E4" i="2"/>
  <c r="E5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F5" i="2" l="1"/>
  <c r="E6" i="2"/>
  <c r="E7" i="2" l="1"/>
  <c r="F7" i="2" s="1"/>
  <c r="F6" i="2"/>
  <c r="E8" i="2" l="1"/>
  <c r="F8" i="2" l="1"/>
  <c r="E9" i="2"/>
  <c r="F9" i="2" l="1"/>
  <c r="E11" i="2" l="1"/>
  <c r="F10" i="2"/>
  <c r="E12" i="2" l="1"/>
  <c r="F11" i="2"/>
  <c r="E13" i="2" l="1"/>
  <c r="F12" i="2"/>
  <c r="F13" i="2" l="1"/>
  <c r="E14" i="2"/>
  <c r="F14" i="2" l="1"/>
  <c r="E15" i="2"/>
  <c r="E16" i="2" l="1"/>
  <c r="F15" i="2"/>
  <c r="E17" i="2" l="1"/>
  <c r="F16" i="2"/>
  <c r="E18" i="2" l="1"/>
  <c r="F17" i="2"/>
  <c r="E19" i="2" l="1"/>
  <c r="F18" i="2"/>
  <c r="F19" i="2" l="1"/>
  <c r="E20" i="2"/>
  <c r="E21" i="2" l="1"/>
  <c r="F20" i="2"/>
  <c r="F21" i="2" l="1"/>
  <c r="E22" i="2"/>
  <c r="F22" i="2" l="1"/>
  <c r="E23" i="2"/>
  <c r="F23" i="2" l="1"/>
  <c r="E24" i="2"/>
  <c r="E25" i="2" l="1"/>
  <c r="F24" i="2"/>
  <c r="F25" i="2" l="1"/>
  <c r="E26" i="2"/>
  <c r="E27" i="2" l="1"/>
  <c r="F26" i="2"/>
  <c r="E28" i="2" l="1"/>
  <c r="F27" i="2"/>
  <c r="E29" i="2" l="1"/>
  <c r="F28" i="2"/>
  <c r="E30" i="2" l="1"/>
  <c r="F29" i="2"/>
  <c r="E31" i="2" l="1"/>
  <c r="F30" i="2"/>
  <c r="F31" i="2" l="1"/>
  <c r="E32" i="2"/>
  <c r="F32" i="2" l="1"/>
  <c r="E33" i="2"/>
  <c r="F33" i="2" l="1"/>
  <c r="E34" i="2"/>
  <c r="F34" i="2" l="1"/>
  <c r="E35" i="2"/>
  <c r="E36" i="2" l="1"/>
  <c r="F35" i="2"/>
  <c r="E37" i="2" l="1"/>
  <c r="F36" i="2"/>
  <c r="F37" i="2" l="1"/>
  <c r="E38" i="2"/>
  <c r="E39" i="2" l="1"/>
  <c r="F38" i="2"/>
  <c r="E40" i="2" l="1"/>
  <c r="F39" i="2"/>
  <c r="E41" i="2" l="1"/>
  <c r="F40" i="2"/>
  <c r="E42" i="2" l="1"/>
  <c r="F41" i="2"/>
  <c r="E43" i="2" l="1"/>
  <c r="F42" i="2"/>
  <c r="F43" i="2" l="1"/>
  <c r="E44" i="2"/>
  <c r="F44" i="2" l="1"/>
  <c r="E45" i="2"/>
  <c r="E46" i="2" l="1"/>
  <c r="F45" i="2"/>
  <c r="E47" i="2" l="1"/>
  <c r="F46" i="2"/>
  <c r="F47" i="2" l="1"/>
  <c r="E48" i="2"/>
  <c r="E49" i="2" l="1"/>
  <c r="F48" i="2"/>
  <c r="F49" i="2" l="1"/>
  <c r="E50" i="2"/>
  <c r="F50" i="2" l="1"/>
  <c r="E51" i="2"/>
  <c r="E52" i="2" l="1"/>
  <c r="F51" i="2"/>
  <c r="E53" i="2" l="1"/>
  <c r="F52" i="2"/>
  <c r="F53" i="2" l="1"/>
  <c r="E54" i="2"/>
  <c r="E55" i="2" s="1"/>
  <c r="E56" i="2" s="1"/>
  <c r="E57" i="2" l="1"/>
  <c r="F56" i="2"/>
  <c r="F55" i="2"/>
  <c r="F54" i="2"/>
  <c r="E58" i="2" l="1"/>
  <c r="F57" i="2"/>
  <c r="H8" i="1"/>
  <c r="H17" i="1"/>
  <c r="P1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4" i="1"/>
  <c r="P5" i="1"/>
  <c r="P6" i="1"/>
  <c r="P7" i="1"/>
  <c r="P8" i="1"/>
  <c r="P9" i="1"/>
  <c r="P11" i="1"/>
  <c r="P13" i="1"/>
  <c r="P14" i="1"/>
  <c r="P15" i="1"/>
  <c r="P16" i="1"/>
  <c r="P17" i="1"/>
  <c r="P19" i="1"/>
  <c r="P20" i="1"/>
  <c r="P2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3" i="1"/>
  <c r="H3" i="1"/>
  <c r="G3" i="1"/>
  <c r="J5" i="1"/>
  <c r="H7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3" i="1"/>
  <c r="J7" i="1"/>
  <c r="J4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4" i="1"/>
  <c r="H5" i="1"/>
  <c r="H6" i="1"/>
  <c r="H9" i="1"/>
  <c r="H10" i="1"/>
  <c r="H11" i="1"/>
  <c r="H12" i="1"/>
  <c r="H13" i="1"/>
  <c r="H14" i="1"/>
  <c r="H15" i="1"/>
  <c r="H16" i="1"/>
  <c r="H18" i="1"/>
  <c r="H19" i="1"/>
  <c r="H20" i="1"/>
  <c r="H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E4" i="1"/>
  <c r="E5" i="1" s="1"/>
  <c r="F58" i="2" l="1"/>
  <c r="E59" i="2"/>
  <c r="A19" i="1"/>
  <c r="A20" i="1" s="1"/>
  <c r="A21" i="1" s="1"/>
  <c r="E6" i="1"/>
  <c r="E8" i="1" s="1"/>
  <c r="F5" i="1"/>
  <c r="F59" i="2" l="1"/>
  <c r="E60" i="2"/>
  <c r="E9" i="1"/>
  <c r="E10" i="1" s="1"/>
  <c r="F8" i="1"/>
  <c r="E11" i="1"/>
  <c r="E12" i="1" s="1"/>
  <c r="E13" i="1" s="1"/>
  <c r="F10" i="1"/>
  <c r="F6" i="1"/>
  <c r="E61" i="2" l="1"/>
  <c r="F60" i="2"/>
  <c r="E14" i="1"/>
  <c r="E15" i="1" s="1"/>
  <c r="E16" i="1" s="1"/>
  <c r="E17" i="1" s="1"/>
  <c r="E18" i="1" s="1"/>
  <c r="E19" i="1" s="1"/>
  <c r="E20" i="1" s="1"/>
  <c r="E21" i="1" s="1"/>
  <c r="F21" i="1" s="1"/>
  <c r="F13" i="1"/>
  <c r="F7" i="1"/>
  <c r="E62" i="2" l="1"/>
  <c r="F61" i="2"/>
  <c r="F9" i="1"/>
  <c r="E63" i="2" l="1"/>
  <c r="F62" i="2"/>
  <c r="F11" i="1"/>
  <c r="E64" i="2" l="1"/>
  <c r="F63" i="2"/>
  <c r="F12" i="1"/>
  <c r="E65" i="2" l="1"/>
  <c r="F64" i="2"/>
  <c r="F14" i="1"/>
  <c r="E66" i="2" l="1"/>
  <c r="F65" i="2"/>
  <c r="F15" i="1"/>
  <c r="E67" i="2" l="1"/>
  <c r="F66" i="2"/>
  <c r="F18" i="1"/>
  <c r="F16" i="1"/>
  <c r="E68" i="2" l="1"/>
  <c r="F67" i="2"/>
  <c r="F17" i="1"/>
  <c r="E69" i="2" l="1"/>
  <c r="F68" i="2"/>
  <c r="F19" i="1"/>
  <c r="E70" i="2" l="1"/>
  <c r="F69" i="2"/>
  <c r="F20" i="1"/>
  <c r="F70" i="2" l="1"/>
  <c r="E71" i="2"/>
  <c r="F71" i="2" l="1"/>
  <c r="E72" i="2"/>
  <c r="E73" i="2" l="1"/>
  <c r="F72" i="2"/>
  <c r="E74" i="2" l="1"/>
  <c r="F73" i="2"/>
  <c r="E75" i="2" l="1"/>
  <c r="F74" i="2"/>
  <c r="E76" i="2" l="1"/>
  <c r="F75" i="2"/>
  <c r="E77" i="2" l="1"/>
  <c r="F76" i="2"/>
  <c r="E78" i="2" l="1"/>
  <c r="F77" i="2"/>
  <c r="E79" i="2" l="1"/>
  <c r="F78" i="2"/>
  <c r="E80" i="2" l="1"/>
  <c r="F79" i="2"/>
  <c r="E81" i="2" l="1"/>
  <c r="F80" i="2"/>
  <c r="E82" i="2" l="1"/>
  <c r="F81" i="2"/>
  <c r="F82" i="2" l="1"/>
  <c r="E83" i="2"/>
  <c r="F83" i="2" l="1"/>
  <c r="E84" i="2"/>
  <c r="E85" i="2" l="1"/>
  <c r="F84" i="2"/>
  <c r="E86" i="2" l="1"/>
  <c r="F85" i="2"/>
  <c r="E87" i="2" l="1"/>
  <c r="F86" i="2"/>
  <c r="E88" i="2" l="1"/>
  <c r="F87" i="2"/>
  <c r="E89" i="2" l="1"/>
  <c r="F88" i="2"/>
  <c r="E90" i="2" l="1"/>
  <c r="F89" i="2"/>
  <c r="E91" i="2" l="1"/>
  <c r="F90" i="2"/>
  <c r="E92" i="2" l="1"/>
  <c r="F91" i="2"/>
  <c r="E93" i="2" l="1"/>
  <c r="F92" i="2"/>
  <c r="E94" i="2" l="1"/>
  <c r="F93" i="2"/>
  <c r="F94" i="2" l="1"/>
  <c r="E95" i="2"/>
  <c r="F95" i="2" l="1"/>
  <c r="E96" i="2"/>
  <c r="E97" i="2" l="1"/>
  <c r="F96" i="2"/>
  <c r="E98" i="2" l="1"/>
  <c r="F97" i="2"/>
  <c r="F98" i="2" l="1"/>
  <c r="E99" i="2"/>
  <c r="E100" i="2" l="1"/>
  <c r="F99" i="2"/>
  <c r="E101" i="2" l="1"/>
  <c r="F100" i="2"/>
  <c r="E102" i="2" l="1"/>
  <c r="F101" i="2"/>
  <c r="E103" i="2" l="1"/>
  <c r="F102" i="2"/>
  <c r="E104" i="2" l="1"/>
  <c r="F103" i="2"/>
  <c r="E105" i="2" l="1"/>
  <c r="F104" i="2"/>
  <c r="E106" i="2" l="1"/>
  <c r="F105" i="2"/>
  <c r="F106" i="2" l="1"/>
  <c r="E107" i="2"/>
  <c r="F107" i="2" l="1"/>
  <c r="E108" i="2"/>
  <c r="F108" i="2" l="1"/>
  <c r="E109" i="2"/>
  <c r="E110" i="2" l="1"/>
  <c r="F109" i="2"/>
  <c r="E111" i="2" l="1"/>
  <c r="F110" i="2"/>
  <c r="E112" i="2" l="1"/>
  <c r="F112" i="2" s="1"/>
  <c r="E113" i="2" l="1"/>
  <c r="E114" i="2" l="1"/>
  <c r="F113" i="2"/>
  <c r="E115" i="2" l="1"/>
  <c r="F114" i="2"/>
  <c r="E116" i="2" l="1"/>
  <c r="F115" i="2"/>
  <c r="E117" i="2" l="1"/>
  <c r="F116" i="2"/>
  <c r="E118" i="2" l="1"/>
  <c r="F117" i="2"/>
  <c r="F118" i="2" l="1"/>
  <c r="E119" i="2"/>
  <c r="F119" i="2" l="1"/>
  <c r="E120" i="2"/>
  <c r="E121" i="2" l="1"/>
  <c r="F120" i="2"/>
  <c r="E122" i="2" l="1"/>
  <c r="F121" i="2"/>
  <c r="F122" i="2" l="1"/>
  <c r="E123" i="2"/>
  <c r="E124" i="2" l="1"/>
  <c r="F123" i="2"/>
  <c r="E125" i="2" l="1"/>
  <c r="F124" i="2"/>
  <c r="E126" i="2" l="1"/>
  <c r="F125" i="2"/>
  <c r="E127" i="2" l="1"/>
  <c r="F126" i="2"/>
  <c r="E128" i="2" l="1"/>
  <c r="F127" i="2"/>
  <c r="E129" i="2" l="1"/>
  <c r="F128" i="2"/>
  <c r="E130" i="2" l="1"/>
  <c r="F129" i="2"/>
  <c r="F130" i="2" l="1"/>
  <c r="E131" i="2"/>
  <c r="F131" i="2" l="1"/>
  <c r="E132" i="2"/>
  <c r="E133" i="2" l="1"/>
  <c r="F132" i="2"/>
  <c r="E134" i="2" l="1"/>
  <c r="F133" i="2"/>
  <c r="E135" i="2" l="1"/>
  <c r="F134" i="2"/>
  <c r="E136" i="2" l="1"/>
  <c r="F135" i="2"/>
  <c r="E137" i="2" l="1"/>
  <c r="F136" i="2"/>
  <c r="E138" i="2" l="1"/>
  <c r="F137" i="2"/>
  <c r="E139" i="2" l="1"/>
  <c r="F138" i="2"/>
  <c r="E140" i="2" l="1"/>
  <c r="F139" i="2"/>
  <c r="F140" i="2" l="1"/>
  <c r="E141" i="2"/>
  <c r="E142" i="2" l="1"/>
  <c r="F142" i="2" s="1"/>
  <c r="F141" i="2"/>
  <c r="BA186" i="20"/>
  <c r="AY186" i="20"/>
  <c r="AZ186" i="20"/>
  <c r="AW186" i="20"/>
  <c r="AX18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3" authorId="0" shapeId="0" xr:uid="{E5EF6C4B-5911-4987-883B-E3DF4C300C81}">
      <text>
        <r>
          <rPr>
            <b/>
            <sz val="9"/>
            <color indexed="81"/>
            <rFont val="Tahoma"/>
            <family val="2"/>
          </rPr>
          <t xml:space="preserve">Zeinab:
We just grouped 5 couples
</t>
        </r>
      </text>
    </comment>
    <comment ref="Y3" authorId="0" shapeId="0" xr:uid="{6B94A77F-BE6E-407E-9A38-BD546AE9A56B}">
      <text>
        <r>
          <rPr>
            <b/>
            <sz val="9"/>
            <color indexed="81"/>
            <rFont val="Tahoma"/>
            <family val="2"/>
          </rPr>
          <t xml:space="preserve">Zeinab:
No groupings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" authorId="0" shapeId="0" xr:uid="{5A87C07E-E9B4-40A3-9CB3-D598C16F7C74}">
      <text>
        <r>
          <rPr>
            <sz val="9"/>
            <color indexed="81"/>
            <rFont val="Tahoma"/>
            <family val="2"/>
          </rPr>
          <t xml:space="preserve">Zeinab:
8 groupings
</t>
        </r>
      </text>
    </comment>
  </commentList>
</comments>
</file>

<file path=xl/sharedStrings.xml><?xml version="1.0" encoding="utf-8"?>
<sst xmlns="http://schemas.openxmlformats.org/spreadsheetml/2006/main" count="19959" uniqueCount="58">
  <si>
    <t>DoY</t>
  </si>
  <si>
    <t>Data_time</t>
  </si>
  <si>
    <t>Delta hours [h]</t>
  </si>
  <si>
    <t>Partial Day</t>
  </si>
  <si>
    <t>E</t>
  </si>
  <si>
    <t>L1</t>
  </si>
  <si>
    <t>N_Day5°</t>
  </si>
  <si>
    <t>Hours accumulateD [h]</t>
  </si>
  <si>
    <t>L2</t>
  </si>
  <si>
    <t>Egg</t>
  </si>
  <si>
    <t>L3</t>
  </si>
  <si>
    <t>P</t>
  </si>
  <si>
    <t>50 individuals</t>
  </si>
  <si>
    <t>AM</t>
  </si>
  <si>
    <t>AF</t>
  </si>
  <si>
    <t>Development</t>
  </si>
  <si>
    <t>Mortality</t>
  </si>
  <si>
    <t>E_D</t>
  </si>
  <si>
    <t>L1_D</t>
  </si>
  <si>
    <t>Data_timE</t>
  </si>
  <si>
    <t>DElta hours [h]</t>
  </si>
  <si>
    <t>Hours accumulatED [h]</t>
  </si>
  <si>
    <t>L2_D</t>
  </si>
  <si>
    <t>Delta Hours [h]</t>
  </si>
  <si>
    <t>Hours Accumulated [h]</t>
  </si>
  <si>
    <t>Day</t>
  </si>
  <si>
    <t>P_D</t>
  </si>
  <si>
    <t>c</t>
  </si>
  <si>
    <t>L3_D</t>
  </si>
  <si>
    <r>
      <t>N_day</t>
    </r>
    <r>
      <rPr>
        <vertAlign val="subscript"/>
        <sz val="11"/>
        <color theme="1"/>
        <rFont val="Aptos Narrow"/>
        <family val="2"/>
      </rPr>
      <t>32°</t>
    </r>
  </si>
  <si>
    <r>
      <t>N_day</t>
    </r>
    <r>
      <rPr>
        <vertAlign val="subscript"/>
        <sz val="11"/>
        <color theme="1"/>
        <rFont val="Aptos Narrow"/>
        <family val="2"/>
      </rPr>
      <t>30°</t>
    </r>
  </si>
  <si>
    <r>
      <t>N_day</t>
    </r>
    <r>
      <rPr>
        <vertAlign val="subscript"/>
        <sz val="11"/>
        <color theme="1"/>
        <rFont val="Aptos Narrow"/>
        <family val="2"/>
      </rPr>
      <t>28°</t>
    </r>
  </si>
  <si>
    <t>Data_time_1hr_2hr</t>
  </si>
  <si>
    <t>50 Individuals</t>
  </si>
  <si>
    <r>
      <t>N_day</t>
    </r>
    <r>
      <rPr>
        <vertAlign val="subscript"/>
        <sz val="11"/>
        <color theme="1"/>
        <rFont val="Calibri"/>
        <family val="2"/>
        <scheme val="minor"/>
      </rPr>
      <t>36°</t>
    </r>
  </si>
  <si>
    <t>Cum_Mortality</t>
  </si>
  <si>
    <t>Development- 5°C</t>
  </si>
  <si>
    <t>Development- 10°C</t>
  </si>
  <si>
    <t>Development- 16°C</t>
  </si>
  <si>
    <t>Development- 28°C</t>
  </si>
  <si>
    <t>Development- 30°C</t>
  </si>
  <si>
    <t>Development- 32°C</t>
  </si>
  <si>
    <t>Development- 34°C</t>
  </si>
  <si>
    <t>Mortality- 5°C</t>
  </si>
  <si>
    <t>Mortality- 10°C</t>
  </si>
  <si>
    <t>Mortality- 16°C</t>
  </si>
  <si>
    <t>Mortality- 28°C</t>
  </si>
  <si>
    <t>Mortality- 30°C</t>
  </si>
  <si>
    <t>Mortality- 32°C</t>
  </si>
  <si>
    <t>Mortality- 34°C</t>
  </si>
  <si>
    <t>Partial day</t>
  </si>
  <si>
    <r>
      <t>N_day</t>
    </r>
    <r>
      <rPr>
        <vertAlign val="subscript"/>
        <sz val="11"/>
        <color theme="1"/>
        <rFont val="Aptos Narrow"/>
        <family val="2"/>
      </rPr>
      <t>34°</t>
    </r>
  </si>
  <si>
    <t>50 indv.</t>
  </si>
  <si>
    <t>AM_D</t>
  </si>
  <si>
    <t>AF_D</t>
  </si>
  <si>
    <t>Days</t>
  </si>
  <si>
    <t>Development- 36°C</t>
  </si>
  <si>
    <t>Mortality- 36°C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</si>
</sst>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\ h\.mm;@"/>
    <numFmt numFmtId="165" formatCode="[h]:mm:ss;@"/>
    <numFmt numFmtId="166" formatCode="[h]"/>
    <numFmt numFmtId="167" formatCode="h:mm;@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8"/>
      <name val="Calibri"/>
      <family val="2"/>
      <scheme val="minor"/>
    </font>
    <font>
      <b/>
      <sz val="16"/>
      <color theme="1"/>
      <name val="Aptos Narrow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Aptos Narrow"/>
      <family val="2"/>
    </font>
    <font>
      <b/>
      <sz val="11"/>
      <color theme="5" tint="-0.249977111117893"/>
      <name val="Aptos Narrow"/>
      <family val="2"/>
    </font>
    <font>
      <sz val="11"/>
      <color rgb="FFFF0000"/>
      <name val="Aptos Narrow"/>
      <family val="2"/>
    </font>
    <font>
      <b/>
      <sz val="11"/>
      <color theme="5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4506668294322"/>
        <bgColor theme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theme="1"/>
      </patternFill>
    </fill>
    <fill>
      <patternFill patternType="solid">
        <fgColor theme="7" tint="0.79998168889431442"/>
        <bgColor theme="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theme="1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3" fillId="0" borderId="0" xfId="0" applyFont="1" applyAlignment="1">
      <alignment vertical="center"/>
    </xf>
    <xf numFmtId="49" fontId="3" fillId="0" borderId="0" xfId="1" applyNumberFormat="1" applyFont="1" applyFill="1" applyAlignment="1">
      <alignment vertical="center"/>
    </xf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2" borderId="0" xfId="0" applyNumberFormat="1" applyFont="1" applyFill="1"/>
    <xf numFmtId="2" fontId="3" fillId="4" borderId="0" xfId="0" applyNumberFormat="1" applyFont="1" applyFill="1"/>
    <xf numFmtId="2" fontId="3" fillId="5" borderId="0" xfId="0" applyNumberFormat="1" applyFont="1" applyFill="1"/>
    <xf numFmtId="2" fontId="3" fillId="6" borderId="0" xfId="0" applyNumberFormat="1" applyFont="1" applyFill="1"/>
    <xf numFmtId="2" fontId="3" fillId="7" borderId="0" xfId="0" applyNumberFormat="1" applyFont="1" applyFill="1"/>
    <xf numFmtId="2" fontId="3" fillId="8" borderId="0" xfId="0" applyNumberFormat="1" applyFont="1" applyFill="1"/>
    <xf numFmtId="2" fontId="3" fillId="9" borderId="0" xfId="0" applyNumberFormat="1" applyFont="1" applyFill="1"/>
    <xf numFmtId="2" fontId="3" fillId="11" borderId="0" xfId="0" applyNumberFormat="1" applyFont="1" applyFill="1" applyAlignment="1">
      <alignment horizontal="center"/>
    </xf>
    <xf numFmtId="2" fontId="3" fillId="12" borderId="0" xfId="0" applyNumberFormat="1" applyFont="1" applyFill="1"/>
    <xf numFmtId="2" fontId="3" fillId="3" borderId="0" xfId="0" applyNumberFormat="1" applyFont="1" applyFill="1"/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3" fillId="10" borderId="0" xfId="0" applyNumberFormat="1" applyFont="1" applyFill="1"/>
    <xf numFmtId="0" fontId="0" fillId="14" borderId="0" xfId="0" applyFill="1"/>
    <xf numFmtId="0" fontId="2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/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22" fontId="0" fillId="0" borderId="0" xfId="0" applyNumberFormat="1"/>
    <xf numFmtId="2" fontId="0" fillId="0" borderId="0" xfId="0" applyNumberFormat="1"/>
    <xf numFmtId="2" fontId="3" fillId="10" borderId="0" xfId="0" applyNumberFormat="1" applyFont="1" applyFill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/>
    <xf numFmtId="2" fontId="3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3" fillId="13" borderId="0" xfId="0" applyNumberFormat="1" applyFont="1" applyFill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3" fillId="13" borderId="0" xfId="0" applyNumberFormat="1" applyFont="1" applyFill="1"/>
    <xf numFmtId="0" fontId="12" fillId="0" borderId="0" xfId="0" applyFont="1" applyAlignment="1">
      <alignment horizontal="center"/>
    </xf>
    <xf numFmtId="0" fontId="4" fillId="16" borderId="0" xfId="0" applyFont="1" applyFill="1"/>
    <xf numFmtId="2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2" fontId="3" fillId="18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16" borderId="0" xfId="0" applyFon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2" fontId="6" fillId="15" borderId="0" xfId="0" applyNumberFormat="1" applyFont="1" applyFill="1" applyAlignment="1">
      <alignment horizontal="center" vertical="center"/>
    </xf>
    <xf numFmtId="2" fontId="3" fillId="1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9" fillId="10" borderId="0" xfId="0" applyFont="1" applyFill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2" fontId="3" fillId="0" borderId="0" xfId="0" applyNumberFormat="1" applyFont="1" applyFill="1"/>
    <xf numFmtId="0" fontId="0" fillId="0" borderId="0" xfId="0" applyFill="1"/>
    <xf numFmtId="2" fontId="3" fillId="16" borderId="0" xfId="0" applyNumberFormat="1" applyFont="1" applyFill="1"/>
    <xf numFmtId="2" fontId="3" fillId="20" borderId="0" xfId="0" applyNumberFormat="1" applyFont="1" applyFill="1"/>
    <xf numFmtId="2" fontId="5" fillId="16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Font="1" applyFill="1"/>
    <xf numFmtId="0" fontId="3" fillId="2" borderId="0" xfId="0" applyFont="1" applyFill="1" applyAlignment="1"/>
    <xf numFmtId="0" fontId="5" fillId="2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4" fillId="0" borderId="0" xfId="0" applyNumberFormat="1" applyFont="1" applyFill="1" applyAlignment="1">
      <alignment horizontal="left" vertical="center"/>
    </xf>
    <xf numFmtId="20" fontId="4" fillId="0" borderId="0" xfId="0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left" vertical="center"/>
    </xf>
    <xf numFmtId="20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164" fontId="0" fillId="0" borderId="0" xfId="0" applyNumberFormat="1" applyFill="1"/>
    <xf numFmtId="0" fontId="14" fillId="0" borderId="0" xfId="0" applyFont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0" borderId="0" xfId="0" applyNumberFormat="1" applyFont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4" xfId="0" applyFont="1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52FAA"/>
      <color rgb="FFFE8484"/>
      <color rgb="FFEA80E5"/>
      <color rgb="FFFF9933"/>
      <color rgb="FFFF3300"/>
      <color rgb="FFFF3399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230301459231172E-2"/>
          <c:y val="9.5986038394415357E-2"/>
          <c:w val="0.90962703736107065"/>
          <c:h val="0.750988718033282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'28°C'!$BF$2</c:f>
              <c:strCache>
                <c:ptCount val="1"/>
                <c:pt idx="0">
                  <c:v>Egg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'28°C'!$BF$3:$BF$79</c:f>
              <c:numCache>
                <c:formatCode>General</c:formatCode>
                <c:ptCount val="77"/>
                <c:pt idx="0">
                  <c:v>50</c:v>
                </c:pt>
                <c:pt idx="1">
                  <c:v>40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3-4B71-B265-7B06C9D478A8}"/>
            </c:ext>
          </c:extLst>
        </c:ser>
        <c:ser>
          <c:idx val="1"/>
          <c:order val="1"/>
          <c:tx>
            <c:strRef>
              <c:f>'28°C'!$BG$2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'28°C'!$BG$3:$BG$79</c:f>
              <c:numCache>
                <c:formatCode>General</c:formatCode>
                <c:ptCount val="77"/>
                <c:pt idx="0">
                  <c:v>0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22</c:v>
                </c:pt>
                <c:pt idx="5">
                  <c:v>19</c:v>
                </c:pt>
                <c:pt idx="6">
                  <c:v>10</c:v>
                </c:pt>
                <c:pt idx="7">
                  <c:v>10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3-4B71-B265-7B06C9D478A8}"/>
            </c:ext>
          </c:extLst>
        </c:ser>
        <c:ser>
          <c:idx val="2"/>
          <c:order val="2"/>
          <c:tx>
            <c:strRef>
              <c:f>'28°C'!$BH$2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'28°C'!$BH$3:$BH$79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7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14</c:v>
                </c:pt>
                <c:pt idx="12">
                  <c:v>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3-4B71-B265-7B06C9D478A8}"/>
            </c:ext>
          </c:extLst>
        </c:ser>
        <c:ser>
          <c:idx val="3"/>
          <c:order val="3"/>
          <c:tx>
            <c:strRef>
              <c:f>'28°C'!$BI$2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'28°C'!$BI$3:$BI$79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7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14</c:v>
                </c:pt>
                <c:pt idx="17">
                  <c:v>12</c:v>
                </c:pt>
                <c:pt idx="18">
                  <c:v>8</c:v>
                </c:pt>
                <c:pt idx="19">
                  <c:v>8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43-4B71-B265-7B06C9D478A8}"/>
            </c:ext>
          </c:extLst>
        </c:ser>
        <c:ser>
          <c:idx val="4"/>
          <c:order val="4"/>
          <c:tx>
            <c:strRef>
              <c:f>'28°C'!$BJ$2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'28°C'!$BJ$3:$BJ$79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12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43-4B71-B265-7B06C9D478A8}"/>
            </c:ext>
          </c:extLst>
        </c:ser>
        <c:ser>
          <c:idx val="5"/>
          <c:order val="5"/>
          <c:tx>
            <c:strRef>
              <c:f>'28°C'!$BK$2</c:f>
              <c:strCache>
                <c:ptCount val="1"/>
                <c:pt idx="0">
                  <c:v>AM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'28°C'!$BK$3:$BK$79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43-4B71-B265-7B06C9D478A8}"/>
            </c:ext>
          </c:extLst>
        </c:ser>
        <c:ser>
          <c:idx val="6"/>
          <c:order val="6"/>
          <c:tx>
            <c:strRef>
              <c:f>'28°C'!$BL$2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'28°C'!$BE$3:$BE$79</c:f>
              <c:numCache>
                <c:formatCode>General</c:formatCode>
                <c:ptCount val="7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</c:numCache>
            </c:numRef>
          </c:xVal>
          <c:yVal>
            <c:numRef>
              <c:f>'28°C'!$BL$3:$BL$79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7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43-4B71-B265-7B06C9D4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8112"/>
        <c:axId val="50484432"/>
      </c:scatterChart>
      <c:valAx>
        <c:axId val="50468112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0484432"/>
        <c:crosses val="autoZero"/>
        <c:crossBetween val="midCat"/>
        <c:majorUnit val="1"/>
        <c:minorUnit val="0.25"/>
      </c:valAx>
      <c:valAx>
        <c:axId val="5048443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046811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30°C</a:t>
            </a:r>
            <a:endParaRPr lang="en-Z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'30°C'!$BF$2</c:f>
              <c:strCache>
                <c:ptCount val="1"/>
                <c:pt idx="0">
                  <c:v>Egg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'30°C'!$BF$3:$BF$37</c:f>
              <c:numCache>
                <c:formatCode>General</c:formatCode>
                <c:ptCount val="35"/>
                <c:pt idx="0">
                  <c:v>50</c:v>
                </c:pt>
                <c:pt idx="1">
                  <c:v>46</c:v>
                </c:pt>
                <c:pt idx="2">
                  <c:v>30</c:v>
                </c:pt>
                <c:pt idx="3">
                  <c:v>24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2D-48B1-A9F3-5CBA62ADDF8A}"/>
            </c:ext>
          </c:extLst>
        </c:ser>
        <c:ser>
          <c:idx val="1"/>
          <c:order val="1"/>
          <c:tx>
            <c:strRef>
              <c:f>'30°C'!$BG$2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'30°C'!$BG$3:$BG$37</c:f>
              <c:numCache>
                <c:formatCode>General</c:formatCode>
                <c:ptCount val="35"/>
                <c:pt idx="0">
                  <c:v>0</c:v>
                </c:pt>
                <c:pt idx="1">
                  <c:v>4</c:v>
                </c:pt>
                <c:pt idx="2">
                  <c:v>20</c:v>
                </c:pt>
                <c:pt idx="3">
                  <c:v>20</c:v>
                </c:pt>
                <c:pt idx="4">
                  <c:v>31</c:v>
                </c:pt>
                <c:pt idx="5">
                  <c:v>33</c:v>
                </c:pt>
                <c:pt idx="6">
                  <c:v>34</c:v>
                </c:pt>
                <c:pt idx="7">
                  <c:v>34</c:v>
                </c:pt>
                <c:pt idx="8">
                  <c:v>26</c:v>
                </c:pt>
                <c:pt idx="9">
                  <c:v>21</c:v>
                </c:pt>
                <c:pt idx="10">
                  <c:v>9</c:v>
                </c:pt>
                <c:pt idx="11">
                  <c:v>9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2D-48B1-A9F3-5CBA62ADDF8A}"/>
            </c:ext>
          </c:extLst>
        </c:ser>
        <c:ser>
          <c:idx val="2"/>
          <c:order val="2"/>
          <c:tx>
            <c:strRef>
              <c:f>'30°C'!$BH$2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'30°C'!$BH$3:$BH$37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8</c:v>
                </c:pt>
                <c:pt idx="10">
                  <c:v>16</c:v>
                </c:pt>
                <c:pt idx="11">
                  <c:v>16</c:v>
                </c:pt>
                <c:pt idx="12">
                  <c:v>9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2D-48B1-A9F3-5CBA62ADDF8A}"/>
            </c:ext>
          </c:extLst>
        </c:ser>
        <c:ser>
          <c:idx val="3"/>
          <c:order val="3"/>
          <c:tx>
            <c:strRef>
              <c:f>'30°C'!$BI$2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'30°C'!$BI$3:$BI$37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2D-48B1-A9F3-5CBA62ADDF8A}"/>
            </c:ext>
          </c:extLst>
        </c:ser>
        <c:ser>
          <c:idx val="4"/>
          <c:order val="4"/>
          <c:tx>
            <c:strRef>
              <c:f>'30°C'!$BJ$2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'30°C'!$BJ$3:$BJ$37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2D-48B1-A9F3-5CBA62ADDF8A}"/>
            </c:ext>
          </c:extLst>
        </c:ser>
        <c:ser>
          <c:idx val="5"/>
          <c:order val="5"/>
          <c:tx>
            <c:strRef>
              <c:f>'30°C'!$BK$2</c:f>
              <c:strCache>
                <c:ptCount val="1"/>
                <c:pt idx="0">
                  <c:v>AM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'30°C'!$BK$3:$BK$37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2D-48B1-A9F3-5CBA62ADDF8A}"/>
            </c:ext>
          </c:extLst>
        </c:ser>
        <c:ser>
          <c:idx val="6"/>
          <c:order val="6"/>
          <c:tx>
            <c:strRef>
              <c:f>'30°C'!$BL$2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'30°C'!$BE$3:$BE$37</c:f>
              <c:numCache>
                <c:formatCode>0.00</c:formatCode>
                <c:ptCount val="3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</c:numCache>
            </c:numRef>
          </c:xVal>
          <c:yVal>
            <c:numRef>
              <c:f>'30°C'!$BL$3:$BL$37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2D-48B1-A9F3-5CBA62ADD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8352"/>
        <c:axId val="50499312"/>
      </c:scatterChart>
      <c:valAx>
        <c:axId val="5049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0499312"/>
        <c:crosses val="autoZero"/>
        <c:crossBetween val="midCat"/>
      </c:valAx>
      <c:valAx>
        <c:axId val="5049931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049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'32°C'!$BF$2</c:f>
              <c:strCache>
                <c:ptCount val="1"/>
                <c:pt idx="0">
                  <c:v>Egg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'32°C'!$BF$3:$BF$41</c:f>
              <c:numCache>
                <c:formatCode>General</c:formatCode>
                <c:ptCount val="39"/>
                <c:pt idx="0">
                  <c:v>50</c:v>
                </c:pt>
                <c:pt idx="1">
                  <c:v>36</c:v>
                </c:pt>
                <c:pt idx="2">
                  <c:v>36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5-450B-8F57-C3A7170FA5F0}"/>
            </c:ext>
          </c:extLst>
        </c:ser>
        <c:ser>
          <c:idx val="1"/>
          <c:order val="1"/>
          <c:tx>
            <c:strRef>
              <c:f>'32°C'!$BG$2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'32°C'!$BG$3:$BG$41</c:f>
              <c:numCache>
                <c:formatCode>General</c:formatCode>
                <c:ptCount val="39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5-450B-8F57-C3A7170FA5F0}"/>
            </c:ext>
          </c:extLst>
        </c:ser>
        <c:ser>
          <c:idx val="2"/>
          <c:order val="2"/>
          <c:tx>
            <c:strRef>
              <c:f>'32°C'!$BH$2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'32°C'!$BH$3:$BH$41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15-450B-8F57-C3A7170FA5F0}"/>
            </c:ext>
          </c:extLst>
        </c:ser>
        <c:ser>
          <c:idx val="3"/>
          <c:order val="3"/>
          <c:tx>
            <c:strRef>
              <c:f>'32°C'!$BI$2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'32°C'!$BI$3:$BI$41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15-450B-8F57-C3A7170FA5F0}"/>
            </c:ext>
          </c:extLst>
        </c:ser>
        <c:ser>
          <c:idx val="4"/>
          <c:order val="4"/>
          <c:tx>
            <c:strRef>
              <c:f>'32°C'!$BJ$2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'32°C'!$BJ$3:$BJ$41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15-450B-8F57-C3A7170FA5F0}"/>
            </c:ext>
          </c:extLst>
        </c:ser>
        <c:ser>
          <c:idx val="5"/>
          <c:order val="5"/>
          <c:tx>
            <c:strRef>
              <c:f>'32°C'!$BK$2</c:f>
              <c:strCache>
                <c:ptCount val="1"/>
                <c:pt idx="0">
                  <c:v>AM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'32°C'!$BK$3:$BK$41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15-450B-8F57-C3A7170FA5F0}"/>
            </c:ext>
          </c:extLst>
        </c:ser>
        <c:ser>
          <c:idx val="6"/>
          <c:order val="6"/>
          <c:tx>
            <c:strRef>
              <c:f>'32°C'!$BL$2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'32°C'!$BE$3:$BE$41</c:f>
              <c:numCache>
                <c:formatCode>0.00</c:formatCode>
                <c:ptCount val="39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7.5625</c:v>
                </c:pt>
                <c:pt idx="36">
                  <c:v>8.75</c:v>
                </c:pt>
                <c:pt idx="37">
                  <c:v>8.9375</c:v>
                </c:pt>
                <c:pt idx="38">
                  <c:v>9.125</c:v>
                </c:pt>
              </c:numCache>
            </c:numRef>
          </c:xVal>
          <c:yVal>
            <c:numRef>
              <c:f>'32°C'!$BL$3:$BL$41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15-450B-8F57-C3A7170F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08"/>
        <c:axId val="5701328"/>
      </c:scatterChart>
      <c:valAx>
        <c:axId val="568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701328"/>
        <c:crosses val="autoZero"/>
        <c:crossBetween val="midCat"/>
      </c:valAx>
      <c:valAx>
        <c:axId val="5701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68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'34°C'!$BF$2</c:f>
              <c:strCache>
                <c:ptCount val="1"/>
                <c:pt idx="0">
                  <c:v>Egg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'34°C'!$BF$3:$BF$48</c:f>
              <c:numCache>
                <c:formatCode>General</c:formatCode>
                <c:ptCount val="4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E8-4DC8-9E42-0B328C4DBC2C}"/>
            </c:ext>
          </c:extLst>
        </c:ser>
        <c:ser>
          <c:idx val="1"/>
          <c:order val="1"/>
          <c:tx>
            <c:strRef>
              <c:f>'34°C'!$BG$2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'34°C'!$BG$3:$BG$48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E8-4DC8-9E42-0B328C4DBC2C}"/>
            </c:ext>
          </c:extLst>
        </c:ser>
        <c:ser>
          <c:idx val="2"/>
          <c:order val="2"/>
          <c:tx>
            <c:strRef>
              <c:f>'34°C'!$BH$2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'34°C'!$BH$3:$BH$48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E8-4DC8-9E42-0B328C4DBC2C}"/>
            </c:ext>
          </c:extLst>
        </c:ser>
        <c:ser>
          <c:idx val="3"/>
          <c:order val="3"/>
          <c:tx>
            <c:strRef>
              <c:f>'34°C'!$BI$2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'34°C'!$BI$3:$BI$48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E8-4DC8-9E42-0B328C4DBC2C}"/>
            </c:ext>
          </c:extLst>
        </c:ser>
        <c:ser>
          <c:idx val="4"/>
          <c:order val="4"/>
          <c:tx>
            <c:strRef>
              <c:f>'34°C'!$BJ$2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'34°C'!$BJ$3:$BJ$48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E8-4DC8-9E42-0B328C4DBC2C}"/>
            </c:ext>
          </c:extLst>
        </c:ser>
        <c:ser>
          <c:idx val="5"/>
          <c:order val="5"/>
          <c:tx>
            <c:strRef>
              <c:f>'34°C'!$BK$2</c:f>
              <c:strCache>
                <c:ptCount val="1"/>
                <c:pt idx="0">
                  <c:v>AM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'34°C'!$BK$3:$BK$48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E8-4DC8-9E42-0B328C4DBC2C}"/>
            </c:ext>
          </c:extLst>
        </c:ser>
        <c:ser>
          <c:idx val="6"/>
          <c:order val="6"/>
          <c:tx>
            <c:strRef>
              <c:f>'34°C'!$BL$2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'34°C'!$BE$3:$BE$48</c:f>
              <c:numCache>
                <c:formatCode>0.00</c:formatCode>
                <c:ptCount val="46"/>
                <c:pt idx="0">
                  <c:v>0</c:v>
                </c:pt>
                <c:pt idx="1">
                  <c:v>4.1666666664241347E-2</c:v>
                </c:pt>
                <c:pt idx="2">
                  <c:v>8.3333333335758653E-2</c:v>
                </c:pt>
                <c:pt idx="3">
                  <c:v>0.125</c:v>
                </c:pt>
                <c:pt idx="4">
                  <c:v>0.16666666666424135</c:v>
                </c:pt>
                <c:pt idx="5">
                  <c:v>0.20833333333575865</c:v>
                </c:pt>
                <c:pt idx="6">
                  <c:v>0.25</c:v>
                </c:pt>
                <c:pt idx="7">
                  <c:v>0.29166666666424135</c:v>
                </c:pt>
                <c:pt idx="8">
                  <c:v>0.33333333333575865</c:v>
                </c:pt>
                <c:pt idx="9">
                  <c:v>0.375</c:v>
                </c:pt>
                <c:pt idx="10">
                  <c:v>0.41666666666424135</c:v>
                </c:pt>
                <c:pt idx="11">
                  <c:v>0.45833333333575865</c:v>
                </c:pt>
                <c:pt idx="12">
                  <c:v>0.5</c:v>
                </c:pt>
                <c:pt idx="13">
                  <c:v>0.54166666666424135</c:v>
                </c:pt>
                <c:pt idx="14">
                  <c:v>0.58333333333575865</c:v>
                </c:pt>
                <c:pt idx="15">
                  <c:v>0.625</c:v>
                </c:pt>
                <c:pt idx="16">
                  <c:v>0.66666666666424135</c:v>
                </c:pt>
                <c:pt idx="17">
                  <c:v>0.70833333333575865</c:v>
                </c:pt>
                <c:pt idx="18">
                  <c:v>0.75</c:v>
                </c:pt>
                <c:pt idx="19">
                  <c:v>0.79166666666424135</c:v>
                </c:pt>
                <c:pt idx="20">
                  <c:v>0.83333333333575865</c:v>
                </c:pt>
                <c:pt idx="21">
                  <c:v>0.875</c:v>
                </c:pt>
                <c:pt idx="22">
                  <c:v>0.91666666666424135</c:v>
                </c:pt>
                <c:pt idx="23">
                  <c:v>0.95833333333575865</c:v>
                </c:pt>
                <c:pt idx="24">
                  <c:v>1</c:v>
                </c:pt>
                <c:pt idx="25">
                  <c:v>1.0416666666642413</c:v>
                </c:pt>
                <c:pt idx="26">
                  <c:v>1.0833333333357587</c:v>
                </c:pt>
                <c:pt idx="27">
                  <c:v>1.125</c:v>
                </c:pt>
                <c:pt idx="28">
                  <c:v>1.1666666666642413</c:v>
                </c:pt>
                <c:pt idx="29">
                  <c:v>1.2083333333357587</c:v>
                </c:pt>
                <c:pt idx="30">
                  <c:v>1.25</c:v>
                </c:pt>
                <c:pt idx="31">
                  <c:v>1.2916666666642413</c:v>
                </c:pt>
                <c:pt idx="32">
                  <c:v>1.3333333333357587</c:v>
                </c:pt>
                <c:pt idx="33">
                  <c:v>1.375</c:v>
                </c:pt>
                <c:pt idx="34">
                  <c:v>1.4166666666642413</c:v>
                </c:pt>
                <c:pt idx="35">
                  <c:v>1.4583333333357587</c:v>
                </c:pt>
                <c:pt idx="36">
                  <c:v>1.5</c:v>
                </c:pt>
                <c:pt idx="37">
                  <c:v>1.5416666666642413</c:v>
                </c:pt>
                <c:pt idx="38">
                  <c:v>1.5833333333357587</c:v>
                </c:pt>
                <c:pt idx="39">
                  <c:v>1.625</c:v>
                </c:pt>
                <c:pt idx="40">
                  <c:v>1.6666666666642413</c:v>
                </c:pt>
                <c:pt idx="41">
                  <c:v>1.7083333333357587</c:v>
                </c:pt>
                <c:pt idx="42">
                  <c:v>1.75</c:v>
                </c:pt>
                <c:pt idx="43">
                  <c:v>1.7916666666642413</c:v>
                </c:pt>
                <c:pt idx="44">
                  <c:v>1.8333333333357587</c:v>
                </c:pt>
                <c:pt idx="45">
                  <c:v>1.875</c:v>
                </c:pt>
              </c:numCache>
            </c:numRef>
          </c:xVal>
          <c:yVal>
            <c:numRef>
              <c:f>'34°C'!$BL$3:$BL$48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E8-4DC8-9E42-0B328C4D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7872"/>
        <c:axId val="5715248"/>
      </c:scatterChart>
      <c:valAx>
        <c:axId val="5049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715248"/>
        <c:crosses val="autoZero"/>
        <c:crossBetween val="midCat"/>
      </c:valAx>
      <c:valAx>
        <c:axId val="5715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5049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557513</xdr:colOff>
      <xdr:row>2</xdr:row>
      <xdr:rowOff>124691</xdr:rowOff>
    </xdr:from>
    <xdr:to>
      <xdr:col>54</xdr:col>
      <xdr:colOff>353933</xdr:colOff>
      <xdr:row>24</xdr:row>
      <xdr:rowOff>97046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511FB-04D1-28FA-038B-E7D635E1F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523989</xdr:colOff>
      <xdr:row>39</xdr:row>
      <xdr:rowOff>143430</xdr:rowOff>
    </xdr:from>
    <xdr:to>
      <xdr:col>26</xdr:col>
      <xdr:colOff>493059</xdr:colOff>
      <xdr:row>62</xdr:row>
      <xdr:rowOff>17925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0BF94-65E3-6BCB-DF64-0080C94DD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101751</xdr:colOff>
      <xdr:row>10</xdr:row>
      <xdr:rowOff>2</xdr:rowOff>
    </xdr:from>
    <xdr:to>
      <xdr:col>22</xdr:col>
      <xdr:colOff>8964</xdr:colOff>
      <xdr:row>35</xdr:row>
      <xdr:rowOff>89649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BBAE3-E881-B344-C3E1-1508CD4D9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27</xdr:row>
      <xdr:rowOff>152400</xdr:rowOff>
    </xdr:from>
    <xdr:to>
      <xdr:col>19</xdr:col>
      <xdr:colOff>228600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BCB39-79D0-FE42-9B88-65965B5F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D779-795D-41B9-8C73-DB238436D682}">
  <dimension ref="A2:BS287"/>
  <sheetViews>
    <sheetView tabSelected="1" zoomScale="70" zoomScaleNormal="70" workbookViewId="0">
      <selection activeCell="F30" sqref="F30"/>
    </sheetView>
  </sheetViews>
  <sheetFormatPr defaultRowHeight="14.4" x14ac:dyDescent="0.3"/>
  <cols>
    <col min="9" max="9" width="4.44140625" customWidth="1"/>
    <col min="18" max="18" width="10.44140625" customWidth="1"/>
    <col min="27" max="27" width="6" customWidth="1"/>
  </cols>
  <sheetData>
    <row r="2" spans="1:71" x14ac:dyDescent="0.3">
      <c r="A2" s="7"/>
      <c r="B2" s="70" t="s">
        <v>36</v>
      </c>
      <c r="C2" s="70"/>
      <c r="D2" s="70"/>
      <c r="E2" s="70"/>
      <c r="F2" s="70"/>
      <c r="G2" s="70"/>
      <c r="H2" s="70"/>
      <c r="J2" s="30"/>
      <c r="K2" s="70" t="s">
        <v>37</v>
      </c>
      <c r="L2" s="70"/>
      <c r="M2" s="70"/>
      <c r="N2" s="70"/>
      <c r="O2" s="70"/>
      <c r="P2" s="70"/>
      <c r="Q2" s="70"/>
      <c r="S2" s="7"/>
      <c r="T2" s="70" t="s">
        <v>38</v>
      </c>
      <c r="U2" s="70"/>
      <c r="V2" s="70"/>
      <c r="W2" s="70"/>
      <c r="X2" s="70"/>
      <c r="Y2" s="70"/>
      <c r="Z2" s="70"/>
      <c r="AB2" s="7"/>
      <c r="AC2" s="70" t="s">
        <v>39</v>
      </c>
      <c r="AD2" s="70"/>
      <c r="AE2" s="70"/>
      <c r="AF2" s="70"/>
      <c r="AG2" s="70"/>
      <c r="AH2" s="70"/>
      <c r="AI2" s="70"/>
      <c r="AK2" s="7"/>
      <c r="AL2" s="70" t="s">
        <v>40</v>
      </c>
      <c r="AM2" s="70"/>
      <c r="AN2" s="70"/>
      <c r="AO2" s="70"/>
      <c r="AP2" s="70"/>
      <c r="AQ2" s="70"/>
      <c r="AR2" s="70"/>
      <c r="AT2" s="7"/>
      <c r="AU2" s="70" t="s">
        <v>41</v>
      </c>
      <c r="AV2" s="70"/>
      <c r="AW2" s="70"/>
      <c r="AX2" s="70"/>
      <c r="AY2" s="70"/>
      <c r="AZ2" s="70"/>
      <c r="BA2" s="70"/>
      <c r="BC2" s="7"/>
      <c r="BD2" s="70" t="s">
        <v>42</v>
      </c>
      <c r="BE2" s="70"/>
      <c r="BF2" s="70"/>
      <c r="BG2" s="70"/>
      <c r="BH2" s="70"/>
      <c r="BI2" s="70"/>
      <c r="BJ2" s="70"/>
      <c r="BL2" s="7"/>
      <c r="BM2" s="70" t="s">
        <v>56</v>
      </c>
      <c r="BN2" s="70"/>
      <c r="BO2" s="70"/>
      <c r="BP2" s="70"/>
      <c r="BQ2" s="70"/>
      <c r="BR2" s="70"/>
      <c r="BS2" s="70"/>
    </row>
    <row r="3" spans="1:71" x14ac:dyDescent="0.3">
      <c r="A3" s="44" t="s">
        <v>55</v>
      </c>
      <c r="B3" s="45" t="s">
        <v>9</v>
      </c>
      <c r="C3" s="45" t="s">
        <v>5</v>
      </c>
      <c r="D3" s="45" t="s">
        <v>8</v>
      </c>
      <c r="E3" s="45" t="s">
        <v>10</v>
      </c>
      <c r="F3" s="45" t="s">
        <v>11</v>
      </c>
      <c r="G3" s="45" t="s">
        <v>13</v>
      </c>
      <c r="H3" s="45" t="s">
        <v>14</v>
      </c>
      <c r="J3" s="49" t="s">
        <v>25</v>
      </c>
      <c r="K3" s="48" t="s">
        <v>9</v>
      </c>
      <c r="L3" s="48" t="s">
        <v>5</v>
      </c>
      <c r="M3" s="48" t="s">
        <v>8</v>
      </c>
      <c r="N3" s="48" t="s">
        <v>10</v>
      </c>
      <c r="O3" s="48" t="s">
        <v>11</v>
      </c>
      <c r="P3" s="48" t="s">
        <v>13</v>
      </c>
      <c r="Q3" s="48" t="s">
        <v>14</v>
      </c>
      <c r="S3" s="49" t="s">
        <v>25</v>
      </c>
      <c r="T3" s="48" t="s">
        <v>9</v>
      </c>
      <c r="U3" s="48" t="s">
        <v>5</v>
      </c>
      <c r="V3" s="48" t="s">
        <v>8</v>
      </c>
      <c r="W3" s="48" t="s">
        <v>10</v>
      </c>
      <c r="X3" s="48" t="s">
        <v>11</v>
      </c>
      <c r="Y3" s="48" t="s">
        <v>13</v>
      </c>
      <c r="Z3" s="48" t="s">
        <v>14</v>
      </c>
      <c r="AB3" s="49" t="s">
        <v>25</v>
      </c>
      <c r="AC3" s="48" t="s">
        <v>9</v>
      </c>
      <c r="AD3" s="48" t="s">
        <v>5</v>
      </c>
      <c r="AE3" s="48" t="s">
        <v>8</v>
      </c>
      <c r="AF3" s="48" t="s">
        <v>10</v>
      </c>
      <c r="AG3" s="48" t="s">
        <v>11</v>
      </c>
      <c r="AH3" s="48" t="s">
        <v>13</v>
      </c>
      <c r="AI3" s="48" t="s">
        <v>14</v>
      </c>
      <c r="AK3" s="49" t="s">
        <v>25</v>
      </c>
      <c r="AL3" s="48" t="s">
        <v>9</v>
      </c>
      <c r="AM3" s="48" t="s">
        <v>5</v>
      </c>
      <c r="AN3" s="48" t="s">
        <v>8</v>
      </c>
      <c r="AO3" s="48" t="s">
        <v>10</v>
      </c>
      <c r="AP3" s="48" t="s">
        <v>11</v>
      </c>
      <c r="AQ3" s="48" t="s">
        <v>13</v>
      </c>
      <c r="AR3" s="48" t="s">
        <v>14</v>
      </c>
      <c r="AT3" s="49" t="s">
        <v>25</v>
      </c>
      <c r="AU3" s="48" t="s">
        <v>9</v>
      </c>
      <c r="AV3" s="48" t="s">
        <v>5</v>
      </c>
      <c r="AW3" s="48" t="s">
        <v>8</v>
      </c>
      <c r="AX3" s="48" t="s">
        <v>10</v>
      </c>
      <c r="AY3" s="48" t="s">
        <v>11</v>
      </c>
      <c r="AZ3" s="48" t="s">
        <v>13</v>
      </c>
      <c r="BA3" s="48" t="s">
        <v>14</v>
      </c>
      <c r="BC3" s="48" t="s">
        <v>25</v>
      </c>
      <c r="BD3" s="111" t="s">
        <v>9</v>
      </c>
      <c r="BE3" s="48" t="s">
        <v>5</v>
      </c>
      <c r="BF3" s="48" t="s">
        <v>8</v>
      </c>
      <c r="BG3" s="48" t="s">
        <v>10</v>
      </c>
      <c r="BH3" s="48" t="s">
        <v>11</v>
      </c>
      <c r="BI3" s="48" t="s">
        <v>13</v>
      </c>
      <c r="BJ3" s="48" t="s">
        <v>14</v>
      </c>
      <c r="BL3" s="49" t="s">
        <v>25</v>
      </c>
      <c r="BM3" s="48" t="s">
        <v>9</v>
      </c>
      <c r="BN3" s="48" t="s">
        <v>5</v>
      </c>
      <c r="BO3" s="48" t="s">
        <v>8</v>
      </c>
      <c r="BP3" s="48" t="s">
        <v>10</v>
      </c>
      <c r="BQ3" s="48" t="s">
        <v>11</v>
      </c>
      <c r="BR3" s="48" t="s">
        <v>13</v>
      </c>
      <c r="BS3" s="48" t="s">
        <v>14</v>
      </c>
    </row>
    <row r="4" spans="1:71" x14ac:dyDescent="0.3">
      <c r="A4" s="94">
        <v>0</v>
      </c>
      <c r="B4" s="46">
        <v>50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J4" s="94">
        <v>0</v>
      </c>
      <c r="K4" s="110">
        <v>50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S4" s="42">
        <v>0</v>
      </c>
      <c r="T4" s="46">
        <v>50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B4" s="5">
        <v>0</v>
      </c>
      <c r="AC4" s="115">
        <v>50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K4" s="6">
        <v>0</v>
      </c>
      <c r="AL4" s="114">
        <v>50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T4" s="5">
        <v>0</v>
      </c>
      <c r="AU4" s="114">
        <v>50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C4" s="5">
        <v>0</v>
      </c>
      <c r="BD4" s="112">
        <v>50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L4" s="122">
        <v>0</v>
      </c>
      <c r="BM4" s="124">
        <v>50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3">
      <c r="A5" s="42">
        <v>1</v>
      </c>
      <c r="B5" s="46">
        <v>50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J5" s="42">
        <v>1</v>
      </c>
      <c r="K5" s="110">
        <v>50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S5" s="42">
        <v>1</v>
      </c>
      <c r="T5" s="46">
        <v>43</v>
      </c>
      <c r="U5" s="46">
        <v>7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B5" s="5">
        <v>0.25</v>
      </c>
      <c r="AC5" s="116">
        <v>40</v>
      </c>
      <c r="AD5" s="51">
        <v>10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K5" s="6">
        <v>0.25</v>
      </c>
      <c r="AL5" s="112">
        <v>46</v>
      </c>
      <c r="AM5" s="46">
        <v>4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T5" s="5">
        <v>0.1875</v>
      </c>
      <c r="AU5" s="112">
        <v>36</v>
      </c>
      <c r="AV5" s="46">
        <v>14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C5" s="5">
        <v>4.1666666664241347E-2</v>
      </c>
      <c r="BD5" s="112">
        <v>50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L5" s="5">
        <v>8.3333333335758653E-2</v>
      </c>
      <c r="BM5" s="125">
        <v>50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3">
      <c r="A6" s="42">
        <v>2</v>
      </c>
      <c r="B6" s="46">
        <v>50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J6" s="42">
        <v>2</v>
      </c>
      <c r="K6" s="110">
        <v>50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S6" s="42">
        <v>2</v>
      </c>
      <c r="T6" s="46">
        <v>8</v>
      </c>
      <c r="U6" s="46">
        <v>42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B6" s="5">
        <v>0.5</v>
      </c>
      <c r="AC6" s="116">
        <v>6</v>
      </c>
      <c r="AD6" s="51">
        <v>16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K6" s="6">
        <v>0.5</v>
      </c>
      <c r="AL6" s="112">
        <v>30</v>
      </c>
      <c r="AM6" s="46">
        <v>20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T6" s="5">
        <v>0.375</v>
      </c>
      <c r="AU6" s="112">
        <v>36</v>
      </c>
      <c r="AV6" s="46">
        <v>14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C6" s="5">
        <v>8.3333333335758653E-2</v>
      </c>
      <c r="BD6" s="112">
        <v>50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L6" s="5">
        <v>0.16666666666424135</v>
      </c>
      <c r="BM6" s="12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3">
      <c r="A7" s="42">
        <v>3</v>
      </c>
      <c r="B7" s="46">
        <v>50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J7" s="42">
        <v>3</v>
      </c>
      <c r="K7" s="110">
        <v>47</v>
      </c>
      <c r="L7" s="110">
        <v>3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S7" s="42">
        <v>3</v>
      </c>
      <c r="T7" s="46">
        <v>2</v>
      </c>
      <c r="U7" s="46">
        <v>48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B7" s="5">
        <v>0.75</v>
      </c>
      <c r="AC7" s="117">
        <v>0</v>
      </c>
      <c r="AD7" s="51">
        <v>22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K7" s="6">
        <v>0.75</v>
      </c>
      <c r="AL7" s="112">
        <v>24</v>
      </c>
      <c r="AM7" s="46">
        <v>20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T7" s="5">
        <v>0.5625</v>
      </c>
      <c r="AU7" s="112">
        <v>16</v>
      </c>
      <c r="AV7" s="46">
        <v>16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C7" s="5">
        <v>0.125</v>
      </c>
      <c r="BD7" s="112">
        <v>10</v>
      </c>
      <c r="BE7" s="46">
        <v>1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L7" s="5">
        <v>0.25</v>
      </c>
      <c r="BM7" s="126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3">
      <c r="A8" s="42">
        <v>4</v>
      </c>
      <c r="B8" s="46">
        <v>50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J8" s="42">
        <v>4</v>
      </c>
      <c r="K8" s="110">
        <v>25</v>
      </c>
      <c r="L8" s="110">
        <v>25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S8" s="42">
        <v>4</v>
      </c>
      <c r="T8" s="46">
        <v>1</v>
      </c>
      <c r="U8" s="46">
        <v>25</v>
      </c>
      <c r="V8" s="46">
        <v>22</v>
      </c>
      <c r="W8" s="12">
        <v>0</v>
      </c>
      <c r="X8" s="12">
        <v>0</v>
      </c>
      <c r="Y8" s="12">
        <v>0</v>
      </c>
      <c r="Z8" s="12">
        <v>0</v>
      </c>
      <c r="AB8" s="5">
        <v>1</v>
      </c>
      <c r="AC8" s="117">
        <v>0</v>
      </c>
      <c r="AD8" s="51">
        <v>22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K8" s="6">
        <v>1</v>
      </c>
      <c r="AL8" s="112">
        <v>3</v>
      </c>
      <c r="AM8" s="46">
        <v>31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T8" s="5">
        <v>0.75</v>
      </c>
      <c r="AU8" s="112">
        <v>0</v>
      </c>
      <c r="AV8" s="46">
        <v>16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C8" s="5">
        <v>0.16666666666424135</v>
      </c>
      <c r="BD8" s="113">
        <v>0</v>
      </c>
      <c r="BE8" s="46">
        <v>2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L8" s="5">
        <v>0.33333333333575865</v>
      </c>
      <c r="BM8" s="126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3">
      <c r="A9" s="42">
        <v>5</v>
      </c>
      <c r="B9" s="46">
        <v>46</v>
      </c>
      <c r="C9" s="46">
        <v>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J9" s="42">
        <v>5</v>
      </c>
      <c r="K9" s="110">
        <v>10</v>
      </c>
      <c r="L9" s="110">
        <v>40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S9" s="42">
        <v>5</v>
      </c>
      <c r="T9" s="12">
        <v>0</v>
      </c>
      <c r="U9" s="46">
        <v>6</v>
      </c>
      <c r="V9" s="46">
        <v>39</v>
      </c>
      <c r="W9" s="12">
        <v>0</v>
      </c>
      <c r="X9" s="12">
        <v>0</v>
      </c>
      <c r="Y9" s="12">
        <v>0</v>
      </c>
      <c r="Z9" s="12">
        <v>0</v>
      </c>
      <c r="AB9" s="5">
        <v>1.25</v>
      </c>
      <c r="AC9" s="117">
        <v>0</v>
      </c>
      <c r="AD9" s="51">
        <v>19</v>
      </c>
      <c r="AE9" s="51">
        <v>3</v>
      </c>
      <c r="AF9" s="2">
        <v>0</v>
      </c>
      <c r="AG9" s="2">
        <v>0</v>
      </c>
      <c r="AH9" s="2">
        <v>0</v>
      </c>
      <c r="AI9" s="2">
        <v>0</v>
      </c>
      <c r="AK9" s="6">
        <v>1.25</v>
      </c>
      <c r="AL9" s="112">
        <v>1</v>
      </c>
      <c r="AM9" s="46">
        <v>33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T9" s="5">
        <v>0.9375</v>
      </c>
      <c r="AU9" s="112">
        <v>0</v>
      </c>
      <c r="AV9" s="46">
        <v>16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C9" s="5">
        <v>0.20833333333575865</v>
      </c>
      <c r="BD9" s="113">
        <v>0</v>
      </c>
      <c r="BE9" s="46">
        <v>2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L9" s="5">
        <v>0.41666666666424135</v>
      </c>
      <c r="BM9" s="126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3">
      <c r="A10" s="42">
        <v>6</v>
      </c>
      <c r="B10" s="46">
        <v>46</v>
      </c>
      <c r="C10" s="46">
        <v>4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J10" s="42">
        <v>6</v>
      </c>
      <c r="K10" s="110">
        <v>9</v>
      </c>
      <c r="L10" s="110">
        <v>41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S10" s="42">
        <v>6</v>
      </c>
      <c r="T10" s="12">
        <v>0</v>
      </c>
      <c r="U10" s="12">
        <v>0</v>
      </c>
      <c r="V10" s="46">
        <v>35</v>
      </c>
      <c r="W10" s="46">
        <v>7</v>
      </c>
      <c r="X10" s="12">
        <v>0</v>
      </c>
      <c r="Y10" s="12">
        <v>0</v>
      </c>
      <c r="Z10" s="12">
        <v>0</v>
      </c>
      <c r="AB10" s="5">
        <v>1.5</v>
      </c>
      <c r="AC10" s="117">
        <v>0</v>
      </c>
      <c r="AD10" s="51">
        <v>10</v>
      </c>
      <c r="AE10" s="51">
        <v>7</v>
      </c>
      <c r="AF10" s="2">
        <v>0</v>
      </c>
      <c r="AG10" s="2">
        <v>0</v>
      </c>
      <c r="AH10" s="2">
        <v>0</v>
      </c>
      <c r="AI10" s="2">
        <v>0</v>
      </c>
      <c r="AK10" s="6">
        <v>1.5</v>
      </c>
      <c r="AL10" s="113">
        <v>0</v>
      </c>
      <c r="AM10" s="46">
        <v>34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T10" s="5">
        <v>1.125</v>
      </c>
      <c r="AU10" s="113">
        <v>0</v>
      </c>
      <c r="AV10" s="46">
        <v>13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C10" s="5">
        <v>0.25</v>
      </c>
      <c r="BD10" s="113">
        <v>0</v>
      </c>
      <c r="BE10" s="46">
        <v>2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L10" s="5">
        <v>0.5</v>
      </c>
      <c r="BM10" s="126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3">
      <c r="A11" s="42">
        <v>7</v>
      </c>
      <c r="B11" s="46">
        <v>46</v>
      </c>
      <c r="C11" s="46">
        <v>2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J11" s="42">
        <v>7</v>
      </c>
      <c r="K11" s="110">
        <v>9</v>
      </c>
      <c r="L11" s="110">
        <v>36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S11" s="42">
        <v>7</v>
      </c>
      <c r="T11" s="12">
        <v>0</v>
      </c>
      <c r="U11" s="12">
        <v>0</v>
      </c>
      <c r="V11" s="46">
        <v>10</v>
      </c>
      <c r="W11" s="46">
        <v>29</v>
      </c>
      <c r="X11" s="12">
        <v>0</v>
      </c>
      <c r="Y11" s="12">
        <v>0</v>
      </c>
      <c r="Z11" s="12">
        <v>0</v>
      </c>
      <c r="AB11" s="5">
        <v>1.75</v>
      </c>
      <c r="AC11" s="117">
        <v>0</v>
      </c>
      <c r="AD11" s="51">
        <v>10</v>
      </c>
      <c r="AE11" s="51">
        <v>7</v>
      </c>
      <c r="AF11" s="2">
        <v>0</v>
      </c>
      <c r="AG11" s="2">
        <v>0</v>
      </c>
      <c r="AH11" s="2">
        <v>0</v>
      </c>
      <c r="AI11" s="2">
        <v>0</v>
      </c>
      <c r="AK11" s="6">
        <v>1.75</v>
      </c>
      <c r="AL11" s="113">
        <v>0</v>
      </c>
      <c r="AM11" s="46">
        <v>34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T11" s="5">
        <v>1.3125</v>
      </c>
      <c r="AU11" s="113">
        <v>0</v>
      </c>
      <c r="AV11" s="46">
        <v>13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C11" s="5">
        <v>0.29166666666424135</v>
      </c>
      <c r="BD11" s="113">
        <v>0</v>
      </c>
      <c r="BE11" s="46">
        <v>2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L11" s="5">
        <v>0.58333333333575865</v>
      </c>
      <c r="BM11" s="126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3">
      <c r="A12" s="42">
        <v>8</v>
      </c>
      <c r="B12" s="46">
        <v>46</v>
      </c>
      <c r="C12" s="46">
        <v>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J12" s="42">
        <v>8</v>
      </c>
      <c r="K12" s="110">
        <v>9</v>
      </c>
      <c r="L12" s="110">
        <v>32</v>
      </c>
      <c r="M12" s="110">
        <v>1</v>
      </c>
      <c r="N12" s="25">
        <v>0</v>
      </c>
      <c r="O12" s="25">
        <v>0</v>
      </c>
      <c r="P12" s="25">
        <v>0</v>
      </c>
      <c r="Q12" s="25">
        <v>0</v>
      </c>
      <c r="S12" s="42">
        <v>8</v>
      </c>
      <c r="T12" s="12">
        <v>0</v>
      </c>
      <c r="U12" s="12">
        <v>0</v>
      </c>
      <c r="V12" s="12">
        <v>0</v>
      </c>
      <c r="W12" s="46">
        <v>37</v>
      </c>
      <c r="X12" s="12">
        <v>0</v>
      </c>
      <c r="Y12" s="12">
        <v>0</v>
      </c>
      <c r="Z12" s="12">
        <v>0</v>
      </c>
      <c r="AB12" s="5">
        <v>2</v>
      </c>
      <c r="AC12" s="117">
        <v>0</v>
      </c>
      <c r="AD12" s="51">
        <v>2</v>
      </c>
      <c r="AE12" s="51">
        <v>14</v>
      </c>
      <c r="AF12" s="2">
        <v>0</v>
      </c>
      <c r="AG12" s="2">
        <v>0</v>
      </c>
      <c r="AH12" s="2">
        <v>0</v>
      </c>
      <c r="AI12" s="2">
        <v>0</v>
      </c>
      <c r="AK12" s="6">
        <v>2</v>
      </c>
      <c r="AL12" s="113">
        <v>0</v>
      </c>
      <c r="AM12" s="46">
        <v>26</v>
      </c>
      <c r="AN12" s="46">
        <v>8</v>
      </c>
      <c r="AO12" s="12">
        <v>0</v>
      </c>
      <c r="AP12" s="12">
        <v>0</v>
      </c>
      <c r="AQ12" s="12">
        <v>0</v>
      </c>
      <c r="AR12" s="12">
        <v>0</v>
      </c>
      <c r="AT12" s="5">
        <v>1.5</v>
      </c>
      <c r="AU12" s="113">
        <v>0</v>
      </c>
      <c r="AV12" s="46">
        <v>7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C12" s="5">
        <v>0.33333333333575865</v>
      </c>
      <c r="BD12" s="113">
        <v>0</v>
      </c>
      <c r="BE12" s="46">
        <v>2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L12" s="5">
        <v>0.66666666666424135</v>
      </c>
      <c r="BM12" s="126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3">
      <c r="A13" s="42">
        <v>9</v>
      </c>
      <c r="B13" s="46">
        <v>45</v>
      </c>
      <c r="C13" s="46">
        <v>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J13" s="42">
        <v>9</v>
      </c>
      <c r="K13" s="110">
        <v>9</v>
      </c>
      <c r="L13" s="110">
        <v>27</v>
      </c>
      <c r="M13" s="110">
        <v>3</v>
      </c>
      <c r="N13" s="25">
        <v>0</v>
      </c>
      <c r="O13" s="25">
        <v>0</v>
      </c>
      <c r="P13" s="25">
        <v>0</v>
      </c>
      <c r="Q13" s="25">
        <v>0</v>
      </c>
      <c r="S13" s="42">
        <v>9</v>
      </c>
      <c r="T13" s="12">
        <v>0</v>
      </c>
      <c r="U13" s="12">
        <v>0</v>
      </c>
      <c r="V13" s="12">
        <v>0</v>
      </c>
      <c r="W13" s="46">
        <v>37</v>
      </c>
      <c r="X13" s="12">
        <v>0</v>
      </c>
      <c r="Y13" s="12">
        <v>0</v>
      </c>
      <c r="Z13" s="12">
        <v>0</v>
      </c>
      <c r="AB13" s="5">
        <v>2.25</v>
      </c>
      <c r="AC13" s="117">
        <v>0</v>
      </c>
      <c r="AD13" s="2">
        <v>0</v>
      </c>
      <c r="AE13" s="51">
        <v>16</v>
      </c>
      <c r="AF13" s="2">
        <v>0</v>
      </c>
      <c r="AG13" s="2">
        <v>0</v>
      </c>
      <c r="AH13" s="2">
        <v>0</v>
      </c>
      <c r="AI13" s="2">
        <v>0</v>
      </c>
      <c r="AK13" s="6">
        <v>2.25</v>
      </c>
      <c r="AL13" s="113">
        <v>0</v>
      </c>
      <c r="AM13" s="46">
        <v>21</v>
      </c>
      <c r="AN13" s="46">
        <v>8</v>
      </c>
      <c r="AO13" s="12">
        <v>0</v>
      </c>
      <c r="AP13" s="12">
        <v>0</v>
      </c>
      <c r="AQ13" s="12">
        <v>0</v>
      </c>
      <c r="AR13" s="12">
        <v>0</v>
      </c>
      <c r="AT13" s="5">
        <v>1.6875</v>
      </c>
      <c r="AU13" s="113">
        <v>0</v>
      </c>
      <c r="AV13" s="46">
        <v>7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C13" s="5">
        <v>0.375</v>
      </c>
      <c r="BD13" s="113">
        <v>0</v>
      </c>
      <c r="BE13" s="46">
        <v>2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L13" s="5">
        <v>0.75</v>
      </c>
      <c r="BM13" s="126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3">
      <c r="A14" s="42">
        <v>10</v>
      </c>
      <c r="B14" s="46">
        <v>42</v>
      </c>
      <c r="C14" s="46">
        <v>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J14" s="42">
        <v>10</v>
      </c>
      <c r="K14" s="110">
        <v>9</v>
      </c>
      <c r="L14" s="110">
        <v>16</v>
      </c>
      <c r="M14" s="110">
        <v>14</v>
      </c>
      <c r="N14" s="25">
        <v>0</v>
      </c>
      <c r="O14" s="25">
        <v>0</v>
      </c>
      <c r="P14" s="25">
        <v>0</v>
      </c>
      <c r="Q14" s="25">
        <v>0</v>
      </c>
      <c r="S14" s="42">
        <v>10</v>
      </c>
      <c r="T14" s="12">
        <v>0</v>
      </c>
      <c r="U14" s="12">
        <v>0</v>
      </c>
      <c r="V14" s="12">
        <v>0</v>
      </c>
      <c r="W14" s="46">
        <v>32</v>
      </c>
      <c r="X14" s="46">
        <v>5</v>
      </c>
      <c r="Y14" s="12">
        <v>0</v>
      </c>
      <c r="Z14" s="12">
        <v>0</v>
      </c>
      <c r="AB14" s="5">
        <v>2.5</v>
      </c>
      <c r="AC14" s="117">
        <v>0</v>
      </c>
      <c r="AD14" s="2">
        <v>0</v>
      </c>
      <c r="AE14" s="51">
        <v>14</v>
      </c>
      <c r="AF14" s="51">
        <v>2</v>
      </c>
      <c r="AG14" s="2">
        <v>0</v>
      </c>
      <c r="AH14" s="2">
        <v>0</v>
      </c>
      <c r="AI14" s="2">
        <v>0</v>
      </c>
      <c r="AK14" s="6">
        <v>2.5</v>
      </c>
      <c r="AL14" s="113">
        <v>0</v>
      </c>
      <c r="AM14" s="46">
        <v>9</v>
      </c>
      <c r="AN14" s="46">
        <v>16</v>
      </c>
      <c r="AO14" s="12">
        <v>0</v>
      </c>
      <c r="AP14" s="12">
        <v>0</v>
      </c>
      <c r="AQ14" s="12">
        <v>0</v>
      </c>
      <c r="AR14" s="12">
        <v>0</v>
      </c>
      <c r="AT14" s="5">
        <v>1.875</v>
      </c>
      <c r="AU14" s="113">
        <v>0</v>
      </c>
      <c r="AV14" s="46">
        <v>3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C14" s="5">
        <v>0.41666666666424135</v>
      </c>
      <c r="BD14" s="113">
        <v>0</v>
      </c>
      <c r="BE14" s="46">
        <v>2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71" x14ac:dyDescent="0.3">
      <c r="A15" s="42">
        <v>11</v>
      </c>
      <c r="B15" s="46">
        <v>42</v>
      </c>
      <c r="C15" s="46">
        <v>3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J15" s="42">
        <v>11</v>
      </c>
      <c r="K15" s="110">
        <v>9</v>
      </c>
      <c r="L15" s="110">
        <v>6</v>
      </c>
      <c r="M15" s="110">
        <v>24</v>
      </c>
      <c r="N15" s="25">
        <v>0</v>
      </c>
      <c r="O15" s="25">
        <v>0</v>
      </c>
      <c r="P15" s="25">
        <v>0</v>
      </c>
      <c r="Q15" s="25">
        <v>0</v>
      </c>
      <c r="S15" s="42">
        <v>11</v>
      </c>
      <c r="T15" s="12">
        <v>0</v>
      </c>
      <c r="U15" s="12">
        <v>0</v>
      </c>
      <c r="V15" s="12">
        <v>0</v>
      </c>
      <c r="W15" s="46">
        <v>9</v>
      </c>
      <c r="X15" s="46">
        <v>28</v>
      </c>
      <c r="Y15" s="12">
        <v>0</v>
      </c>
      <c r="Z15" s="12">
        <v>0</v>
      </c>
      <c r="AB15" s="5">
        <v>2.75</v>
      </c>
      <c r="AC15" s="117">
        <v>0</v>
      </c>
      <c r="AD15" s="2">
        <v>0</v>
      </c>
      <c r="AE15" s="51">
        <v>14</v>
      </c>
      <c r="AF15" s="51">
        <v>2</v>
      </c>
      <c r="AG15" s="2">
        <v>0</v>
      </c>
      <c r="AH15" s="2">
        <v>0</v>
      </c>
      <c r="AI15" s="2">
        <v>0</v>
      </c>
      <c r="AK15" s="6">
        <v>2.75</v>
      </c>
      <c r="AL15" s="113">
        <v>0</v>
      </c>
      <c r="AM15" s="46">
        <v>9</v>
      </c>
      <c r="AN15" s="46">
        <v>16</v>
      </c>
      <c r="AO15" s="12">
        <v>0</v>
      </c>
      <c r="AP15" s="12">
        <v>0</v>
      </c>
      <c r="AQ15" s="12">
        <v>0</v>
      </c>
      <c r="AR15" s="12">
        <v>0</v>
      </c>
      <c r="AT15" s="5">
        <v>2.0625</v>
      </c>
      <c r="AU15" s="113">
        <v>0</v>
      </c>
      <c r="AV15" s="46">
        <v>3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C15" s="5">
        <v>0.45833333333575865</v>
      </c>
      <c r="BD15" s="113">
        <v>0</v>
      </c>
      <c r="BE15" s="46">
        <v>2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71" x14ac:dyDescent="0.3">
      <c r="A16" s="42">
        <v>12</v>
      </c>
      <c r="B16" s="46">
        <v>41</v>
      </c>
      <c r="C16" s="46">
        <v>2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J16" s="42">
        <v>12</v>
      </c>
      <c r="K16" s="110">
        <v>9</v>
      </c>
      <c r="L16" s="110">
        <v>2</v>
      </c>
      <c r="M16" s="110">
        <v>27</v>
      </c>
      <c r="N16" s="25">
        <v>0</v>
      </c>
      <c r="O16" s="25">
        <v>0</v>
      </c>
      <c r="P16" s="25">
        <v>0</v>
      </c>
      <c r="Q16" s="25">
        <v>0</v>
      </c>
      <c r="S16" s="42">
        <v>12</v>
      </c>
      <c r="T16" s="12">
        <v>0</v>
      </c>
      <c r="U16" s="12">
        <v>0</v>
      </c>
      <c r="V16" s="12">
        <v>0</v>
      </c>
      <c r="W16" s="46">
        <v>3</v>
      </c>
      <c r="X16" s="46">
        <v>34</v>
      </c>
      <c r="Y16" s="12">
        <v>0</v>
      </c>
      <c r="Z16" s="12">
        <v>0</v>
      </c>
      <c r="AB16" s="5">
        <v>3</v>
      </c>
      <c r="AC16" s="117">
        <v>0</v>
      </c>
      <c r="AD16" s="2">
        <v>0</v>
      </c>
      <c r="AE16" s="51">
        <v>9</v>
      </c>
      <c r="AF16" s="51">
        <v>7</v>
      </c>
      <c r="AG16" s="2">
        <v>0</v>
      </c>
      <c r="AH16" s="2">
        <v>0</v>
      </c>
      <c r="AI16" s="2">
        <v>0</v>
      </c>
      <c r="AK16" s="6">
        <v>3</v>
      </c>
      <c r="AL16" s="113">
        <v>0</v>
      </c>
      <c r="AM16" s="46">
        <v>4</v>
      </c>
      <c r="AN16" s="46">
        <v>9</v>
      </c>
      <c r="AO16" s="46">
        <v>5</v>
      </c>
      <c r="AP16" s="12">
        <v>0</v>
      </c>
      <c r="AQ16" s="12">
        <v>0</v>
      </c>
      <c r="AR16" s="12">
        <v>0</v>
      </c>
      <c r="AT16" s="5">
        <v>2.25</v>
      </c>
      <c r="AU16" s="113">
        <v>0</v>
      </c>
      <c r="AV16" s="46">
        <v>1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C16" s="5">
        <v>0.5</v>
      </c>
      <c r="BD16" s="113">
        <v>0</v>
      </c>
      <c r="BE16" s="46">
        <v>2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1:62" x14ac:dyDescent="0.3">
      <c r="A17" s="42">
        <v>13</v>
      </c>
      <c r="B17" s="46">
        <v>41</v>
      </c>
      <c r="C17" s="46">
        <v>1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J17" s="42">
        <v>13</v>
      </c>
      <c r="K17" s="25">
        <v>0</v>
      </c>
      <c r="L17" s="110">
        <v>1</v>
      </c>
      <c r="M17" s="110">
        <v>26</v>
      </c>
      <c r="N17" s="110">
        <v>1</v>
      </c>
      <c r="O17" s="25">
        <v>0</v>
      </c>
      <c r="P17" s="25">
        <v>0</v>
      </c>
      <c r="Q17" s="25">
        <v>0</v>
      </c>
      <c r="S17" s="42">
        <v>13</v>
      </c>
      <c r="T17" s="12">
        <v>0</v>
      </c>
      <c r="U17" s="12">
        <v>0</v>
      </c>
      <c r="V17" s="12">
        <v>0</v>
      </c>
      <c r="W17" s="46">
        <v>1</v>
      </c>
      <c r="X17" s="46">
        <v>36</v>
      </c>
      <c r="Y17" s="12">
        <v>0</v>
      </c>
      <c r="Z17" s="12">
        <v>0</v>
      </c>
      <c r="AB17" s="5">
        <v>3.25</v>
      </c>
      <c r="AC17" s="117">
        <v>0</v>
      </c>
      <c r="AD17" s="2">
        <v>0</v>
      </c>
      <c r="AE17" s="51">
        <v>1</v>
      </c>
      <c r="AF17" s="51">
        <v>15</v>
      </c>
      <c r="AG17" s="2">
        <v>0</v>
      </c>
      <c r="AH17" s="2">
        <v>0</v>
      </c>
      <c r="AI17" s="2">
        <v>0</v>
      </c>
      <c r="AK17" s="6">
        <v>3.25</v>
      </c>
      <c r="AL17" s="113">
        <v>0</v>
      </c>
      <c r="AM17" s="46">
        <v>3</v>
      </c>
      <c r="AN17" s="46">
        <v>5</v>
      </c>
      <c r="AO17" s="46">
        <v>6</v>
      </c>
      <c r="AP17" s="12">
        <v>0</v>
      </c>
      <c r="AQ17" s="12">
        <v>0</v>
      </c>
      <c r="AR17" s="12">
        <v>0</v>
      </c>
      <c r="AT17" s="5">
        <v>2.4375</v>
      </c>
      <c r="AU17" s="113">
        <v>0</v>
      </c>
      <c r="AV17" s="46">
        <v>1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C17" s="5">
        <v>0.54166666666424135</v>
      </c>
      <c r="BD17" s="113">
        <v>0</v>
      </c>
      <c r="BE17" s="46">
        <v>2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1:62" x14ac:dyDescent="0.3">
      <c r="A18" s="42">
        <v>14</v>
      </c>
      <c r="B18" s="46">
        <v>38</v>
      </c>
      <c r="C18" s="46">
        <v>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J18" s="42">
        <v>14</v>
      </c>
      <c r="K18" s="25">
        <v>0</v>
      </c>
      <c r="L18" s="110">
        <v>1</v>
      </c>
      <c r="M18" s="110">
        <v>25</v>
      </c>
      <c r="N18" s="110">
        <v>1</v>
      </c>
      <c r="O18" s="25">
        <v>0</v>
      </c>
      <c r="P18" s="25">
        <v>0</v>
      </c>
      <c r="Q18" s="25">
        <v>0</v>
      </c>
      <c r="S18" s="42">
        <v>14</v>
      </c>
      <c r="T18" s="12">
        <v>0</v>
      </c>
      <c r="U18" s="12">
        <v>0</v>
      </c>
      <c r="V18" s="12">
        <v>0</v>
      </c>
      <c r="W18" s="46">
        <v>1</v>
      </c>
      <c r="X18" s="46">
        <v>36</v>
      </c>
      <c r="Y18" s="12">
        <v>0</v>
      </c>
      <c r="Z18" s="12">
        <v>0</v>
      </c>
      <c r="AB18" s="5">
        <v>3.5</v>
      </c>
      <c r="AC18" s="117">
        <v>0</v>
      </c>
      <c r="AD18" s="2">
        <v>0</v>
      </c>
      <c r="AE18" s="2">
        <v>0</v>
      </c>
      <c r="AF18" s="51">
        <v>16</v>
      </c>
      <c r="AG18" s="2">
        <v>0</v>
      </c>
      <c r="AH18" s="2">
        <v>0</v>
      </c>
      <c r="AI18" s="2">
        <v>0</v>
      </c>
      <c r="AK18" s="6">
        <v>3.5</v>
      </c>
      <c r="AL18" s="113">
        <v>0</v>
      </c>
      <c r="AM18" s="46">
        <v>2</v>
      </c>
      <c r="AN18" s="46">
        <v>1</v>
      </c>
      <c r="AO18" s="46">
        <v>7</v>
      </c>
      <c r="AP18" s="12">
        <v>0</v>
      </c>
      <c r="AQ18" s="12">
        <v>0</v>
      </c>
      <c r="AR18" s="12">
        <v>0</v>
      </c>
      <c r="AT18" s="5">
        <v>2.625</v>
      </c>
      <c r="AU18" s="113">
        <v>0</v>
      </c>
      <c r="AV18" s="46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C18" s="5">
        <v>0.58333333333575865</v>
      </c>
      <c r="BD18" s="113">
        <v>0</v>
      </c>
      <c r="BE18" s="46">
        <v>2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1:62" x14ac:dyDescent="0.3">
      <c r="A19" s="43">
        <v>15</v>
      </c>
      <c r="B19" s="12">
        <v>0</v>
      </c>
      <c r="C19" s="46">
        <v>2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J19" s="43">
        <v>15</v>
      </c>
      <c r="K19" s="25">
        <v>0</v>
      </c>
      <c r="L19" s="25">
        <v>0</v>
      </c>
      <c r="M19" s="110">
        <v>22</v>
      </c>
      <c r="N19" s="110">
        <v>4</v>
      </c>
      <c r="O19" s="25">
        <v>0</v>
      </c>
      <c r="P19" s="25">
        <v>0</v>
      </c>
      <c r="Q19" s="25">
        <v>0</v>
      </c>
      <c r="S19" s="42">
        <v>15</v>
      </c>
      <c r="T19" s="12">
        <v>0</v>
      </c>
      <c r="U19" s="12">
        <v>0</v>
      </c>
      <c r="V19" s="12">
        <v>0</v>
      </c>
      <c r="W19" s="46">
        <v>1</v>
      </c>
      <c r="X19" s="46">
        <v>36</v>
      </c>
      <c r="Y19" s="12">
        <v>0</v>
      </c>
      <c r="Z19" s="12">
        <v>0</v>
      </c>
      <c r="AB19" s="5">
        <v>3.75</v>
      </c>
      <c r="AC19" s="117">
        <v>0</v>
      </c>
      <c r="AD19" s="2">
        <v>0</v>
      </c>
      <c r="AE19" s="2">
        <v>0</v>
      </c>
      <c r="AF19" s="51">
        <v>16</v>
      </c>
      <c r="AG19" s="2">
        <v>0</v>
      </c>
      <c r="AH19" s="2">
        <v>0</v>
      </c>
      <c r="AI19" s="2">
        <v>0</v>
      </c>
      <c r="AK19" s="6">
        <v>3.75</v>
      </c>
      <c r="AL19" s="113">
        <v>0</v>
      </c>
      <c r="AM19" s="46">
        <v>2</v>
      </c>
      <c r="AN19" s="46">
        <v>1</v>
      </c>
      <c r="AO19" s="46">
        <v>7</v>
      </c>
      <c r="AP19" s="12">
        <v>0</v>
      </c>
      <c r="AQ19" s="12">
        <v>0</v>
      </c>
      <c r="AR19" s="12">
        <v>0</v>
      </c>
      <c r="AT19" s="5">
        <v>2.8125</v>
      </c>
      <c r="AU19" s="113">
        <v>0</v>
      </c>
      <c r="AV19" s="46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C19" s="5">
        <v>0.625</v>
      </c>
      <c r="BD19" s="113">
        <v>0</v>
      </c>
      <c r="BE19" s="46">
        <v>2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1:62" x14ac:dyDescent="0.3">
      <c r="A20" s="43">
        <v>16</v>
      </c>
      <c r="B20" s="12">
        <v>0</v>
      </c>
      <c r="C20" s="46">
        <v>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J20" s="43">
        <v>16</v>
      </c>
      <c r="K20" s="25">
        <v>0</v>
      </c>
      <c r="L20" s="25">
        <v>0</v>
      </c>
      <c r="M20" s="110">
        <v>13</v>
      </c>
      <c r="N20" s="110">
        <v>12</v>
      </c>
      <c r="O20" s="25">
        <v>0</v>
      </c>
      <c r="P20" s="25">
        <v>0</v>
      </c>
      <c r="Q20" s="25">
        <v>0</v>
      </c>
      <c r="S20" s="42">
        <v>16</v>
      </c>
      <c r="T20" s="12">
        <v>0</v>
      </c>
      <c r="U20" s="12">
        <v>0</v>
      </c>
      <c r="V20" s="12">
        <v>0</v>
      </c>
      <c r="W20" s="12">
        <v>0</v>
      </c>
      <c r="X20" s="46">
        <v>37</v>
      </c>
      <c r="Y20" s="12">
        <v>0</v>
      </c>
      <c r="Z20" s="12">
        <v>0</v>
      </c>
      <c r="AB20" s="5">
        <v>4</v>
      </c>
      <c r="AC20" s="117">
        <v>0</v>
      </c>
      <c r="AD20" s="2">
        <v>0</v>
      </c>
      <c r="AE20" s="2">
        <v>0</v>
      </c>
      <c r="AF20" s="51">
        <v>14</v>
      </c>
      <c r="AG20" s="51">
        <v>2</v>
      </c>
      <c r="AH20" s="2">
        <v>0</v>
      </c>
      <c r="AI20" s="2">
        <v>0</v>
      </c>
      <c r="AK20" s="6">
        <v>4</v>
      </c>
      <c r="AL20" s="113">
        <v>0</v>
      </c>
      <c r="AM20" s="12">
        <v>0</v>
      </c>
      <c r="AN20" s="12">
        <v>0</v>
      </c>
      <c r="AO20" s="46">
        <v>6</v>
      </c>
      <c r="AP20" s="12">
        <v>0</v>
      </c>
      <c r="AQ20" s="12">
        <v>0</v>
      </c>
      <c r="AR20" s="12">
        <v>0</v>
      </c>
      <c r="AT20" s="5">
        <v>3</v>
      </c>
      <c r="AU20" s="113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C20" s="5">
        <v>0.66666666666424135</v>
      </c>
      <c r="BD20" s="113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1:62" x14ac:dyDescent="0.3">
      <c r="A21" s="43">
        <v>17</v>
      </c>
      <c r="B21" s="12">
        <v>0</v>
      </c>
      <c r="C21" s="46">
        <v>1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J21" s="43">
        <v>17</v>
      </c>
      <c r="K21" s="25">
        <v>0</v>
      </c>
      <c r="L21" s="25">
        <v>0</v>
      </c>
      <c r="M21" s="110">
        <v>7</v>
      </c>
      <c r="N21" s="110">
        <v>18</v>
      </c>
      <c r="O21" s="25">
        <v>0</v>
      </c>
      <c r="P21" s="25">
        <v>0</v>
      </c>
      <c r="Q21" s="25">
        <v>0</v>
      </c>
      <c r="S21" s="42">
        <v>17</v>
      </c>
      <c r="T21" s="12">
        <v>0</v>
      </c>
      <c r="U21" s="12">
        <v>0</v>
      </c>
      <c r="V21" s="12">
        <v>0</v>
      </c>
      <c r="W21" s="12">
        <v>0</v>
      </c>
      <c r="X21" s="46">
        <v>37</v>
      </c>
      <c r="Y21" s="12">
        <v>0</v>
      </c>
      <c r="Z21" s="12">
        <v>0</v>
      </c>
      <c r="AB21" s="5">
        <v>4.25</v>
      </c>
      <c r="AC21" s="117">
        <v>0</v>
      </c>
      <c r="AD21" s="2">
        <v>0</v>
      </c>
      <c r="AE21" s="2">
        <v>0</v>
      </c>
      <c r="AF21" s="51">
        <v>12</v>
      </c>
      <c r="AG21" s="51">
        <v>4</v>
      </c>
      <c r="AH21" s="2">
        <v>0</v>
      </c>
      <c r="AI21" s="2">
        <v>0</v>
      </c>
      <c r="AK21" s="6">
        <v>4.25</v>
      </c>
      <c r="AL21" s="113">
        <v>0</v>
      </c>
      <c r="AM21" s="12">
        <v>0</v>
      </c>
      <c r="AN21" s="12">
        <v>0</v>
      </c>
      <c r="AO21" s="46">
        <v>5</v>
      </c>
      <c r="AP21" s="12">
        <v>0</v>
      </c>
      <c r="AQ21" s="12">
        <v>0</v>
      </c>
      <c r="AR21" s="12">
        <v>0</v>
      </c>
      <c r="AT21" s="5">
        <v>3.1875</v>
      </c>
      <c r="AU21" s="113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C21" s="5">
        <v>0.70833333333575865</v>
      </c>
      <c r="BD21" s="113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1:62" x14ac:dyDescent="0.3">
      <c r="A22" s="43">
        <v>18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J22" s="43">
        <v>18</v>
      </c>
      <c r="K22" s="25">
        <v>0</v>
      </c>
      <c r="L22" s="25">
        <v>0</v>
      </c>
      <c r="M22" s="110">
        <v>4</v>
      </c>
      <c r="N22" s="110">
        <v>20</v>
      </c>
      <c r="O22" s="25">
        <v>0</v>
      </c>
      <c r="P22" s="25">
        <v>0</v>
      </c>
      <c r="Q22" s="25">
        <v>0</v>
      </c>
      <c r="S22" s="42">
        <v>18</v>
      </c>
      <c r="T22" s="12">
        <v>0</v>
      </c>
      <c r="U22" s="12">
        <v>0</v>
      </c>
      <c r="V22" s="12">
        <v>0</v>
      </c>
      <c r="W22" s="12">
        <v>0</v>
      </c>
      <c r="X22" s="46">
        <v>37</v>
      </c>
      <c r="Y22" s="12">
        <v>0</v>
      </c>
      <c r="Z22" s="12">
        <v>0</v>
      </c>
      <c r="AB22" s="5">
        <v>4.5</v>
      </c>
      <c r="AC22" s="117">
        <v>0</v>
      </c>
      <c r="AD22" s="2">
        <v>0</v>
      </c>
      <c r="AE22" s="2">
        <v>0</v>
      </c>
      <c r="AF22" s="51">
        <v>8</v>
      </c>
      <c r="AG22" s="51">
        <v>8</v>
      </c>
      <c r="AH22" s="2">
        <v>0</v>
      </c>
      <c r="AI22" s="2">
        <v>0</v>
      </c>
      <c r="AK22" s="6">
        <v>4.5</v>
      </c>
      <c r="AL22" s="113">
        <v>0</v>
      </c>
      <c r="AM22" s="12">
        <v>0</v>
      </c>
      <c r="AN22" s="12">
        <v>0</v>
      </c>
      <c r="AO22" s="46">
        <v>5</v>
      </c>
      <c r="AP22" s="12">
        <v>0</v>
      </c>
      <c r="AQ22" s="12">
        <v>0</v>
      </c>
      <c r="AR22" s="12">
        <v>0</v>
      </c>
      <c r="AT22" s="5">
        <v>3.375</v>
      </c>
      <c r="AU22" s="113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C22" s="5">
        <v>0.75</v>
      </c>
      <c r="BD22" s="113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1:62" x14ac:dyDescent="0.3">
      <c r="J23" s="43">
        <v>19</v>
      </c>
      <c r="K23" s="25">
        <v>0</v>
      </c>
      <c r="L23" s="25">
        <v>0</v>
      </c>
      <c r="M23" s="110">
        <v>2</v>
      </c>
      <c r="N23" s="110">
        <v>21</v>
      </c>
      <c r="O23" s="25">
        <v>0</v>
      </c>
      <c r="P23" s="25">
        <v>0</v>
      </c>
      <c r="Q23" s="25">
        <v>0</v>
      </c>
      <c r="S23" s="42">
        <v>19</v>
      </c>
      <c r="T23" s="12">
        <v>0</v>
      </c>
      <c r="U23" s="12">
        <v>0</v>
      </c>
      <c r="V23" s="12">
        <v>0</v>
      </c>
      <c r="W23" s="12">
        <v>0</v>
      </c>
      <c r="X23" s="46">
        <v>37</v>
      </c>
      <c r="Y23" s="12">
        <v>0</v>
      </c>
      <c r="Z23" s="12">
        <v>0</v>
      </c>
      <c r="AB23" s="5">
        <v>4.75</v>
      </c>
      <c r="AC23" s="117">
        <v>0</v>
      </c>
      <c r="AD23" s="2">
        <v>0</v>
      </c>
      <c r="AE23" s="2">
        <v>0</v>
      </c>
      <c r="AF23" s="51">
        <v>8</v>
      </c>
      <c r="AG23" s="51">
        <v>8</v>
      </c>
      <c r="AH23" s="2">
        <v>0</v>
      </c>
      <c r="AI23" s="2">
        <v>0</v>
      </c>
      <c r="AK23" s="6">
        <v>4.75</v>
      </c>
      <c r="AL23" s="113">
        <v>0</v>
      </c>
      <c r="AM23" s="12">
        <v>0</v>
      </c>
      <c r="AN23" s="12">
        <v>0</v>
      </c>
      <c r="AO23" s="46">
        <v>5</v>
      </c>
      <c r="AP23" s="12">
        <v>0</v>
      </c>
      <c r="AQ23" s="12">
        <v>0</v>
      </c>
      <c r="AR23" s="12">
        <v>0</v>
      </c>
      <c r="AT23" s="5">
        <v>3.5625</v>
      </c>
      <c r="AU23" s="113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C23" s="5">
        <v>0.79166666666424135</v>
      </c>
      <c r="BD23" s="113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1:62" x14ac:dyDescent="0.3">
      <c r="J24" s="43">
        <v>20</v>
      </c>
      <c r="K24" s="25">
        <v>0</v>
      </c>
      <c r="L24" s="25">
        <v>0</v>
      </c>
      <c r="M24" s="110">
        <v>2</v>
      </c>
      <c r="N24" s="110">
        <v>21</v>
      </c>
      <c r="O24" s="25">
        <v>0</v>
      </c>
      <c r="P24" s="25">
        <v>0</v>
      </c>
      <c r="Q24" s="25">
        <v>0</v>
      </c>
      <c r="S24" s="42">
        <v>20</v>
      </c>
      <c r="T24" s="12">
        <v>0</v>
      </c>
      <c r="U24" s="12">
        <v>0</v>
      </c>
      <c r="V24" s="12">
        <v>0</v>
      </c>
      <c r="W24" s="12">
        <v>0</v>
      </c>
      <c r="X24" s="46">
        <v>30</v>
      </c>
      <c r="Y24" s="12">
        <v>0</v>
      </c>
      <c r="Z24" s="12">
        <v>0</v>
      </c>
      <c r="AB24" s="5">
        <v>5</v>
      </c>
      <c r="AC24" s="117">
        <v>0</v>
      </c>
      <c r="AD24" s="2">
        <v>0</v>
      </c>
      <c r="AE24" s="2">
        <v>0</v>
      </c>
      <c r="AF24" s="51">
        <v>4</v>
      </c>
      <c r="AG24" s="51">
        <v>12</v>
      </c>
      <c r="AH24" s="2">
        <v>0</v>
      </c>
      <c r="AI24" s="2">
        <v>0</v>
      </c>
      <c r="AK24" s="6">
        <v>5</v>
      </c>
      <c r="AL24" s="113">
        <v>0</v>
      </c>
      <c r="AM24" s="12">
        <v>0</v>
      </c>
      <c r="AN24" s="12">
        <v>0</v>
      </c>
      <c r="AO24" s="46">
        <v>4</v>
      </c>
      <c r="AP24" s="12">
        <v>0</v>
      </c>
      <c r="AQ24" s="12">
        <v>0</v>
      </c>
      <c r="AR24" s="12">
        <v>0</v>
      </c>
      <c r="AT24" s="5">
        <v>3.75</v>
      </c>
      <c r="AU24" s="113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C24" s="5">
        <v>0.83333333333575865</v>
      </c>
      <c r="BD24" s="113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1:62" x14ac:dyDescent="0.3">
      <c r="J25" s="43">
        <v>21</v>
      </c>
      <c r="K25" s="25">
        <v>0</v>
      </c>
      <c r="L25" s="25">
        <v>0</v>
      </c>
      <c r="M25" s="25">
        <v>0</v>
      </c>
      <c r="N25" s="110">
        <v>21</v>
      </c>
      <c r="O25" s="110">
        <v>2</v>
      </c>
      <c r="P25" s="25">
        <v>0</v>
      </c>
      <c r="Q25" s="25">
        <v>0</v>
      </c>
      <c r="S25" s="42">
        <v>21</v>
      </c>
      <c r="T25" s="12">
        <v>0</v>
      </c>
      <c r="U25" s="12">
        <v>0</v>
      </c>
      <c r="V25" s="12">
        <v>0</v>
      </c>
      <c r="W25" s="12">
        <v>0</v>
      </c>
      <c r="X25" s="46">
        <v>27</v>
      </c>
      <c r="Y25" s="12">
        <v>0</v>
      </c>
      <c r="Z25" s="12">
        <v>0</v>
      </c>
      <c r="AB25" s="5">
        <v>5.25</v>
      </c>
      <c r="AC25" s="117">
        <v>0</v>
      </c>
      <c r="AD25" s="2">
        <v>0</v>
      </c>
      <c r="AE25" s="2">
        <v>0</v>
      </c>
      <c r="AF25" s="2">
        <v>0</v>
      </c>
      <c r="AG25" s="51">
        <v>16</v>
      </c>
      <c r="AH25" s="2">
        <v>0</v>
      </c>
      <c r="AI25" s="2">
        <v>0</v>
      </c>
      <c r="AK25" s="6">
        <v>5.25</v>
      </c>
      <c r="AL25" s="113">
        <v>0</v>
      </c>
      <c r="AM25" s="12">
        <v>0</v>
      </c>
      <c r="AN25" s="12">
        <v>0</v>
      </c>
      <c r="AO25" s="46">
        <v>3</v>
      </c>
      <c r="AP25" s="46">
        <v>1</v>
      </c>
      <c r="AQ25" s="12">
        <v>0</v>
      </c>
      <c r="AR25" s="12">
        <v>0</v>
      </c>
      <c r="AT25" s="5">
        <v>3.9375</v>
      </c>
      <c r="AU25" s="113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C25" s="5">
        <v>0.875</v>
      </c>
      <c r="BD25" s="113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1:62" x14ac:dyDescent="0.3">
      <c r="J26" s="43">
        <v>22</v>
      </c>
      <c r="K26" s="25">
        <v>0</v>
      </c>
      <c r="L26" s="25">
        <v>0</v>
      </c>
      <c r="M26" s="25">
        <v>0</v>
      </c>
      <c r="N26" s="110">
        <v>21</v>
      </c>
      <c r="O26" s="110">
        <v>2</v>
      </c>
      <c r="P26" s="25">
        <v>0</v>
      </c>
      <c r="Q26" s="25">
        <v>0</v>
      </c>
      <c r="S26" s="42">
        <v>22</v>
      </c>
      <c r="T26" s="12">
        <v>0</v>
      </c>
      <c r="U26" s="12">
        <v>0</v>
      </c>
      <c r="V26" s="12">
        <v>0</v>
      </c>
      <c r="W26" s="12">
        <v>0</v>
      </c>
      <c r="X26" s="46">
        <v>19</v>
      </c>
      <c r="Y26" s="12">
        <v>0</v>
      </c>
      <c r="Z26" s="12">
        <v>0</v>
      </c>
      <c r="AB26" s="5">
        <v>5.5</v>
      </c>
      <c r="AC26" s="117">
        <v>0</v>
      </c>
      <c r="AD26" s="2">
        <v>0</v>
      </c>
      <c r="AE26" s="2">
        <v>0</v>
      </c>
      <c r="AF26" s="2">
        <v>0</v>
      </c>
      <c r="AG26" s="51">
        <v>16</v>
      </c>
      <c r="AH26" s="2">
        <v>0</v>
      </c>
      <c r="AI26" s="2">
        <v>0</v>
      </c>
      <c r="AK26" s="6">
        <v>5.5</v>
      </c>
      <c r="AL26" s="113">
        <v>0</v>
      </c>
      <c r="AM26" s="12">
        <v>0</v>
      </c>
      <c r="AN26" s="12">
        <v>0</v>
      </c>
      <c r="AO26" s="46">
        <v>1</v>
      </c>
      <c r="AP26" s="46">
        <v>1</v>
      </c>
      <c r="AQ26" s="12">
        <v>0</v>
      </c>
      <c r="AR26" s="12">
        <v>0</v>
      </c>
      <c r="AT26" s="5">
        <v>4.125</v>
      </c>
      <c r="AU26" s="113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C26" s="5">
        <v>0.91666666666424135</v>
      </c>
      <c r="BD26" s="113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1:62" x14ac:dyDescent="0.3">
      <c r="J27" s="43">
        <v>23</v>
      </c>
      <c r="K27" s="25">
        <v>0</v>
      </c>
      <c r="L27" s="25">
        <v>0</v>
      </c>
      <c r="M27" s="25">
        <v>0</v>
      </c>
      <c r="N27" s="110">
        <v>16</v>
      </c>
      <c r="O27" s="110">
        <v>7</v>
      </c>
      <c r="P27" s="25">
        <v>0</v>
      </c>
      <c r="Q27" s="25">
        <v>0</v>
      </c>
      <c r="S27" s="42">
        <v>23</v>
      </c>
      <c r="T27" s="12">
        <v>0</v>
      </c>
      <c r="U27" s="12">
        <v>0</v>
      </c>
      <c r="V27" s="12">
        <v>0</v>
      </c>
      <c r="W27" s="12">
        <v>0</v>
      </c>
      <c r="X27" s="46">
        <v>15</v>
      </c>
      <c r="Y27" s="12">
        <v>0</v>
      </c>
      <c r="Z27" s="12">
        <v>0</v>
      </c>
      <c r="AB27" s="5">
        <v>5.75</v>
      </c>
      <c r="AC27" s="117">
        <v>0</v>
      </c>
      <c r="AD27" s="2">
        <v>0</v>
      </c>
      <c r="AE27" s="2">
        <v>0</v>
      </c>
      <c r="AF27" s="2">
        <v>0</v>
      </c>
      <c r="AG27" s="51">
        <v>16</v>
      </c>
      <c r="AH27" s="2">
        <v>0</v>
      </c>
      <c r="AI27" s="2">
        <v>0</v>
      </c>
      <c r="AK27" s="6">
        <v>5.75</v>
      </c>
      <c r="AL27" s="113">
        <v>0</v>
      </c>
      <c r="AM27" s="12">
        <v>0</v>
      </c>
      <c r="AN27" s="12">
        <v>0</v>
      </c>
      <c r="AO27" s="46">
        <v>1</v>
      </c>
      <c r="AP27" s="46">
        <v>1</v>
      </c>
      <c r="AQ27" s="12">
        <v>0</v>
      </c>
      <c r="AR27" s="12">
        <v>0</v>
      </c>
      <c r="AT27" s="5">
        <v>4.3125</v>
      </c>
      <c r="AU27" s="113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C27" s="5">
        <v>0.95833333333575865</v>
      </c>
      <c r="BD27" s="113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1:62" x14ac:dyDescent="0.3">
      <c r="J28" s="43">
        <v>24</v>
      </c>
      <c r="K28" s="25">
        <v>0</v>
      </c>
      <c r="L28" s="25">
        <v>0</v>
      </c>
      <c r="M28" s="25">
        <v>0</v>
      </c>
      <c r="N28" s="110">
        <v>15</v>
      </c>
      <c r="O28" s="110">
        <v>8</v>
      </c>
      <c r="P28" s="25">
        <v>0</v>
      </c>
      <c r="Q28" s="25">
        <v>0</v>
      </c>
      <c r="S28" s="42">
        <v>24</v>
      </c>
      <c r="T28" s="12">
        <v>0</v>
      </c>
      <c r="U28" s="12">
        <v>0</v>
      </c>
      <c r="V28" s="12">
        <v>0</v>
      </c>
      <c r="W28" s="12">
        <v>0</v>
      </c>
      <c r="X28" s="46">
        <v>11</v>
      </c>
      <c r="Y28" s="12">
        <v>0</v>
      </c>
      <c r="Z28" s="12">
        <v>0</v>
      </c>
      <c r="AB28" s="5">
        <v>6</v>
      </c>
      <c r="AC28" s="117">
        <v>0</v>
      </c>
      <c r="AD28" s="2">
        <v>0</v>
      </c>
      <c r="AE28" s="2">
        <v>0</v>
      </c>
      <c r="AF28" s="2">
        <v>0</v>
      </c>
      <c r="AG28" s="51">
        <v>16</v>
      </c>
      <c r="AH28" s="2">
        <v>0</v>
      </c>
      <c r="AI28" s="2">
        <v>0</v>
      </c>
      <c r="AK28" s="6">
        <v>6</v>
      </c>
      <c r="AL28" s="113">
        <v>0</v>
      </c>
      <c r="AM28" s="12">
        <v>0</v>
      </c>
      <c r="AN28" s="12">
        <v>0</v>
      </c>
      <c r="AO28" s="46">
        <v>1</v>
      </c>
      <c r="AP28" s="46">
        <v>1</v>
      </c>
      <c r="AQ28" s="12">
        <v>0</v>
      </c>
      <c r="AR28" s="12">
        <v>0</v>
      </c>
      <c r="AT28" s="5">
        <v>4.5</v>
      </c>
      <c r="AU28" s="113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C28" s="5">
        <v>1</v>
      </c>
      <c r="BD28" s="113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1:62" x14ac:dyDescent="0.3">
      <c r="J29" s="43">
        <v>25</v>
      </c>
      <c r="K29" s="25">
        <v>0</v>
      </c>
      <c r="L29" s="25">
        <v>0</v>
      </c>
      <c r="M29" s="25">
        <v>0</v>
      </c>
      <c r="N29" s="110">
        <v>4</v>
      </c>
      <c r="O29" s="110">
        <v>19</v>
      </c>
      <c r="P29" s="25">
        <v>0</v>
      </c>
      <c r="Q29" s="25">
        <v>0</v>
      </c>
      <c r="S29" s="42">
        <v>25</v>
      </c>
      <c r="T29" s="12">
        <v>0</v>
      </c>
      <c r="U29" s="12">
        <v>0</v>
      </c>
      <c r="V29" s="12">
        <v>0</v>
      </c>
      <c r="W29" s="12">
        <v>0</v>
      </c>
      <c r="X29" s="46">
        <v>8</v>
      </c>
      <c r="Y29" s="12">
        <v>0</v>
      </c>
      <c r="Z29" s="12">
        <v>0</v>
      </c>
      <c r="AB29" s="5">
        <v>6.25</v>
      </c>
      <c r="AC29" s="117">
        <v>0</v>
      </c>
      <c r="AD29" s="2">
        <v>0</v>
      </c>
      <c r="AE29" s="2">
        <v>0</v>
      </c>
      <c r="AF29" s="2">
        <v>0</v>
      </c>
      <c r="AG29" s="51">
        <v>16</v>
      </c>
      <c r="AH29" s="2">
        <v>0</v>
      </c>
      <c r="AI29" s="2">
        <v>0</v>
      </c>
      <c r="AK29" s="6">
        <v>6.25</v>
      </c>
      <c r="AL29" s="113">
        <v>0</v>
      </c>
      <c r="AM29" s="12">
        <v>0</v>
      </c>
      <c r="AN29" s="12">
        <v>0</v>
      </c>
      <c r="AO29" s="46">
        <v>1</v>
      </c>
      <c r="AP29" s="46">
        <v>1</v>
      </c>
      <c r="AQ29" s="12">
        <v>0</v>
      </c>
      <c r="AR29" s="12">
        <v>0</v>
      </c>
      <c r="AT29" s="5">
        <v>4.6875</v>
      </c>
      <c r="AU29" s="113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C29" s="5">
        <v>1.0416666666642413</v>
      </c>
      <c r="BD29" s="113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1:62" x14ac:dyDescent="0.3">
      <c r="J30" s="43">
        <v>26</v>
      </c>
      <c r="K30" s="25">
        <v>0</v>
      </c>
      <c r="L30" s="25">
        <v>0</v>
      </c>
      <c r="M30" s="25">
        <v>0</v>
      </c>
      <c r="N30" s="110">
        <v>3</v>
      </c>
      <c r="O30" s="110">
        <v>20</v>
      </c>
      <c r="P30" s="25">
        <v>0</v>
      </c>
      <c r="Q30" s="25">
        <v>0</v>
      </c>
      <c r="S30" s="42">
        <v>26</v>
      </c>
      <c r="T30" s="12">
        <v>0</v>
      </c>
      <c r="U30" s="12">
        <v>0</v>
      </c>
      <c r="V30" s="12">
        <v>0</v>
      </c>
      <c r="W30" s="12">
        <v>0</v>
      </c>
      <c r="X30" s="46">
        <v>7</v>
      </c>
      <c r="Y30" s="12">
        <v>0</v>
      </c>
      <c r="Z30" s="12">
        <v>0</v>
      </c>
      <c r="AB30" s="5">
        <v>6.5</v>
      </c>
      <c r="AC30" s="117">
        <v>0</v>
      </c>
      <c r="AD30" s="2">
        <v>0</v>
      </c>
      <c r="AE30" s="2">
        <v>0</v>
      </c>
      <c r="AF30" s="2">
        <v>0</v>
      </c>
      <c r="AG30" s="51">
        <v>16</v>
      </c>
      <c r="AH30" s="2">
        <v>0</v>
      </c>
      <c r="AI30" s="2">
        <v>0</v>
      </c>
      <c r="AK30" s="6">
        <v>6.5</v>
      </c>
      <c r="AL30" s="113">
        <v>0</v>
      </c>
      <c r="AM30" s="12">
        <v>0</v>
      </c>
      <c r="AN30" s="12">
        <v>0</v>
      </c>
      <c r="AO30" s="12">
        <v>0</v>
      </c>
      <c r="AP30" s="46">
        <v>2</v>
      </c>
      <c r="AQ30" s="12">
        <v>0</v>
      </c>
      <c r="AR30" s="12">
        <v>0</v>
      </c>
      <c r="AT30" s="5">
        <v>4.875</v>
      </c>
      <c r="AU30" s="113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C30" s="5">
        <v>1.0833333333357587</v>
      </c>
      <c r="BD30" s="113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1:62" x14ac:dyDescent="0.3">
      <c r="J31" s="43">
        <v>27</v>
      </c>
      <c r="K31" s="25">
        <v>0</v>
      </c>
      <c r="L31" s="25">
        <v>0</v>
      </c>
      <c r="M31" s="25">
        <v>0</v>
      </c>
      <c r="N31" s="110">
        <v>3</v>
      </c>
      <c r="O31" s="110">
        <v>20</v>
      </c>
      <c r="P31" s="25">
        <v>0</v>
      </c>
      <c r="Q31" s="25">
        <v>0</v>
      </c>
      <c r="S31" s="42">
        <v>27</v>
      </c>
      <c r="T31" s="12">
        <v>0</v>
      </c>
      <c r="U31" s="12">
        <v>0</v>
      </c>
      <c r="V31" s="12">
        <v>0</v>
      </c>
      <c r="W31" s="12">
        <v>0</v>
      </c>
      <c r="X31" s="46">
        <v>7</v>
      </c>
      <c r="Y31" s="12">
        <v>0</v>
      </c>
      <c r="Z31" s="12">
        <v>0</v>
      </c>
      <c r="AB31" s="5">
        <v>6.75</v>
      </c>
      <c r="AC31" s="117">
        <v>0</v>
      </c>
      <c r="AD31" s="2">
        <v>0</v>
      </c>
      <c r="AE31" s="2">
        <v>0</v>
      </c>
      <c r="AF31" s="2">
        <v>0</v>
      </c>
      <c r="AG31" s="51">
        <v>16</v>
      </c>
      <c r="AH31" s="2">
        <v>0</v>
      </c>
      <c r="AI31" s="2">
        <v>0</v>
      </c>
      <c r="AK31" s="6">
        <v>6.75</v>
      </c>
      <c r="AL31" s="113">
        <v>0</v>
      </c>
      <c r="AM31" s="12">
        <v>0</v>
      </c>
      <c r="AN31" s="12">
        <v>0</v>
      </c>
      <c r="AO31" s="12">
        <v>0</v>
      </c>
      <c r="AP31" s="46">
        <v>2</v>
      </c>
      <c r="AQ31" s="12">
        <v>0</v>
      </c>
      <c r="AR31" s="12">
        <v>0</v>
      </c>
      <c r="AT31" s="5">
        <v>5.0625</v>
      </c>
      <c r="AU31" s="113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C31" s="5">
        <v>1.125</v>
      </c>
      <c r="BD31" s="113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1:62" x14ac:dyDescent="0.3">
      <c r="J32" s="43">
        <v>28</v>
      </c>
      <c r="K32" s="25">
        <v>0</v>
      </c>
      <c r="L32" s="25">
        <v>0</v>
      </c>
      <c r="M32" s="25">
        <v>0</v>
      </c>
      <c r="N32" s="110">
        <v>3</v>
      </c>
      <c r="O32" s="110">
        <v>20</v>
      </c>
      <c r="P32" s="25">
        <v>0</v>
      </c>
      <c r="Q32" s="25">
        <v>0</v>
      </c>
      <c r="S32" s="42">
        <v>28</v>
      </c>
      <c r="T32" s="12">
        <v>0</v>
      </c>
      <c r="U32" s="12">
        <v>0</v>
      </c>
      <c r="V32" s="12">
        <v>0</v>
      </c>
      <c r="W32" s="12">
        <v>0</v>
      </c>
      <c r="X32" s="46">
        <v>5</v>
      </c>
      <c r="Y32" s="12">
        <v>0</v>
      </c>
      <c r="Z32" s="12">
        <v>0</v>
      </c>
      <c r="AB32" s="5">
        <v>7</v>
      </c>
      <c r="AC32" s="117">
        <v>0</v>
      </c>
      <c r="AD32" s="2">
        <v>0</v>
      </c>
      <c r="AE32" s="2">
        <v>0</v>
      </c>
      <c r="AF32" s="2">
        <v>0</v>
      </c>
      <c r="AG32" s="51">
        <v>16</v>
      </c>
      <c r="AH32" s="2">
        <v>0</v>
      </c>
      <c r="AI32" s="2">
        <v>0</v>
      </c>
      <c r="AK32" s="6">
        <v>7</v>
      </c>
      <c r="AL32" s="113">
        <v>0</v>
      </c>
      <c r="AM32" s="12">
        <v>0</v>
      </c>
      <c r="AN32" s="12">
        <v>0</v>
      </c>
      <c r="AO32" s="12">
        <v>0</v>
      </c>
      <c r="AP32" s="46">
        <v>2</v>
      </c>
      <c r="AQ32" s="12">
        <v>0</v>
      </c>
      <c r="AR32" s="12">
        <v>0</v>
      </c>
      <c r="AT32" s="5">
        <v>5.25</v>
      </c>
      <c r="AU32" s="113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C32" s="5">
        <v>1.1666666666642413</v>
      </c>
      <c r="BD32" s="113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10:62" x14ac:dyDescent="0.3">
      <c r="J33" s="43">
        <v>29</v>
      </c>
      <c r="K33" s="25">
        <v>0</v>
      </c>
      <c r="L33" s="25">
        <v>0</v>
      </c>
      <c r="M33" s="25">
        <v>0</v>
      </c>
      <c r="N33" s="110">
        <v>3</v>
      </c>
      <c r="O33" s="110">
        <v>20</v>
      </c>
      <c r="P33" s="25">
        <v>0</v>
      </c>
      <c r="Q33" s="25">
        <v>0</v>
      </c>
      <c r="S33" s="42">
        <v>29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B33" s="5">
        <v>7.25</v>
      </c>
      <c r="AC33" s="117">
        <v>0</v>
      </c>
      <c r="AD33" s="2">
        <v>0</v>
      </c>
      <c r="AE33" s="2">
        <v>0</v>
      </c>
      <c r="AF33" s="2">
        <v>0</v>
      </c>
      <c r="AG33" s="51">
        <v>16</v>
      </c>
      <c r="AH33" s="2">
        <v>0</v>
      </c>
      <c r="AI33" s="2">
        <v>0</v>
      </c>
      <c r="AK33" s="6">
        <v>7.25</v>
      </c>
      <c r="AL33" s="113">
        <v>0</v>
      </c>
      <c r="AM33" s="12">
        <v>0</v>
      </c>
      <c r="AN33" s="12">
        <v>0</v>
      </c>
      <c r="AO33" s="12">
        <v>0</v>
      </c>
      <c r="AP33" s="46">
        <v>2</v>
      </c>
      <c r="AQ33" s="12">
        <v>0</v>
      </c>
      <c r="AR33" s="12">
        <v>0</v>
      </c>
      <c r="AT33" s="5">
        <v>5.4375</v>
      </c>
      <c r="AU33" s="113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C33" s="5">
        <v>1.2083333333357587</v>
      </c>
      <c r="BD33" s="113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10:62" x14ac:dyDescent="0.3">
      <c r="J34" s="43">
        <v>30</v>
      </c>
      <c r="K34" s="25">
        <v>0</v>
      </c>
      <c r="L34" s="25">
        <v>0</v>
      </c>
      <c r="M34" s="25">
        <v>0</v>
      </c>
      <c r="N34" s="110">
        <v>2</v>
      </c>
      <c r="O34" s="110">
        <v>21</v>
      </c>
      <c r="P34" s="25">
        <v>0</v>
      </c>
      <c r="Q34" s="25">
        <v>0</v>
      </c>
      <c r="AB34" s="5">
        <v>7.5</v>
      </c>
      <c r="AC34" s="117">
        <v>0</v>
      </c>
      <c r="AD34" s="2">
        <v>0</v>
      </c>
      <c r="AE34" s="2">
        <v>0</v>
      </c>
      <c r="AF34" s="2">
        <v>0</v>
      </c>
      <c r="AG34" s="51">
        <v>16</v>
      </c>
      <c r="AH34" s="2">
        <v>0</v>
      </c>
      <c r="AI34" s="2">
        <v>0</v>
      </c>
      <c r="AK34" s="6">
        <v>7.5</v>
      </c>
      <c r="AL34" s="113">
        <v>0</v>
      </c>
      <c r="AM34" s="12">
        <v>0</v>
      </c>
      <c r="AN34" s="12">
        <v>0</v>
      </c>
      <c r="AO34" s="12">
        <v>0</v>
      </c>
      <c r="AP34" s="46">
        <v>2</v>
      </c>
      <c r="AQ34" s="12">
        <v>0</v>
      </c>
      <c r="AR34" s="12">
        <v>0</v>
      </c>
      <c r="AT34" s="5">
        <v>5.625</v>
      </c>
      <c r="AU34" s="113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C34" s="5">
        <v>1.25</v>
      </c>
      <c r="BD34" s="113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10:62" x14ac:dyDescent="0.3">
      <c r="J35" s="43">
        <v>31</v>
      </c>
      <c r="K35" s="25">
        <v>0</v>
      </c>
      <c r="L35" s="25">
        <v>0</v>
      </c>
      <c r="M35" s="25">
        <v>0</v>
      </c>
      <c r="N35" s="110">
        <v>2</v>
      </c>
      <c r="O35" s="110">
        <v>21</v>
      </c>
      <c r="P35" s="25">
        <v>0</v>
      </c>
      <c r="Q35" s="25">
        <v>0</v>
      </c>
      <c r="AB35" s="5">
        <v>7.75</v>
      </c>
      <c r="AC35" s="117">
        <v>0</v>
      </c>
      <c r="AD35" s="2">
        <v>0</v>
      </c>
      <c r="AE35" s="2">
        <v>0</v>
      </c>
      <c r="AF35" s="2">
        <v>0</v>
      </c>
      <c r="AG35" s="51">
        <v>16</v>
      </c>
      <c r="AH35" s="2">
        <v>0</v>
      </c>
      <c r="AI35" s="2">
        <v>0</v>
      </c>
      <c r="AK35" s="6">
        <v>7.75</v>
      </c>
      <c r="AL35" s="113">
        <v>0</v>
      </c>
      <c r="AM35" s="12">
        <v>0</v>
      </c>
      <c r="AN35" s="12">
        <v>0</v>
      </c>
      <c r="AO35" s="12">
        <v>0</v>
      </c>
      <c r="AP35" s="46">
        <v>2</v>
      </c>
      <c r="AQ35" s="12">
        <v>0</v>
      </c>
      <c r="AR35" s="12">
        <v>0</v>
      </c>
      <c r="AT35" s="5">
        <v>5.8125</v>
      </c>
      <c r="AU35" s="113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C35" s="5">
        <v>1.2916666666642413</v>
      </c>
      <c r="BD35" s="113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10:62" x14ac:dyDescent="0.3">
      <c r="J36" s="43">
        <v>32</v>
      </c>
      <c r="K36" s="25">
        <v>0</v>
      </c>
      <c r="L36" s="25">
        <v>0</v>
      </c>
      <c r="M36" s="25">
        <v>0</v>
      </c>
      <c r="N36" s="25">
        <v>0</v>
      </c>
      <c r="O36" s="110">
        <v>23</v>
      </c>
      <c r="P36" s="25">
        <v>0</v>
      </c>
      <c r="Q36" s="25">
        <v>0</v>
      </c>
      <c r="AB36" s="5">
        <v>8</v>
      </c>
      <c r="AC36" s="117">
        <v>0</v>
      </c>
      <c r="AD36" s="2">
        <v>0</v>
      </c>
      <c r="AE36" s="2">
        <v>0</v>
      </c>
      <c r="AF36" s="2">
        <v>0</v>
      </c>
      <c r="AG36" s="51">
        <v>14</v>
      </c>
      <c r="AH36" s="51">
        <v>1</v>
      </c>
      <c r="AI36" s="51">
        <v>1</v>
      </c>
      <c r="AK36" s="6">
        <v>8</v>
      </c>
      <c r="AL36" s="113">
        <v>0</v>
      </c>
      <c r="AM36" s="12">
        <v>0</v>
      </c>
      <c r="AN36" s="12">
        <v>0</v>
      </c>
      <c r="AO36" s="12">
        <v>0</v>
      </c>
      <c r="AP36" s="46">
        <v>2</v>
      </c>
      <c r="AQ36" s="12">
        <v>0</v>
      </c>
      <c r="AR36" s="12">
        <v>0</v>
      </c>
      <c r="AT36" s="5">
        <v>6</v>
      </c>
      <c r="AU36" s="113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C36" s="5">
        <v>1.3333333333357587</v>
      </c>
      <c r="BD36" s="113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10:62" x14ac:dyDescent="0.3">
      <c r="J37" s="43">
        <v>33</v>
      </c>
      <c r="K37" s="25">
        <v>0</v>
      </c>
      <c r="L37" s="25">
        <v>0</v>
      </c>
      <c r="M37" s="25">
        <v>0</v>
      </c>
      <c r="N37" s="25">
        <v>0</v>
      </c>
      <c r="O37" s="110">
        <v>23</v>
      </c>
      <c r="P37" s="25">
        <v>0</v>
      </c>
      <c r="Q37" s="25">
        <v>0</v>
      </c>
      <c r="AB37" s="5">
        <v>8.25</v>
      </c>
      <c r="AC37" s="117">
        <v>0</v>
      </c>
      <c r="AD37" s="2">
        <v>0</v>
      </c>
      <c r="AE37" s="2">
        <v>0</v>
      </c>
      <c r="AF37" s="2">
        <v>0</v>
      </c>
      <c r="AG37" s="51">
        <v>14</v>
      </c>
      <c r="AH37" s="51">
        <v>1</v>
      </c>
      <c r="AI37" s="51">
        <v>1</v>
      </c>
      <c r="AK37" s="6">
        <v>8.25</v>
      </c>
      <c r="AL37" s="113">
        <v>0</v>
      </c>
      <c r="AM37" s="12">
        <v>0</v>
      </c>
      <c r="AN37" s="12">
        <v>0</v>
      </c>
      <c r="AO37" s="12">
        <v>0</v>
      </c>
      <c r="AP37" s="46">
        <v>2</v>
      </c>
      <c r="AQ37" s="12">
        <v>0</v>
      </c>
      <c r="AR37" s="12">
        <v>0</v>
      </c>
      <c r="AT37" s="5">
        <v>6.1875</v>
      </c>
      <c r="AU37" s="113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C37" s="5">
        <v>1.375</v>
      </c>
      <c r="BD37" s="113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10:62" x14ac:dyDescent="0.3">
      <c r="J38" s="43">
        <v>34</v>
      </c>
      <c r="K38" s="25">
        <v>0</v>
      </c>
      <c r="L38" s="25">
        <v>0</v>
      </c>
      <c r="M38" s="25">
        <v>0</v>
      </c>
      <c r="N38" s="25">
        <v>0</v>
      </c>
      <c r="O38" s="110">
        <v>23</v>
      </c>
      <c r="P38" s="25">
        <v>0</v>
      </c>
      <c r="Q38" s="25">
        <v>0</v>
      </c>
      <c r="AB38" s="5">
        <v>8.5</v>
      </c>
      <c r="AC38" s="117">
        <v>0</v>
      </c>
      <c r="AD38" s="2">
        <v>0</v>
      </c>
      <c r="AE38" s="2">
        <v>0</v>
      </c>
      <c r="AF38" s="2">
        <v>0</v>
      </c>
      <c r="AG38" s="51">
        <v>14</v>
      </c>
      <c r="AH38" s="51">
        <v>1</v>
      </c>
      <c r="AI38" s="51">
        <v>1</v>
      </c>
      <c r="AK38" s="6">
        <v>8.5</v>
      </c>
      <c r="AL38" s="113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T38" s="5">
        <v>6.375</v>
      </c>
      <c r="AU38" s="113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C38" s="5">
        <v>1.4166666666642413</v>
      </c>
      <c r="BD38" s="113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10:62" x14ac:dyDescent="0.3">
      <c r="J39" s="43">
        <v>35</v>
      </c>
      <c r="K39" s="25">
        <v>0</v>
      </c>
      <c r="L39" s="25">
        <v>0</v>
      </c>
      <c r="M39" s="25">
        <v>0</v>
      </c>
      <c r="N39" s="25">
        <v>0</v>
      </c>
      <c r="O39" s="110">
        <v>23</v>
      </c>
      <c r="P39" s="25">
        <v>0</v>
      </c>
      <c r="Q39" s="25">
        <v>0</v>
      </c>
      <c r="AB39" s="5">
        <v>8.75</v>
      </c>
      <c r="AC39" s="117">
        <v>0</v>
      </c>
      <c r="AD39" s="2">
        <v>0</v>
      </c>
      <c r="AE39" s="2">
        <v>0</v>
      </c>
      <c r="AF39" s="2">
        <v>0</v>
      </c>
      <c r="AG39" s="51">
        <v>14</v>
      </c>
      <c r="AH39" s="51">
        <v>1</v>
      </c>
      <c r="AI39" s="51">
        <v>1</v>
      </c>
      <c r="AT39" s="5">
        <v>7.5625</v>
      </c>
      <c r="AU39" s="113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C39" s="5">
        <v>1.4583333333357587</v>
      </c>
      <c r="BD39" s="113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10:62" x14ac:dyDescent="0.3">
      <c r="J40" s="43">
        <v>36</v>
      </c>
      <c r="K40" s="25">
        <v>0</v>
      </c>
      <c r="L40" s="25">
        <v>0</v>
      </c>
      <c r="M40" s="25">
        <v>0</v>
      </c>
      <c r="N40" s="25">
        <v>0</v>
      </c>
      <c r="O40" s="110">
        <v>23</v>
      </c>
      <c r="P40" s="25">
        <v>0</v>
      </c>
      <c r="Q40" s="25">
        <v>0</v>
      </c>
      <c r="AB40" s="5">
        <v>9</v>
      </c>
      <c r="AC40" s="117">
        <v>0</v>
      </c>
      <c r="AD40" s="2">
        <v>0</v>
      </c>
      <c r="AE40" s="2">
        <v>0</v>
      </c>
      <c r="AF40" s="2">
        <v>0</v>
      </c>
      <c r="AG40" s="51">
        <v>3</v>
      </c>
      <c r="AH40" s="51">
        <v>7</v>
      </c>
      <c r="AI40" s="51">
        <v>6</v>
      </c>
      <c r="AT40" s="5">
        <v>8.75</v>
      </c>
      <c r="AU40" s="113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C40" s="5">
        <v>1.5</v>
      </c>
      <c r="BD40" s="113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10:62" x14ac:dyDescent="0.3">
      <c r="J41" s="43">
        <v>37</v>
      </c>
      <c r="K41" s="25">
        <v>0</v>
      </c>
      <c r="L41" s="25">
        <v>0</v>
      </c>
      <c r="M41" s="25">
        <v>0</v>
      </c>
      <c r="N41" s="25">
        <v>0</v>
      </c>
      <c r="O41" s="110">
        <v>23</v>
      </c>
      <c r="P41" s="25">
        <v>0</v>
      </c>
      <c r="Q41" s="25">
        <v>0</v>
      </c>
      <c r="AB41" s="5">
        <v>9.25</v>
      </c>
      <c r="AC41" s="117">
        <v>0</v>
      </c>
      <c r="AD41" s="2">
        <v>0</v>
      </c>
      <c r="AE41" s="2">
        <v>0</v>
      </c>
      <c r="AF41" s="2">
        <v>0</v>
      </c>
      <c r="AG41" s="51">
        <v>2</v>
      </c>
      <c r="AH41" s="51">
        <v>7</v>
      </c>
      <c r="AI41" s="51">
        <v>7</v>
      </c>
      <c r="AT41" s="5">
        <v>8.9375</v>
      </c>
      <c r="AU41" s="113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C41" s="5">
        <v>1.5416666666642413</v>
      </c>
      <c r="BD41" s="113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10:62" x14ac:dyDescent="0.3">
      <c r="J42" s="43">
        <v>38</v>
      </c>
      <c r="K42" s="25">
        <v>0</v>
      </c>
      <c r="L42" s="25">
        <v>0</v>
      </c>
      <c r="M42" s="25">
        <v>0</v>
      </c>
      <c r="N42" s="25">
        <v>0</v>
      </c>
      <c r="O42" s="110">
        <v>23</v>
      </c>
      <c r="P42" s="25">
        <v>0</v>
      </c>
      <c r="Q42" s="25">
        <v>0</v>
      </c>
      <c r="AB42" s="5">
        <v>9.5</v>
      </c>
      <c r="AC42" s="117">
        <v>0</v>
      </c>
      <c r="AD42" s="2">
        <v>0</v>
      </c>
      <c r="AE42" s="2">
        <v>0</v>
      </c>
      <c r="AF42" s="2">
        <v>0</v>
      </c>
      <c r="AG42" s="51">
        <v>2</v>
      </c>
      <c r="AH42" s="51">
        <v>7</v>
      </c>
      <c r="AI42" s="51">
        <v>7</v>
      </c>
      <c r="AT42" s="5">
        <v>9.125</v>
      </c>
      <c r="AU42" s="113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C42" s="5">
        <v>1.5833333333357587</v>
      </c>
      <c r="BD42" s="113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10:62" x14ac:dyDescent="0.3">
      <c r="J43" s="43">
        <v>39</v>
      </c>
      <c r="K43" s="25">
        <v>0</v>
      </c>
      <c r="L43" s="25">
        <v>0</v>
      </c>
      <c r="M43" s="25">
        <v>0</v>
      </c>
      <c r="N43" s="25">
        <v>0</v>
      </c>
      <c r="O43" s="110">
        <v>23</v>
      </c>
      <c r="P43" s="25">
        <v>0</v>
      </c>
      <c r="Q43" s="25">
        <v>0</v>
      </c>
      <c r="AB43" s="5">
        <v>9.75</v>
      </c>
      <c r="AC43" s="117">
        <v>0</v>
      </c>
      <c r="AD43" s="2">
        <v>0</v>
      </c>
      <c r="AE43" s="2">
        <v>0</v>
      </c>
      <c r="AF43" s="2">
        <v>0</v>
      </c>
      <c r="AG43" s="51">
        <v>2</v>
      </c>
      <c r="AH43" s="51">
        <v>7</v>
      </c>
      <c r="AI43" s="51">
        <v>7</v>
      </c>
      <c r="BC43" s="5">
        <v>1.625</v>
      </c>
      <c r="BD43" s="113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10:62" x14ac:dyDescent="0.3">
      <c r="J44" s="43">
        <v>40</v>
      </c>
      <c r="K44" s="25">
        <v>0</v>
      </c>
      <c r="L44" s="25">
        <v>0</v>
      </c>
      <c r="M44" s="25">
        <v>0</v>
      </c>
      <c r="N44" s="25">
        <v>0</v>
      </c>
      <c r="O44" s="110">
        <v>23</v>
      </c>
      <c r="P44" s="25">
        <v>0</v>
      </c>
      <c r="Q44" s="25">
        <v>0</v>
      </c>
      <c r="AB44" s="5">
        <v>10</v>
      </c>
      <c r="AC44" s="117">
        <v>0</v>
      </c>
      <c r="AD44" s="2">
        <v>0</v>
      </c>
      <c r="AE44" s="2">
        <v>0</v>
      </c>
      <c r="AF44" s="2">
        <v>0</v>
      </c>
      <c r="AG44" s="51">
        <v>2</v>
      </c>
      <c r="AH44" s="51">
        <v>7</v>
      </c>
      <c r="AI44" s="51">
        <v>7</v>
      </c>
      <c r="BC44" s="5">
        <v>1.6666666666642413</v>
      </c>
      <c r="BD44" s="113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10:62" x14ac:dyDescent="0.3">
      <c r="J45" s="43">
        <v>41</v>
      </c>
      <c r="K45" s="25">
        <v>0</v>
      </c>
      <c r="L45" s="25">
        <v>0</v>
      </c>
      <c r="M45" s="25">
        <v>0</v>
      </c>
      <c r="N45" s="25">
        <v>0</v>
      </c>
      <c r="O45" s="110">
        <v>23</v>
      </c>
      <c r="P45" s="25">
        <v>0</v>
      </c>
      <c r="Q45" s="25">
        <v>0</v>
      </c>
      <c r="AB45" s="5">
        <v>10.25</v>
      </c>
      <c r="AC45" s="117">
        <v>0</v>
      </c>
      <c r="AD45" s="2">
        <v>0</v>
      </c>
      <c r="AE45" s="2">
        <v>0</v>
      </c>
      <c r="AF45" s="2">
        <v>0</v>
      </c>
      <c r="AG45" s="51">
        <v>2</v>
      </c>
      <c r="AH45" s="51">
        <v>7</v>
      </c>
      <c r="AI45" s="51">
        <v>7</v>
      </c>
      <c r="BC45" s="5">
        <v>1.7083333333357587</v>
      </c>
      <c r="BD45" s="113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10:62" x14ac:dyDescent="0.3">
      <c r="J46" s="43">
        <v>42</v>
      </c>
      <c r="K46" s="25">
        <v>0</v>
      </c>
      <c r="L46" s="25">
        <v>0</v>
      </c>
      <c r="M46" s="25">
        <v>0</v>
      </c>
      <c r="N46" s="25">
        <v>0</v>
      </c>
      <c r="O46" s="110">
        <v>22</v>
      </c>
      <c r="P46" s="25">
        <v>0</v>
      </c>
      <c r="Q46" s="25">
        <v>0</v>
      </c>
      <c r="AB46" s="5">
        <v>10.5</v>
      </c>
      <c r="AC46" s="117">
        <v>0</v>
      </c>
      <c r="AD46" s="2">
        <v>0</v>
      </c>
      <c r="AE46" s="2">
        <v>0</v>
      </c>
      <c r="AF46" s="2">
        <v>0</v>
      </c>
      <c r="AG46" s="51">
        <v>2</v>
      </c>
      <c r="AH46" s="51">
        <v>7</v>
      </c>
      <c r="AI46" s="51">
        <v>7</v>
      </c>
      <c r="BC46" s="5">
        <v>1.75</v>
      </c>
      <c r="BD46" s="113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10:62" x14ac:dyDescent="0.3">
      <c r="J47" s="43">
        <v>43</v>
      </c>
      <c r="K47" s="25">
        <v>0</v>
      </c>
      <c r="L47" s="25">
        <v>0</v>
      </c>
      <c r="M47" s="25">
        <v>0</v>
      </c>
      <c r="N47" s="25">
        <v>0</v>
      </c>
      <c r="O47" s="110">
        <v>22</v>
      </c>
      <c r="P47" s="25">
        <v>0</v>
      </c>
      <c r="Q47" s="25">
        <v>0</v>
      </c>
      <c r="AB47" s="5">
        <v>10.75</v>
      </c>
      <c r="AC47" s="117">
        <v>0</v>
      </c>
      <c r="AD47" s="2">
        <v>0</v>
      </c>
      <c r="AE47" s="2">
        <v>0</v>
      </c>
      <c r="AF47" s="2">
        <v>0</v>
      </c>
      <c r="AG47" s="51">
        <v>2</v>
      </c>
      <c r="AH47" s="51">
        <v>7</v>
      </c>
      <c r="AI47" s="51">
        <v>7</v>
      </c>
      <c r="BC47" s="5">
        <v>1.7916666666642413</v>
      </c>
      <c r="BD47" s="113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10:62" x14ac:dyDescent="0.3">
      <c r="J48" s="43">
        <v>44</v>
      </c>
      <c r="K48" s="25">
        <v>0</v>
      </c>
      <c r="L48" s="25">
        <v>0</v>
      </c>
      <c r="M48" s="25">
        <v>0</v>
      </c>
      <c r="N48" s="25">
        <v>0</v>
      </c>
      <c r="O48" s="110">
        <v>22</v>
      </c>
      <c r="P48" s="25">
        <v>0</v>
      </c>
      <c r="Q48" s="25">
        <v>0</v>
      </c>
      <c r="AB48" s="5">
        <v>11</v>
      </c>
      <c r="AC48" s="117">
        <v>0</v>
      </c>
      <c r="AD48" s="2">
        <v>0</v>
      </c>
      <c r="AE48" s="2">
        <v>0</v>
      </c>
      <c r="AF48" s="2">
        <v>0</v>
      </c>
      <c r="AG48" s="2">
        <v>0</v>
      </c>
      <c r="AH48" s="51">
        <v>8</v>
      </c>
      <c r="AI48" s="51">
        <v>8</v>
      </c>
      <c r="BC48" s="5">
        <v>1.8333333333357587</v>
      </c>
      <c r="BD48" s="113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10:62" x14ac:dyDescent="0.3">
      <c r="J49" s="43">
        <v>45</v>
      </c>
      <c r="K49" s="25">
        <v>0</v>
      </c>
      <c r="L49" s="25">
        <v>0</v>
      </c>
      <c r="M49" s="25">
        <v>0</v>
      </c>
      <c r="N49" s="25">
        <v>0</v>
      </c>
      <c r="O49" s="110">
        <v>20</v>
      </c>
      <c r="P49" s="110">
        <v>1</v>
      </c>
      <c r="Q49" s="110">
        <v>1</v>
      </c>
      <c r="AB49" s="5">
        <v>11.25</v>
      </c>
      <c r="AC49" s="117">
        <v>0</v>
      </c>
      <c r="AD49" s="2">
        <v>0</v>
      </c>
      <c r="AE49" s="2">
        <v>0</v>
      </c>
      <c r="AF49" s="2">
        <v>0</v>
      </c>
      <c r="AG49" s="2">
        <v>0</v>
      </c>
      <c r="AH49" s="51">
        <v>8</v>
      </c>
      <c r="AI49" s="51">
        <v>8</v>
      </c>
      <c r="BC49" s="5">
        <v>1.875</v>
      </c>
      <c r="BD49" s="113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10:62" x14ac:dyDescent="0.3">
      <c r="J50" s="43">
        <v>46</v>
      </c>
      <c r="K50" s="25">
        <v>0</v>
      </c>
      <c r="L50" s="25">
        <v>0</v>
      </c>
      <c r="M50" s="25">
        <v>0</v>
      </c>
      <c r="N50" s="25">
        <v>0</v>
      </c>
      <c r="O50" s="110">
        <v>20</v>
      </c>
      <c r="P50" s="110">
        <v>1</v>
      </c>
      <c r="Q50" s="110">
        <v>1</v>
      </c>
      <c r="AB50" s="5">
        <v>11.5</v>
      </c>
      <c r="AC50" s="117">
        <v>0</v>
      </c>
      <c r="AD50" s="2">
        <v>0</v>
      </c>
      <c r="AE50" s="2">
        <v>0</v>
      </c>
      <c r="AF50" s="2">
        <v>0</v>
      </c>
      <c r="AG50" s="2">
        <v>0</v>
      </c>
      <c r="AH50" s="51">
        <v>7</v>
      </c>
      <c r="AI50" s="51">
        <v>8</v>
      </c>
    </row>
    <row r="51" spans="10:62" x14ac:dyDescent="0.3">
      <c r="J51" s="43">
        <v>47</v>
      </c>
      <c r="K51" s="25">
        <v>0</v>
      </c>
      <c r="L51" s="25">
        <v>0</v>
      </c>
      <c r="M51" s="25">
        <v>0</v>
      </c>
      <c r="N51" s="25">
        <v>0</v>
      </c>
      <c r="O51" s="110">
        <v>20</v>
      </c>
      <c r="P51" s="110">
        <v>1</v>
      </c>
      <c r="Q51" s="110">
        <v>1</v>
      </c>
      <c r="AB51" s="5">
        <v>11.75</v>
      </c>
      <c r="AC51" s="117">
        <v>0</v>
      </c>
      <c r="AD51" s="2">
        <v>0</v>
      </c>
      <c r="AE51" s="2">
        <v>0</v>
      </c>
      <c r="AF51" s="2">
        <v>0</v>
      </c>
      <c r="AG51" s="2">
        <v>0</v>
      </c>
      <c r="AH51" s="51">
        <v>7</v>
      </c>
      <c r="AI51" s="51">
        <v>8</v>
      </c>
    </row>
    <row r="52" spans="10:62" x14ac:dyDescent="0.3">
      <c r="J52" s="43">
        <v>48</v>
      </c>
      <c r="K52" s="25">
        <v>0</v>
      </c>
      <c r="L52" s="25">
        <v>0</v>
      </c>
      <c r="M52" s="25">
        <v>0</v>
      </c>
      <c r="N52" s="25">
        <v>0</v>
      </c>
      <c r="O52" s="110">
        <v>20</v>
      </c>
      <c r="P52" s="110">
        <v>1</v>
      </c>
      <c r="Q52" s="110">
        <v>1</v>
      </c>
      <c r="AB52" s="5">
        <v>12</v>
      </c>
      <c r="AC52" s="117">
        <v>0</v>
      </c>
      <c r="AD52" s="2">
        <v>0</v>
      </c>
      <c r="AE52" s="2">
        <v>0</v>
      </c>
      <c r="AF52" s="2">
        <v>0</v>
      </c>
      <c r="AG52" s="2">
        <v>0</v>
      </c>
      <c r="AH52" s="51">
        <v>7</v>
      </c>
      <c r="AI52" s="51">
        <v>8</v>
      </c>
    </row>
    <row r="53" spans="10:62" x14ac:dyDescent="0.3">
      <c r="J53" s="43">
        <v>49</v>
      </c>
      <c r="K53" s="25">
        <v>0</v>
      </c>
      <c r="L53" s="25">
        <v>0</v>
      </c>
      <c r="M53" s="25">
        <v>0</v>
      </c>
      <c r="N53" s="25">
        <v>0</v>
      </c>
      <c r="O53" s="110">
        <v>13</v>
      </c>
      <c r="P53" s="110">
        <v>3</v>
      </c>
      <c r="Q53" s="110">
        <v>3</v>
      </c>
      <c r="AB53" s="5">
        <v>12.25</v>
      </c>
      <c r="AC53" s="117">
        <v>0</v>
      </c>
      <c r="AD53" s="2">
        <v>0</v>
      </c>
      <c r="AE53" s="2">
        <v>0</v>
      </c>
      <c r="AF53" s="2">
        <v>0</v>
      </c>
      <c r="AG53" s="2">
        <v>0</v>
      </c>
      <c r="AH53" s="51">
        <v>6</v>
      </c>
      <c r="AI53" s="51">
        <v>7</v>
      </c>
    </row>
    <row r="54" spans="10:62" x14ac:dyDescent="0.3">
      <c r="J54" s="43">
        <v>50</v>
      </c>
      <c r="K54" s="25">
        <v>0</v>
      </c>
      <c r="L54" s="25">
        <v>0</v>
      </c>
      <c r="M54" s="25">
        <v>0</v>
      </c>
      <c r="N54" s="25">
        <v>0</v>
      </c>
      <c r="O54" s="110">
        <v>4</v>
      </c>
      <c r="P54" s="110">
        <v>5</v>
      </c>
      <c r="Q54" s="110">
        <v>5</v>
      </c>
      <c r="AB54" s="5">
        <v>12.5</v>
      </c>
      <c r="AC54" s="117">
        <v>0</v>
      </c>
      <c r="AD54" s="2">
        <v>0</v>
      </c>
      <c r="AE54" s="2">
        <v>0</v>
      </c>
      <c r="AF54" s="2">
        <v>0</v>
      </c>
      <c r="AG54" s="2">
        <v>0</v>
      </c>
      <c r="AH54" s="51">
        <v>6</v>
      </c>
      <c r="AI54" s="51">
        <v>6</v>
      </c>
    </row>
    <row r="55" spans="10:62" x14ac:dyDescent="0.3">
      <c r="J55" s="43">
        <v>51</v>
      </c>
      <c r="K55" s="25">
        <v>0</v>
      </c>
      <c r="L55" s="25">
        <v>0</v>
      </c>
      <c r="M55" s="25">
        <v>0</v>
      </c>
      <c r="N55" s="25">
        <v>0</v>
      </c>
      <c r="O55" s="110">
        <v>2</v>
      </c>
      <c r="P55" s="110">
        <v>5</v>
      </c>
      <c r="Q55" s="110">
        <v>5</v>
      </c>
      <c r="AB55" s="5">
        <v>12.75</v>
      </c>
      <c r="AC55" s="117">
        <v>0</v>
      </c>
      <c r="AD55" s="2">
        <v>0</v>
      </c>
      <c r="AE55" s="2">
        <v>0</v>
      </c>
      <c r="AF55" s="2">
        <v>0</v>
      </c>
      <c r="AG55" s="2">
        <v>0</v>
      </c>
      <c r="AH55" s="51">
        <v>6</v>
      </c>
      <c r="AI55" s="51">
        <v>6</v>
      </c>
    </row>
    <row r="56" spans="10:62" x14ac:dyDescent="0.3">
      <c r="J56" s="43">
        <v>52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110">
        <v>5</v>
      </c>
      <c r="Q56" s="110">
        <v>5</v>
      </c>
      <c r="AB56" s="5">
        <v>13</v>
      </c>
      <c r="AC56" s="117">
        <v>0</v>
      </c>
      <c r="AD56" s="2">
        <v>0</v>
      </c>
      <c r="AE56" s="2">
        <v>0</v>
      </c>
      <c r="AF56" s="2">
        <v>0</v>
      </c>
      <c r="AG56" s="2">
        <v>0</v>
      </c>
      <c r="AH56" s="51">
        <v>5</v>
      </c>
      <c r="AI56" s="51">
        <v>6</v>
      </c>
    </row>
    <row r="57" spans="10:62" x14ac:dyDescent="0.3">
      <c r="J57" s="43">
        <v>53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110">
        <v>5</v>
      </c>
      <c r="Q57" s="110">
        <v>5</v>
      </c>
      <c r="AB57" s="5">
        <v>13.25</v>
      </c>
      <c r="AC57" s="117">
        <v>0</v>
      </c>
      <c r="AD57" s="2">
        <v>0</v>
      </c>
      <c r="AE57" s="2">
        <v>0</v>
      </c>
      <c r="AF57" s="2">
        <v>0</v>
      </c>
      <c r="AG57" s="2">
        <v>0</v>
      </c>
      <c r="AH57" s="51">
        <v>5</v>
      </c>
      <c r="AI57" s="51">
        <v>6</v>
      </c>
    </row>
    <row r="58" spans="10:62" x14ac:dyDescent="0.3">
      <c r="J58" s="43">
        <v>54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110">
        <v>5</v>
      </c>
      <c r="Q58" s="110">
        <v>5</v>
      </c>
      <c r="AB58" s="5">
        <v>13.5</v>
      </c>
      <c r="AC58" s="117">
        <v>0</v>
      </c>
      <c r="AD58" s="2">
        <v>0</v>
      </c>
      <c r="AE58" s="2">
        <v>0</v>
      </c>
      <c r="AF58" s="2">
        <v>0</v>
      </c>
      <c r="AG58" s="2">
        <v>0</v>
      </c>
      <c r="AH58" s="51">
        <v>5</v>
      </c>
      <c r="AI58" s="51">
        <v>6</v>
      </c>
    </row>
    <row r="59" spans="10:62" x14ac:dyDescent="0.3">
      <c r="J59" s="43">
        <v>55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110">
        <v>5</v>
      </c>
      <c r="Q59" s="110">
        <v>5</v>
      </c>
      <c r="AB59" s="5">
        <v>13.75</v>
      </c>
      <c r="AC59" s="117">
        <v>0</v>
      </c>
      <c r="AD59" s="2">
        <v>0</v>
      </c>
      <c r="AE59" s="2">
        <v>0</v>
      </c>
      <c r="AF59" s="2">
        <v>0</v>
      </c>
      <c r="AG59" s="2">
        <v>0</v>
      </c>
      <c r="AH59" s="51">
        <v>4</v>
      </c>
      <c r="AI59" s="51">
        <v>6</v>
      </c>
    </row>
    <row r="60" spans="10:62" x14ac:dyDescent="0.3">
      <c r="J60" s="43">
        <v>56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110">
        <v>5</v>
      </c>
      <c r="Q60" s="110">
        <v>5</v>
      </c>
      <c r="AB60" s="5">
        <v>14</v>
      </c>
      <c r="AC60" s="117">
        <v>0</v>
      </c>
      <c r="AD60" s="2">
        <v>0</v>
      </c>
      <c r="AE60" s="2">
        <v>0</v>
      </c>
      <c r="AF60" s="2">
        <v>0</v>
      </c>
      <c r="AG60" s="2">
        <v>0</v>
      </c>
      <c r="AH60" s="51">
        <v>4</v>
      </c>
      <c r="AI60" s="51">
        <v>6</v>
      </c>
    </row>
    <row r="61" spans="10:62" x14ac:dyDescent="0.3">
      <c r="J61" s="43">
        <v>57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110">
        <v>5</v>
      </c>
      <c r="Q61" s="110">
        <v>5</v>
      </c>
      <c r="AB61" s="5">
        <v>14.25</v>
      </c>
      <c r="AC61" s="117">
        <v>0</v>
      </c>
      <c r="AD61" s="2">
        <v>0</v>
      </c>
      <c r="AE61" s="2">
        <v>0</v>
      </c>
      <c r="AF61" s="2">
        <v>0</v>
      </c>
      <c r="AG61" s="2">
        <v>0</v>
      </c>
      <c r="AH61" s="51">
        <v>4</v>
      </c>
      <c r="AI61" s="51">
        <v>6</v>
      </c>
    </row>
    <row r="62" spans="10:62" x14ac:dyDescent="0.3">
      <c r="J62" s="43">
        <v>58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110">
        <v>5</v>
      </c>
      <c r="Q62" s="110">
        <v>5</v>
      </c>
      <c r="AB62" s="5">
        <v>14.5</v>
      </c>
      <c r="AC62" s="117">
        <v>0</v>
      </c>
      <c r="AD62" s="2">
        <v>0</v>
      </c>
      <c r="AE62" s="2">
        <v>0</v>
      </c>
      <c r="AF62" s="2">
        <v>0</v>
      </c>
      <c r="AG62" s="2">
        <v>0</v>
      </c>
      <c r="AH62" s="51">
        <v>3</v>
      </c>
      <c r="AI62" s="51">
        <v>6</v>
      </c>
    </row>
    <row r="63" spans="10:62" x14ac:dyDescent="0.3">
      <c r="J63" s="43">
        <v>59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110">
        <v>5</v>
      </c>
      <c r="Q63" s="110">
        <v>5</v>
      </c>
      <c r="AB63" s="5">
        <v>14.75</v>
      </c>
      <c r="AC63" s="117">
        <v>0</v>
      </c>
      <c r="AD63" s="2">
        <v>0</v>
      </c>
      <c r="AE63" s="2">
        <v>0</v>
      </c>
      <c r="AF63" s="2">
        <v>0</v>
      </c>
      <c r="AG63" s="2">
        <v>0</v>
      </c>
      <c r="AH63" s="51">
        <v>3</v>
      </c>
      <c r="AI63" s="51">
        <v>6</v>
      </c>
    </row>
    <row r="64" spans="10:62" x14ac:dyDescent="0.3">
      <c r="J64" s="43">
        <v>60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110">
        <v>5</v>
      </c>
      <c r="Q64" s="110">
        <v>5</v>
      </c>
      <c r="AB64" s="5">
        <v>15</v>
      </c>
      <c r="AC64" s="117">
        <v>0</v>
      </c>
      <c r="AD64" s="2">
        <v>0</v>
      </c>
      <c r="AE64" s="2">
        <v>0</v>
      </c>
      <c r="AF64" s="2">
        <v>0</v>
      </c>
      <c r="AG64" s="2">
        <v>0</v>
      </c>
      <c r="AH64" s="51">
        <v>3</v>
      </c>
      <c r="AI64" s="51">
        <v>6</v>
      </c>
    </row>
    <row r="65" spans="10:35" x14ac:dyDescent="0.3">
      <c r="J65" s="43">
        <v>61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110">
        <v>4</v>
      </c>
      <c r="Q65" s="110">
        <v>5</v>
      </c>
      <c r="AB65" s="5">
        <v>15.25</v>
      </c>
      <c r="AC65" s="117">
        <v>0</v>
      </c>
      <c r="AD65" s="2">
        <v>0</v>
      </c>
      <c r="AE65" s="2">
        <v>0</v>
      </c>
      <c r="AF65" s="2">
        <v>0</v>
      </c>
      <c r="AG65" s="2">
        <v>0</v>
      </c>
      <c r="AH65" s="51">
        <v>2</v>
      </c>
      <c r="AI65" s="51">
        <v>6</v>
      </c>
    </row>
    <row r="66" spans="10:35" x14ac:dyDescent="0.3">
      <c r="J66" s="43">
        <v>62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110">
        <v>4</v>
      </c>
      <c r="Q66" s="110">
        <v>5</v>
      </c>
      <c r="AB66" s="5">
        <v>15.5</v>
      </c>
      <c r="AC66" s="117">
        <v>0</v>
      </c>
      <c r="AD66" s="2">
        <v>0</v>
      </c>
      <c r="AE66" s="2">
        <v>0</v>
      </c>
      <c r="AF66" s="2">
        <v>0</v>
      </c>
      <c r="AG66" s="2">
        <v>0</v>
      </c>
      <c r="AH66" s="51">
        <v>2</v>
      </c>
      <c r="AI66" s="51">
        <v>4</v>
      </c>
    </row>
    <row r="67" spans="10:35" x14ac:dyDescent="0.3">
      <c r="J67" s="43">
        <v>63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110">
        <v>4</v>
      </c>
      <c r="Q67" s="110">
        <v>5</v>
      </c>
      <c r="AB67" s="5">
        <v>15.75</v>
      </c>
      <c r="AC67" s="117">
        <v>0</v>
      </c>
      <c r="AD67" s="2">
        <v>0</v>
      </c>
      <c r="AE67" s="2">
        <v>0</v>
      </c>
      <c r="AF67" s="2">
        <v>0</v>
      </c>
      <c r="AG67" s="2">
        <v>0</v>
      </c>
      <c r="AH67" s="51">
        <v>1</v>
      </c>
      <c r="AI67" s="51">
        <v>4</v>
      </c>
    </row>
    <row r="68" spans="10:35" x14ac:dyDescent="0.3">
      <c r="J68" s="43">
        <v>64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110">
        <v>4</v>
      </c>
      <c r="Q68" s="110">
        <v>5</v>
      </c>
      <c r="AB68" s="5">
        <v>16</v>
      </c>
      <c r="AC68" s="117">
        <v>0</v>
      </c>
      <c r="AD68" s="2">
        <v>0</v>
      </c>
      <c r="AE68" s="2">
        <v>0</v>
      </c>
      <c r="AF68" s="2">
        <v>0</v>
      </c>
      <c r="AG68" s="2">
        <v>0</v>
      </c>
      <c r="AH68" s="51">
        <v>1</v>
      </c>
      <c r="AI68" s="51">
        <v>4</v>
      </c>
    </row>
    <row r="69" spans="10:35" x14ac:dyDescent="0.3">
      <c r="J69" s="43">
        <v>65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110">
        <v>4</v>
      </c>
      <c r="Q69" s="110">
        <v>5</v>
      </c>
      <c r="AB69" s="5">
        <v>16.25</v>
      </c>
      <c r="AC69" s="117">
        <v>0</v>
      </c>
      <c r="AD69" s="2">
        <v>0</v>
      </c>
      <c r="AE69" s="2">
        <v>0</v>
      </c>
      <c r="AF69" s="2">
        <v>0</v>
      </c>
      <c r="AG69" s="2">
        <v>0</v>
      </c>
      <c r="AH69" s="51">
        <v>1</v>
      </c>
      <c r="AI69" s="51">
        <v>2</v>
      </c>
    </row>
    <row r="70" spans="10:35" x14ac:dyDescent="0.3">
      <c r="J70" s="43">
        <v>66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110">
        <v>4</v>
      </c>
      <c r="Q70" s="110">
        <v>5</v>
      </c>
      <c r="AB70" s="5">
        <v>16.5</v>
      </c>
      <c r="AC70" s="117">
        <v>0</v>
      </c>
      <c r="AD70" s="2">
        <v>0</v>
      </c>
      <c r="AE70" s="2">
        <v>0</v>
      </c>
      <c r="AF70" s="2">
        <v>0</v>
      </c>
      <c r="AG70" s="2">
        <v>0</v>
      </c>
      <c r="AH70" s="51">
        <v>1</v>
      </c>
      <c r="AI70" s="51">
        <v>1</v>
      </c>
    </row>
    <row r="71" spans="10:35" x14ac:dyDescent="0.3">
      <c r="J71" s="43">
        <v>67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110">
        <v>4</v>
      </c>
      <c r="Q71" s="110">
        <v>5</v>
      </c>
      <c r="AB71" s="5">
        <v>16.75</v>
      </c>
      <c r="AC71" s="117">
        <v>0</v>
      </c>
      <c r="AD71" s="2">
        <v>0</v>
      </c>
      <c r="AE71" s="2">
        <v>0</v>
      </c>
      <c r="AF71" s="2">
        <v>0</v>
      </c>
      <c r="AG71" s="2">
        <v>0</v>
      </c>
      <c r="AH71" s="51">
        <v>1</v>
      </c>
      <c r="AI71" s="51">
        <v>1</v>
      </c>
    </row>
    <row r="72" spans="10:35" x14ac:dyDescent="0.3">
      <c r="J72" s="43">
        <v>68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110">
        <v>4</v>
      </c>
      <c r="Q72" s="110">
        <v>5</v>
      </c>
      <c r="AB72" s="5">
        <v>17</v>
      </c>
      <c r="AC72" s="117">
        <v>0</v>
      </c>
      <c r="AD72" s="2">
        <v>0</v>
      </c>
      <c r="AE72" s="2">
        <v>0</v>
      </c>
      <c r="AF72" s="2">
        <v>0</v>
      </c>
      <c r="AG72" s="2">
        <v>0</v>
      </c>
      <c r="AH72" s="51">
        <v>1</v>
      </c>
      <c r="AI72" s="51">
        <v>1</v>
      </c>
    </row>
    <row r="73" spans="10:35" x14ac:dyDescent="0.3">
      <c r="J73" s="43">
        <v>69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110">
        <v>4</v>
      </c>
      <c r="Q73" s="110">
        <v>5</v>
      </c>
      <c r="AB73" s="5">
        <v>17.25</v>
      </c>
      <c r="AC73" s="117">
        <v>0</v>
      </c>
      <c r="AD73" s="2">
        <v>0</v>
      </c>
      <c r="AE73" s="2">
        <v>0</v>
      </c>
      <c r="AF73" s="2">
        <v>0</v>
      </c>
      <c r="AG73" s="2">
        <v>0</v>
      </c>
      <c r="AH73" s="51">
        <v>1</v>
      </c>
      <c r="AI73" s="51">
        <v>1</v>
      </c>
    </row>
    <row r="74" spans="10:35" x14ac:dyDescent="0.3">
      <c r="J74" s="43">
        <v>70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110">
        <v>3</v>
      </c>
      <c r="Q74" s="110">
        <v>5</v>
      </c>
      <c r="AB74" s="5">
        <v>17.5</v>
      </c>
      <c r="AC74" s="117">
        <v>0</v>
      </c>
      <c r="AD74" s="2">
        <v>0</v>
      </c>
      <c r="AE74" s="2">
        <v>0</v>
      </c>
      <c r="AF74" s="2">
        <v>0</v>
      </c>
      <c r="AG74" s="2">
        <v>0</v>
      </c>
      <c r="AH74" s="51">
        <v>1</v>
      </c>
      <c r="AI74" s="51">
        <v>1</v>
      </c>
    </row>
    <row r="75" spans="10:35" x14ac:dyDescent="0.3">
      <c r="J75" s="43">
        <v>71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110">
        <v>3</v>
      </c>
      <c r="Q75" s="110">
        <v>5</v>
      </c>
      <c r="AB75" s="5">
        <v>17.75</v>
      </c>
      <c r="AC75" s="117">
        <v>0</v>
      </c>
      <c r="AD75" s="2">
        <v>0</v>
      </c>
      <c r="AE75" s="2">
        <v>0</v>
      </c>
      <c r="AF75" s="2">
        <v>0</v>
      </c>
      <c r="AG75" s="2">
        <v>0</v>
      </c>
      <c r="AH75" s="51">
        <v>1</v>
      </c>
      <c r="AI75" s="51">
        <v>1</v>
      </c>
    </row>
    <row r="76" spans="10:35" x14ac:dyDescent="0.3">
      <c r="J76" s="43">
        <v>72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110">
        <v>3</v>
      </c>
      <c r="Q76" s="110">
        <v>5</v>
      </c>
      <c r="AB76" s="5">
        <v>18</v>
      </c>
      <c r="AC76" s="117">
        <v>0</v>
      </c>
      <c r="AD76" s="2">
        <v>0</v>
      </c>
      <c r="AE76" s="2">
        <v>0</v>
      </c>
      <c r="AF76" s="2">
        <v>0</v>
      </c>
      <c r="AG76" s="2">
        <v>0</v>
      </c>
      <c r="AH76" s="51">
        <v>1</v>
      </c>
      <c r="AI76" s="51">
        <v>1</v>
      </c>
    </row>
    <row r="77" spans="10:35" x14ac:dyDescent="0.3">
      <c r="J77" s="43">
        <v>73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110">
        <v>3</v>
      </c>
      <c r="Q77" s="110">
        <v>5</v>
      </c>
      <c r="AB77" s="5">
        <v>18.25</v>
      </c>
      <c r="AC77" s="117">
        <v>0</v>
      </c>
      <c r="AD77" s="2">
        <v>0</v>
      </c>
      <c r="AE77" s="2">
        <v>0</v>
      </c>
      <c r="AF77" s="2">
        <v>0</v>
      </c>
      <c r="AG77" s="2">
        <v>0</v>
      </c>
      <c r="AH77" s="51">
        <v>1</v>
      </c>
      <c r="AI77" s="51">
        <v>1</v>
      </c>
    </row>
    <row r="78" spans="10:35" x14ac:dyDescent="0.3">
      <c r="J78" s="43">
        <v>74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110">
        <v>3</v>
      </c>
      <c r="Q78" s="110">
        <v>5</v>
      </c>
      <c r="AB78" s="5">
        <v>18.5</v>
      </c>
      <c r="AC78" s="117">
        <v>0</v>
      </c>
      <c r="AD78" s="2">
        <v>0</v>
      </c>
      <c r="AE78" s="2">
        <v>0</v>
      </c>
      <c r="AF78" s="2">
        <v>0</v>
      </c>
      <c r="AG78" s="2">
        <v>0</v>
      </c>
      <c r="AH78" s="51">
        <v>1</v>
      </c>
      <c r="AI78" s="51">
        <v>1</v>
      </c>
    </row>
    <row r="79" spans="10:35" x14ac:dyDescent="0.3">
      <c r="J79" s="43">
        <v>75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110">
        <v>3</v>
      </c>
      <c r="Q79" s="110">
        <v>5</v>
      </c>
      <c r="AB79" s="5">
        <v>18.75</v>
      </c>
      <c r="AC79" s="117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 spans="10:35" x14ac:dyDescent="0.3">
      <c r="J80" s="43">
        <v>76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110">
        <v>3</v>
      </c>
      <c r="Q80" s="110">
        <v>5</v>
      </c>
      <c r="AB80" s="5">
        <v>19</v>
      </c>
      <c r="AC80" s="117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</row>
    <row r="81" spans="10:17" x14ac:dyDescent="0.3">
      <c r="J81" s="43">
        <v>77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110">
        <v>3</v>
      </c>
      <c r="Q81" s="110">
        <v>5</v>
      </c>
    </row>
    <row r="82" spans="10:17" x14ac:dyDescent="0.3">
      <c r="J82" s="43">
        <v>78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110">
        <v>3</v>
      </c>
      <c r="Q82" s="110">
        <v>5</v>
      </c>
    </row>
    <row r="83" spans="10:17" x14ac:dyDescent="0.3">
      <c r="J83" s="43">
        <v>79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110">
        <v>3</v>
      </c>
      <c r="Q83" s="110">
        <v>5</v>
      </c>
    </row>
    <row r="84" spans="10:17" x14ac:dyDescent="0.3">
      <c r="J84" s="43">
        <v>80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110">
        <v>3</v>
      </c>
      <c r="Q84" s="110">
        <v>5</v>
      </c>
    </row>
    <row r="85" spans="10:17" x14ac:dyDescent="0.3">
      <c r="J85" s="43">
        <v>81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110">
        <v>3</v>
      </c>
      <c r="Q85" s="110">
        <v>5</v>
      </c>
    </row>
    <row r="86" spans="10:17" x14ac:dyDescent="0.3">
      <c r="J86" s="43">
        <v>82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110">
        <v>3</v>
      </c>
      <c r="Q86" s="110">
        <v>5</v>
      </c>
    </row>
    <row r="87" spans="10:17" x14ac:dyDescent="0.3">
      <c r="J87" s="43">
        <v>83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110">
        <v>3</v>
      </c>
      <c r="Q87" s="110">
        <v>5</v>
      </c>
    </row>
    <row r="88" spans="10:17" x14ac:dyDescent="0.3">
      <c r="J88" s="43">
        <v>84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110">
        <v>3</v>
      </c>
      <c r="Q88" s="110">
        <v>5</v>
      </c>
    </row>
    <row r="89" spans="10:17" x14ac:dyDescent="0.3">
      <c r="J89" s="43">
        <v>85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110">
        <v>3</v>
      </c>
      <c r="Q89" s="110">
        <v>5</v>
      </c>
    </row>
    <row r="90" spans="10:17" x14ac:dyDescent="0.3">
      <c r="J90" s="43">
        <v>86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110">
        <v>3</v>
      </c>
      <c r="Q90" s="110">
        <v>5</v>
      </c>
    </row>
    <row r="91" spans="10:17" x14ac:dyDescent="0.3">
      <c r="J91" s="43">
        <v>87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110">
        <v>3</v>
      </c>
      <c r="Q91" s="110">
        <v>5</v>
      </c>
    </row>
    <row r="92" spans="10:17" x14ac:dyDescent="0.3">
      <c r="J92" s="43">
        <v>88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110">
        <v>3</v>
      </c>
      <c r="Q92" s="110">
        <v>5</v>
      </c>
    </row>
    <row r="93" spans="10:17" x14ac:dyDescent="0.3">
      <c r="J93" s="43">
        <v>89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110">
        <v>3</v>
      </c>
      <c r="Q93" s="110">
        <v>5</v>
      </c>
    </row>
    <row r="94" spans="10:17" x14ac:dyDescent="0.3">
      <c r="J94" s="43">
        <v>90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110">
        <v>3</v>
      </c>
      <c r="Q94" s="110">
        <v>5</v>
      </c>
    </row>
    <row r="95" spans="10:17" x14ac:dyDescent="0.3">
      <c r="J95" s="43">
        <v>91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110">
        <v>3</v>
      </c>
      <c r="Q95" s="110">
        <v>5</v>
      </c>
    </row>
    <row r="96" spans="10:17" x14ac:dyDescent="0.3">
      <c r="J96" s="43">
        <v>92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110">
        <v>3</v>
      </c>
      <c r="Q96" s="110">
        <v>5</v>
      </c>
    </row>
    <row r="97" spans="10:17" x14ac:dyDescent="0.3">
      <c r="J97" s="43">
        <v>93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110">
        <v>2</v>
      </c>
      <c r="Q97" s="110">
        <v>5</v>
      </c>
    </row>
    <row r="98" spans="10:17" x14ac:dyDescent="0.3">
      <c r="J98" s="43">
        <v>94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110">
        <v>2</v>
      </c>
      <c r="Q98" s="110">
        <v>5</v>
      </c>
    </row>
    <row r="99" spans="10:17" x14ac:dyDescent="0.3">
      <c r="J99" s="43">
        <v>95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110">
        <v>2</v>
      </c>
      <c r="Q99" s="110">
        <v>5</v>
      </c>
    </row>
    <row r="100" spans="10:17" x14ac:dyDescent="0.3">
      <c r="J100" s="43">
        <v>96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110">
        <v>2</v>
      </c>
      <c r="Q100" s="110">
        <v>5</v>
      </c>
    </row>
    <row r="101" spans="10:17" x14ac:dyDescent="0.3">
      <c r="J101" s="43">
        <v>97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110">
        <v>2</v>
      </c>
      <c r="Q101" s="110">
        <v>4</v>
      </c>
    </row>
    <row r="102" spans="10:17" x14ac:dyDescent="0.3">
      <c r="J102" s="43">
        <v>98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110">
        <v>2</v>
      </c>
      <c r="Q102" s="110">
        <v>4</v>
      </c>
    </row>
    <row r="103" spans="10:17" x14ac:dyDescent="0.3">
      <c r="J103" s="43">
        <v>99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110">
        <v>2</v>
      </c>
      <c r="Q103" s="110">
        <v>4</v>
      </c>
    </row>
    <row r="104" spans="10:17" x14ac:dyDescent="0.3">
      <c r="J104" s="43">
        <v>100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110">
        <v>2</v>
      </c>
      <c r="Q104" s="110">
        <v>4</v>
      </c>
    </row>
    <row r="105" spans="10:17" x14ac:dyDescent="0.3">
      <c r="J105" s="43">
        <v>101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110">
        <v>2</v>
      </c>
      <c r="Q105" s="110">
        <v>3</v>
      </c>
    </row>
    <row r="106" spans="10:17" x14ac:dyDescent="0.3">
      <c r="J106" s="43">
        <v>102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110">
        <v>2</v>
      </c>
      <c r="Q106" s="110">
        <v>3</v>
      </c>
    </row>
    <row r="107" spans="10:17" x14ac:dyDescent="0.3">
      <c r="J107" s="43">
        <v>103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110">
        <v>2</v>
      </c>
      <c r="Q107" s="110">
        <v>3</v>
      </c>
    </row>
    <row r="108" spans="10:17" x14ac:dyDescent="0.3">
      <c r="J108" s="43">
        <v>104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110">
        <v>2</v>
      </c>
      <c r="Q108" s="110">
        <v>3</v>
      </c>
    </row>
    <row r="109" spans="10:17" x14ac:dyDescent="0.3">
      <c r="J109" s="43">
        <v>105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110">
        <v>2</v>
      </c>
      <c r="Q109" s="110">
        <v>3</v>
      </c>
    </row>
    <row r="110" spans="10:17" x14ac:dyDescent="0.3">
      <c r="J110" s="43">
        <v>106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110">
        <v>2</v>
      </c>
      <c r="Q110" s="110">
        <v>3</v>
      </c>
    </row>
    <row r="111" spans="10:17" x14ac:dyDescent="0.3">
      <c r="J111" s="43">
        <v>107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110">
        <v>2</v>
      </c>
      <c r="Q111" s="110">
        <v>3</v>
      </c>
    </row>
    <row r="112" spans="10:17" x14ac:dyDescent="0.3">
      <c r="J112" s="43">
        <v>108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110">
        <v>2</v>
      </c>
      <c r="Q112" s="110">
        <v>3</v>
      </c>
    </row>
    <row r="113" spans="10:17" x14ac:dyDescent="0.3">
      <c r="J113" s="43">
        <v>109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110">
        <v>2</v>
      </c>
      <c r="Q113" s="110">
        <v>3</v>
      </c>
    </row>
    <row r="114" spans="10:17" x14ac:dyDescent="0.3">
      <c r="J114" s="43">
        <v>110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110">
        <v>2</v>
      </c>
      <c r="Q114" s="110">
        <v>3</v>
      </c>
    </row>
    <row r="115" spans="10:17" x14ac:dyDescent="0.3">
      <c r="J115" s="43">
        <v>111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110">
        <v>2</v>
      </c>
      <c r="Q115" s="110">
        <v>3</v>
      </c>
    </row>
    <row r="116" spans="10:17" x14ac:dyDescent="0.3">
      <c r="J116" s="43">
        <v>112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110">
        <v>2</v>
      </c>
      <c r="Q116" s="110">
        <v>3</v>
      </c>
    </row>
    <row r="117" spans="10:17" x14ac:dyDescent="0.3">
      <c r="J117" s="43">
        <v>113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110">
        <v>2</v>
      </c>
      <c r="Q117" s="110">
        <v>3</v>
      </c>
    </row>
    <row r="118" spans="10:17" x14ac:dyDescent="0.3">
      <c r="J118" s="43">
        <v>114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110">
        <v>1</v>
      </c>
      <c r="Q118" s="110">
        <v>2</v>
      </c>
    </row>
    <row r="119" spans="10:17" x14ac:dyDescent="0.3">
      <c r="J119" s="43">
        <v>115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110">
        <v>1</v>
      </c>
      <c r="Q119" s="110">
        <v>2</v>
      </c>
    </row>
    <row r="120" spans="10:17" x14ac:dyDescent="0.3">
      <c r="J120" s="43">
        <v>116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110">
        <v>1</v>
      </c>
      <c r="Q120" s="110">
        <v>2</v>
      </c>
    </row>
    <row r="121" spans="10:17" x14ac:dyDescent="0.3">
      <c r="J121" s="43">
        <v>117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110">
        <v>1</v>
      </c>
      <c r="Q121" s="110">
        <v>2</v>
      </c>
    </row>
    <row r="122" spans="10:17" x14ac:dyDescent="0.3">
      <c r="J122" s="43">
        <v>118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110">
        <v>1</v>
      </c>
      <c r="Q122" s="110">
        <v>2</v>
      </c>
    </row>
    <row r="123" spans="10:17" x14ac:dyDescent="0.3">
      <c r="J123" s="43">
        <v>119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110">
        <v>1</v>
      </c>
      <c r="Q123" s="110">
        <v>2</v>
      </c>
    </row>
    <row r="124" spans="10:17" x14ac:dyDescent="0.3">
      <c r="J124" s="43">
        <v>120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110">
        <v>1</v>
      </c>
      <c r="Q124" s="110">
        <v>2</v>
      </c>
    </row>
    <row r="125" spans="10:17" x14ac:dyDescent="0.3">
      <c r="J125" s="43">
        <v>121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110">
        <v>1</v>
      </c>
      <c r="Q125" s="110">
        <v>2</v>
      </c>
    </row>
    <row r="126" spans="10:17" x14ac:dyDescent="0.3">
      <c r="J126" s="43">
        <v>122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110">
        <v>1</v>
      </c>
      <c r="Q126" s="110">
        <v>2</v>
      </c>
    </row>
    <row r="127" spans="10:17" x14ac:dyDescent="0.3">
      <c r="J127" s="43">
        <v>123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110">
        <v>1</v>
      </c>
      <c r="Q127" s="110">
        <v>2</v>
      </c>
    </row>
    <row r="128" spans="10:17" x14ac:dyDescent="0.3">
      <c r="J128" s="43">
        <v>124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110">
        <v>1</v>
      </c>
      <c r="Q128" s="110">
        <v>2</v>
      </c>
    </row>
    <row r="129" spans="10:17" x14ac:dyDescent="0.3">
      <c r="J129" s="43">
        <v>125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110">
        <v>1</v>
      </c>
      <c r="Q129" s="110">
        <v>2</v>
      </c>
    </row>
    <row r="130" spans="10:17" x14ac:dyDescent="0.3">
      <c r="J130" s="43">
        <v>126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110">
        <v>1</v>
      </c>
      <c r="Q130" s="110">
        <v>2</v>
      </c>
    </row>
    <row r="131" spans="10:17" x14ac:dyDescent="0.3">
      <c r="J131" s="43">
        <v>127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110">
        <v>1</v>
      </c>
      <c r="Q131" s="110">
        <v>2</v>
      </c>
    </row>
    <row r="132" spans="10:17" x14ac:dyDescent="0.3">
      <c r="J132" s="43">
        <v>128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110">
        <v>1</v>
      </c>
      <c r="Q132" s="110">
        <v>2</v>
      </c>
    </row>
    <row r="133" spans="10:17" x14ac:dyDescent="0.3">
      <c r="J133" s="43">
        <v>129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110">
        <v>1</v>
      </c>
      <c r="Q133" s="110">
        <v>2</v>
      </c>
    </row>
    <row r="134" spans="10:17" x14ac:dyDescent="0.3">
      <c r="J134" s="43">
        <v>130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110">
        <v>1</v>
      </c>
      <c r="Q134" s="110">
        <v>2</v>
      </c>
    </row>
    <row r="135" spans="10:17" x14ac:dyDescent="0.3">
      <c r="J135" s="43">
        <v>131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110">
        <v>1</v>
      </c>
      <c r="Q135" s="110">
        <v>1</v>
      </c>
    </row>
    <row r="136" spans="10:17" x14ac:dyDescent="0.3">
      <c r="J136" s="43">
        <v>132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110">
        <v>1</v>
      </c>
      <c r="Q136" s="110">
        <v>1</v>
      </c>
    </row>
    <row r="137" spans="10:17" x14ac:dyDescent="0.3">
      <c r="J137" s="43">
        <v>133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110">
        <v>1</v>
      </c>
      <c r="Q137" s="25">
        <v>0</v>
      </c>
    </row>
    <row r="138" spans="10:17" x14ac:dyDescent="0.3">
      <c r="J138" s="43">
        <v>134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110">
        <v>1</v>
      </c>
      <c r="Q138" s="25">
        <v>0</v>
      </c>
    </row>
    <row r="139" spans="10:17" x14ac:dyDescent="0.3">
      <c r="J139" s="43">
        <v>135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110">
        <v>1</v>
      </c>
      <c r="Q139" s="25">
        <v>0</v>
      </c>
    </row>
    <row r="140" spans="10:17" x14ac:dyDescent="0.3">
      <c r="J140" s="43">
        <v>136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110">
        <v>1</v>
      </c>
      <c r="Q140" s="25">
        <v>0</v>
      </c>
    </row>
    <row r="141" spans="10:17" x14ac:dyDescent="0.3">
      <c r="J141" s="43">
        <v>137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110">
        <v>1</v>
      </c>
      <c r="Q141" s="25">
        <v>0</v>
      </c>
    </row>
    <row r="142" spans="10:17" x14ac:dyDescent="0.3">
      <c r="J142" s="43">
        <v>138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110">
        <v>1</v>
      </c>
      <c r="Q142" s="25">
        <v>0</v>
      </c>
    </row>
    <row r="143" spans="10:17" x14ac:dyDescent="0.3">
      <c r="J143" s="43">
        <v>139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</row>
    <row r="146" spans="1:71" x14ac:dyDescent="0.3">
      <c r="A146" s="7"/>
      <c r="B146" s="70" t="s">
        <v>43</v>
      </c>
      <c r="C146" s="70"/>
      <c r="D146" s="70"/>
      <c r="E146" s="70"/>
      <c r="F146" s="70"/>
      <c r="G146" s="70"/>
      <c r="H146" s="70"/>
      <c r="J146" s="11"/>
      <c r="K146" s="70" t="s">
        <v>44</v>
      </c>
      <c r="L146" s="70"/>
      <c r="M146" s="70"/>
      <c r="N146" s="70"/>
      <c r="O146" s="70"/>
      <c r="P146" s="70"/>
      <c r="Q146" s="70"/>
      <c r="S146" s="11"/>
      <c r="T146" s="70" t="s">
        <v>45</v>
      </c>
      <c r="U146" s="70"/>
      <c r="V146" s="70"/>
      <c r="W146" s="70"/>
      <c r="X146" s="70"/>
      <c r="Y146" s="70"/>
      <c r="Z146" s="70"/>
      <c r="AB146" s="11"/>
      <c r="AC146" s="70" t="s">
        <v>46</v>
      </c>
      <c r="AD146" s="70"/>
      <c r="AE146" s="70"/>
      <c r="AF146" s="70"/>
      <c r="AG146" s="70"/>
      <c r="AH146" s="70"/>
      <c r="AI146" s="70"/>
      <c r="AK146" s="11"/>
      <c r="AL146" s="70" t="s">
        <v>47</v>
      </c>
      <c r="AM146" s="70"/>
      <c r="AN146" s="70"/>
      <c r="AO146" s="70"/>
      <c r="AP146" s="70"/>
      <c r="AQ146" s="70"/>
      <c r="AR146" s="70"/>
      <c r="AT146" s="11"/>
      <c r="AU146" s="70" t="s">
        <v>48</v>
      </c>
      <c r="AV146" s="70"/>
      <c r="AW146" s="70"/>
      <c r="AX146" s="70"/>
      <c r="AY146" s="70"/>
      <c r="AZ146" s="70"/>
      <c r="BA146" s="70"/>
      <c r="BC146" s="11"/>
      <c r="BD146" s="70" t="s">
        <v>49</v>
      </c>
      <c r="BE146" s="70"/>
      <c r="BF146" s="70"/>
      <c r="BG146" s="70"/>
      <c r="BH146" s="70"/>
      <c r="BI146" s="70"/>
      <c r="BJ146" s="70"/>
      <c r="BL146" s="11"/>
      <c r="BM146" s="70" t="s">
        <v>57</v>
      </c>
      <c r="BN146" s="70"/>
      <c r="BO146" s="70"/>
      <c r="BP146" s="70"/>
      <c r="BQ146" s="70"/>
      <c r="BR146" s="70"/>
      <c r="BS146" s="70"/>
    </row>
    <row r="147" spans="1:71" x14ac:dyDescent="0.3">
      <c r="A147" s="44" t="s">
        <v>55</v>
      </c>
      <c r="B147" s="45" t="s">
        <v>9</v>
      </c>
      <c r="C147" s="45" t="s">
        <v>5</v>
      </c>
      <c r="D147" s="45" t="s">
        <v>8</v>
      </c>
      <c r="E147" s="45" t="s">
        <v>10</v>
      </c>
      <c r="F147" s="45" t="s">
        <v>11</v>
      </c>
      <c r="G147" s="45" t="s">
        <v>13</v>
      </c>
      <c r="H147" s="45" t="s">
        <v>14</v>
      </c>
      <c r="J147" s="44" t="s">
        <v>25</v>
      </c>
      <c r="K147" s="45" t="s">
        <v>9</v>
      </c>
      <c r="L147" s="45" t="s">
        <v>5</v>
      </c>
      <c r="M147" s="45" t="s">
        <v>8</v>
      </c>
      <c r="N147" s="45" t="s">
        <v>10</v>
      </c>
      <c r="O147" s="45" t="s">
        <v>11</v>
      </c>
      <c r="P147" s="45" t="s">
        <v>13</v>
      </c>
      <c r="Q147" s="45" t="s">
        <v>14</v>
      </c>
      <c r="S147" s="44" t="s">
        <v>25</v>
      </c>
      <c r="T147" s="45" t="s">
        <v>9</v>
      </c>
      <c r="U147" s="45" t="s">
        <v>5</v>
      </c>
      <c r="V147" s="45" t="s">
        <v>8</v>
      </c>
      <c r="W147" s="45" t="s">
        <v>10</v>
      </c>
      <c r="X147" s="45" t="s">
        <v>11</v>
      </c>
      <c r="Y147" s="45" t="s">
        <v>13</v>
      </c>
      <c r="Z147" s="45" t="s">
        <v>14</v>
      </c>
      <c r="AB147" s="44" t="s">
        <v>25</v>
      </c>
      <c r="AC147" s="45" t="s">
        <v>9</v>
      </c>
      <c r="AD147" s="45" t="s">
        <v>5</v>
      </c>
      <c r="AE147" s="45" t="s">
        <v>8</v>
      </c>
      <c r="AF147" s="45" t="s">
        <v>10</v>
      </c>
      <c r="AG147" s="45" t="s">
        <v>11</v>
      </c>
      <c r="AH147" s="45" t="s">
        <v>13</v>
      </c>
      <c r="AI147" s="45" t="s">
        <v>14</v>
      </c>
      <c r="AK147" s="44" t="s">
        <v>25</v>
      </c>
      <c r="AL147" s="45" t="s">
        <v>9</v>
      </c>
      <c r="AM147" s="45" t="s">
        <v>5</v>
      </c>
      <c r="AN147" s="45" t="s">
        <v>8</v>
      </c>
      <c r="AO147" s="45" t="s">
        <v>10</v>
      </c>
      <c r="AP147" s="45" t="s">
        <v>11</v>
      </c>
      <c r="AQ147" s="45" t="s">
        <v>13</v>
      </c>
      <c r="AR147" s="45" t="s">
        <v>14</v>
      </c>
      <c r="AT147" s="44" t="s">
        <v>25</v>
      </c>
      <c r="AU147" s="45" t="s">
        <v>9</v>
      </c>
      <c r="AV147" s="45" t="s">
        <v>5</v>
      </c>
      <c r="AW147" s="45" t="s">
        <v>8</v>
      </c>
      <c r="AX147" s="45" t="s">
        <v>10</v>
      </c>
      <c r="AY147" s="45" t="s">
        <v>11</v>
      </c>
      <c r="AZ147" s="45" t="s">
        <v>13</v>
      </c>
      <c r="BA147" s="45" t="s">
        <v>14</v>
      </c>
      <c r="BC147" s="44" t="s">
        <v>25</v>
      </c>
      <c r="BD147" s="45" t="s">
        <v>9</v>
      </c>
      <c r="BE147" s="45" t="s">
        <v>5</v>
      </c>
      <c r="BF147" s="45" t="s">
        <v>8</v>
      </c>
      <c r="BG147" s="45" t="s">
        <v>10</v>
      </c>
      <c r="BH147" s="45" t="s">
        <v>11</v>
      </c>
      <c r="BI147" s="45" t="s">
        <v>13</v>
      </c>
      <c r="BJ147" s="45" t="s">
        <v>14</v>
      </c>
      <c r="BL147" s="44" t="s">
        <v>25</v>
      </c>
      <c r="BM147" s="45" t="s">
        <v>9</v>
      </c>
      <c r="BN147" s="45" t="s">
        <v>5</v>
      </c>
      <c r="BO147" s="45" t="s">
        <v>8</v>
      </c>
      <c r="BP147" s="45" t="s">
        <v>10</v>
      </c>
      <c r="BQ147" s="45" t="s">
        <v>11</v>
      </c>
      <c r="BR147" s="45" t="s">
        <v>13</v>
      </c>
      <c r="BS147" s="45" t="s">
        <v>14</v>
      </c>
    </row>
    <row r="148" spans="1:71" x14ac:dyDescent="0.3">
      <c r="A148" s="91">
        <v>0</v>
      </c>
      <c r="B148" s="119">
        <v>0</v>
      </c>
      <c r="C148" s="93">
        <v>0</v>
      </c>
      <c r="D148" s="93">
        <v>0</v>
      </c>
      <c r="E148" s="93">
        <v>0</v>
      </c>
      <c r="F148" s="93">
        <v>0</v>
      </c>
      <c r="G148" s="93">
        <v>0</v>
      </c>
      <c r="H148" s="93">
        <v>0</v>
      </c>
      <c r="J148" s="94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S148" s="42">
        <v>0</v>
      </c>
      <c r="T148" s="12">
        <v>0</v>
      </c>
      <c r="U148" s="12">
        <v>0</v>
      </c>
      <c r="V148" s="12">
        <v>0</v>
      </c>
      <c r="W148" s="12">
        <v>0</v>
      </c>
      <c r="X148" s="2">
        <v>0</v>
      </c>
      <c r="Y148" s="2">
        <v>0</v>
      </c>
      <c r="Z148" s="2">
        <v>0</v>
      </c>
      <c r="AB148" s="5">
        <v>0</v>
      </c>
      <c r="AC148" s="123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K148" s="6">
        <v>0</v>
      </c>
      <c r="AL148" s="123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"/>
      <c r="AT148" s="5">
        <v>0</v>
      </c>
      <c r="AU148" s="123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C148" s="5">
        <v>0</v>
      </c>
      <c r="BD148" s="123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L148" s="122">
        <v>0</v>
      </c>
      <c r="BM148" s="123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</row>
    <row r="149" spans="1:71" x14ac:dyDescent="0.3">
      <c r="A149" s="91">
        <v>1</v>
      </c>
      <c r="B149" s="120">
        <v>0</v>
      </c>
      <c r="C149" s="93">
        <v>0</v>
      </c>
      <c r="D149" s="93">
        <v>0</v>
      </c>
      <c r="E149" s="93">
        <v>0</v>
      </c>
      <c r="F149" s="93">
        <v>0</v>
      </c>
      <c r="G149" s="93">
        <v>0</v>
      </c>
      <c r="H149" s="93">
        <v>0</v>
      </c>
      <c r="J149" s="42">
        <v>1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S149" s="42">
        <v>1</v>
      </c>
      <c r="T149" s="12">
        <v>0</v>
      </c>
      <c r="U149" s="12">
        <v>0</v>
      </c>
      <c r="V149" s="12">
        <v>0</v>
      </c>
      <c r="W149" s="12">
        <v>0</v>
      </c>
      <c r="X149" s="2">
        <v>0</v>
      </c>
      <c r="Y149" s="2">
        <v>0</v>
      </c>
      <c r="Z149" s="2">
        <v>0</v>
      </c>
      <c r="AB149" s="5">
        <v>0.25</v>
      </c>
      <c r="AC149" s="112">
        <v>28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K149" s="6">
        <v>0.25</v>
      </c>
      <c r="AL149" s="113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"/>
      <c r="AT149" s="5">
        <v>0.1875</v>
      </c>
      <c r="AU149" s="113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C149" s="5">
        <v>4.1666666664241347E-2</v>
      </c>
      <c r="BD149" s="113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L149" s="5">
        <v>8.3333333335758653E-2</v>
      </c>
      <c r="BM149" s="112">
        <v>50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</row>
    <row r="150" spans="1:71" x14ac:dyDescent="0.3">
      <c r="A150" s="91">
        <v>2</v>
      </c>
      <c r="B150" s="120">
        <v>0</v>
      </c>
      <c r="C150" s="93">
        <v>0</v>
      </c>
      <c r="D150" s="93">
        <v>0</v>
      </c>
      <c r="E150" s="93">
        <v>0</v>
      </c>
      <c r="F150" s="93">
        <v>0</v>
      </c>
      <c r="G150" s="93">
        <v>0</v>
      </c>
      <c r="H150" s="93">
        <v>0</v>
      </c>
      <c r="J150" s="42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S150" s="42">
        <v>2</v>
      </c>
      <c r="T150" s="12">
        <v>0</v>
      </c>
      <c r="U150" s="12">
        <v>0</v>
      </c>
      <c r="V150" s="12">
        <v>0</v>
      </c>
      <c r="W150" s="12">
        <v>0</v>
      </c>
      <c r="X150" s="2">
        <v>0</v>
      </c>
      <c r="Y150" s="2">
        <v>0</v>
      </c>
      <c r="Z150" s="2">
        <v>0</v>
      </c>
      <c r="AB150" s="5">
        <v>0.5</v>
      </c>
      <c r="AC150" s="112">
        <v>28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K150" s="6">
        <v>0.5</v>
      </c>
      <c r="AL150" s="112">
        <v>6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"/>
      <c r="AT150" s="5">
        <v>0.375</v>
      </c>
      <c r="AU150" s="112">
        <v>18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C150" s="5">
        <v>8.3333333335758653E-2</v>
      </c>
      <c r="BD150" s="113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L150" s="5">
        <v>0.16666666666424135</v>
      </c>
      <c r="BM150" s="112">
        <v>50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</row>
    <row r="151" spans="1:71" x14ac:dyDescent="0.3">
      <c r="A151" s="91">
        <v>3</v>
      </c>
      <c r="B151" s="120">
        <v>0</v>
      </c>
      <c r="C151" s="93">
        <v>0</v>
      </c>
      <c r="D151" s="93">
        <v>0</v>
      </c>
      <c r="E151" s="93">
        <v>0</v>
      </c>
      <c r="F151" s="93">
        <v>0</v>
      </c>
      <c r="G151" s="93">
        <v>0</v>
      </c>
      <c r="H151" s="93">
        <v>0</v>
      </c>
      <c r="J151" s="42">
        <v>3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S151" s="42">
        <v>3</v>
      </c>
      <c r="T151" s="12">
        <v>0</v>
      </c>
      <c r="U151" s="12">
        <v>2</v>
      </c>
      <c r="V151" s="12">
        <v>0</v>
      </c>
      <c r="W151" s="12">
        <v>0</v>
      </c>
      <c r="X151" s="2">
        <v>0</v>
      </c>
      <c r="Y151" s="2">
        <v>0</v>
      </c>
      <c r="Z151" s="2">
        <v>0</v>
      </c>
      <c r="AB151" s="5">
        <v>0.75</v>
      </c>
      <c r="AC151" s="112">
        <v>28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K151" s="6">
        <v>0.75</v>
      </c>
      <c r="AL151" s="112">
        <v>16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"/>
      <c r="AT151" s="5">
        <v>0.5625</v>
      </c>
      <c r="AU151" s="112">
        <v>34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C151" s="5">
        <v>0.125</v>
      </c>
      <c r="BD151" s="112">
        <v>39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L151" s="5">
        <v>0.25</v>
      </c>
      <c r="BM151" s="112">
        <v>50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</row>
    <row r="152" spans="1:71" x14ac:dyDescent="0.3">
      <c r="A152" s="91">
        <v>4</v>
      </c>
      <c r="B152" s="120">
        <v>0</v>
      </c>
      <c r="C152" s="93">
        <v>0</v>
      </c>
      <c r="D152" s="93">
        <v>0</v>
      </c>
      <c r="E152" s="93">
        <v>0</v>
      </c>
      <c r="F152" s="93">
        <v>0</v>
      </c>
      <c r="G152" s="93">
        <v>0</v>
      </c>
      <c r="H152" s="93">
        <v>0</v>
      </c>
      <c r="J152" s="42">
        <v>4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S152" s="42">
        <v>4</v>
      </c>
      <c r="T152" s="46">
        <v>1</v>
      </c>
      <c r="U152" s="46">
        <v>4</v>
      </c>
      <c r="V152" s="12">
        <v>0</v>
      </c>
      <c r="W152" s="12">
        <v>0</v>
      </c>
      <c r="X152" s="2">
        <v>0</v>
      </c>
      <c r="Y152" s="2">
        <v>0</v>
      </c>
      <c r="Z152" s="2">
        <v>0</v>
      </c>
      <c r="AB152" s="5">
        <v>1</v>
      </c>
      <c r="AC152" s="112">
        <v>28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K152" s="6">
        <v>1</v>
      </c>
      <c r="AL152" s="112">
        <v>16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"/>
      <c r="AT152" s="5">
        <v>0.75</v>
      </c>
      <c r="AU152" s="112">
        <v>34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C152" s="5">
        <v>0.16666666666424135</v>
      </c>
      <c r="BD152" s="112">
        <v>48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L152" s="5">
        <v>0.33333333333575865</v>
      </c>
      <c r="BM152" s="112">
        <v>50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</row>
    <row r="153" spans="1:71" x14ac:dyDescent="0.3">
      <c r="A153" s="91">
        <v>5</v>
      </c>
      <c r="B153" s="120">
        <v>0</v>
      </c>
      <c r="C153" s="93">
        <v>0</v>
      </c>
      <c r="D153" s="93">
        <v>0</v>
      </c>
      <c r="E153" s="93">
        <v>0</v>
      </c>
      <c r="F153" s="93">
        <v>0</v>
      </c>
      <c r="G153" s="93">
        <v>0</v>
      </c>
      <c r="H153" s="93">
        <v>0</v>
      </c>
      <c r="J153" s="42">
        <v>5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S153" s="42">
        <v>5</v>
      </c>
      <c r="T153" s="46">
        <v>1</v>
      </c>
      <c r="U153" s="46">
        <v>5</v>
      </c>
      <c r="V153" s="46">
        <v>2</v>
      </c>
      <c r="W153" s="12">
        <v>0</v>
      </c>
      <c r="X153" s="2">
        <v>0</v>
      </c>
      <c r="Y153" s="2">
        <v>0</v>
      </c>
      <c r="Z153" s="2">
        <v>0</v>
      </c>
      <c r="AB153" s="5">
        <v>1.25</v>
      </c>
      <c r="AC153" s="112">
        <v>28</v>
      </c>
      <c r="AD153" s="46">
        <v>5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K153" s="6">
        <v>1.25</v>
      </c>
      <c r="AL153" s="112">
        <v>16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"/>
      <c r="AT153" s="5">
        <v>0.9375</v>
      </c>
      <c r="AU153" s="112">
        <v>34</v>
      </c>
      <c r="AV153" s="46">
        <v>3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C153" s="5">
        <v>0.20833333333575865</v>
      </c>
      <c r="BD153" s="112">
        <v>48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L153" s="5">
        <v>0.41666666666424135</v>
      </c>
      <c r="BM153" s="112">
        <v>50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</row>
    <row r="154" spans="1:71" x14ac:dyDescent="0.3">
      <c r="A154" s="91">
        <v>6</v>
      </c>
      <c r="B154" s="120">
        <v>0</v>
      </c>
      <c r="C154" s="118">
        <v>2</v>
      </c>
      <c r="D154" s="93">
        <v>0</v>
      </c>
      <c r="E154" s="93">
        <v>0</v>
      </c>
      <c r="F154" s="93">
        <v>0</v>
      </c>
      <c r="G154" s="93">
        <v>0</v>
      </c>
      <c r="H154" s="93">
        <v>0</v>
      </c>
      <c r="J154" s="42">
        <v>6</v>
      </c>
      <c r="K154" s="12">
        <v>0</v>
      </c>
      <c r="L154" s="46">
        <v>5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S154" s="42">
        <v>6</v>
      </c>
      <c r="T154" s="46">
        <v>1</v>
      </c>
      <c r="U154" s="46">
        <v>5</v>
      </c>
      <c r="V154" s="46">
        <v>5</v>
      </c>
      <c r="W154" s="12">
        <v>0</v>
      </c>
      <c r="X154" s="2">
        <v>0</v>
      </c>
      <c r="Y154" s="2">
        <v>0</v>
      </c>
      <c r="Z154" s="2">
        <v>0</v>
      </c>
      <c r="AB154" s="5">
        <v>1.5</v>
      </c>
      <c r="AC154" s="112">
        <v>28</v>
      </c>
      <c r="AD154" s="46">
        <v>5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K154" s="6">
        <v>1.5</v>
      </c>
      <c r="AL154" s="112">
        <v>16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"/>
      <c r="AT154" s="5">
        <v>1.125</v>
      </c>
      <c r="AU154" s="112">
        <v>34</v>
      </c>
      <c r="AV154" s="46">
        <v>3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C154" s="5">
        <v>0.25</v>
      </c>
      <c r="BD154" s="112">
        <v>48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L154" s="5">
        <v>0.5</v>
      </c>
      <c r="BM154" s="112">
        <v>50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</row>
    <row r="155" spans="1:71" x14ac:dyDescent="0.3">
      <c r="A155" s="91">
        <v>7</v>
      </c>
      <c r="B155" s="120">
        <v>0</v>
      </c>
      <c r="C155" s="118">
        <v>3</v>
      </c>
      <c r="D155" s="93">
        <v>0</v>
      </c>
      <c r="E155" s="93">
        <v>0</v>
      </c>
      <c r="F155" s="93">
        <v>0</v>
      </c>
      <c r="G155" s="93">
        <v>0</v>
      </c>
      <c r="H155" s="93">
        <v>0</v>
      </c>
      <c r="J155" s="42">
        <v>7</v>
      </c>
      <c r="K155" s="12">
        <v>0</v>
      </c>
      <c r="L155" s="46">
        <v>8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S155" s="42">
        <v>7</v>
      </c>
      <c r="T155" s="46">
        <v>1</v>
      </c>
      <c r="U155" s="46">
        <v>5</v>
      </c>
      <c r="V155" s="46">
        <v>7</v>
      </c>
      <c r="W155" s="12">
        <v>0</v>
      </c>
      <c r="X155" s="2">
        <v>0</v>
      </c>
      <c r="Y155" s="2">
        <v>0</v>
      </c>
      <c r="Z155" s="2">
        <v>0</v>
      </c>
      <c r="AB155" s="5">
        <v>1.75</v>
      </c>
      <c r="AC155" s="112">
        <v>28</v>
      </c>
      <c r="AD155" s="46">
        <v>6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K155" s="6">
        <v>1.75</v>
      </c>
      <c r="AL155" s="112">
        <v>16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"/>
      <c r="AT155" s="5">
        <v>1.3125</v>
      </c>
      <c r="AU155" s="112">
        <v>34</v>
      </c>
      <c r="AV155" s="46">
        <v>9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C155" s="5">
        <v>0.29166666666424135</v>
      </c>
      <c r="BD155" s="112">
        <v>48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L155" s="5">
        <v>0.58333333333575865</v>
      </c>
      <c r="BM155" s="112">
        <v>50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</row>
    <row r="156" spans="1:71" x14ac:dyDescent="0.3">
      <c r="A156" s="91">
        <v>8</v>
      </c>
      <c r="B156" s="120">
        <v>0</v>
      </c>
      <c r="C156" s="118">
        <v>4</v>
      </c>
      <c r="D156" s="93">
        <v>0</v>
      </c>
      <c r="E156" s="93">
        <v>0</v>
      </c>
      <c r="F156" s="93">
        <v>0</v>
      </c>
      <c r="G156" s="93">
        <v>0</v>
      </c>
      <c r="H156" s="93">
        <v>0</v>
      </c>
      <c r="J156" s="42">
        <v>8</v>
      </c>
      <c r="K156" s="12">
        <v>0</v>
      </c>
      <c r="L156" s="46">
        <v>11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S156" s="42">
        <v>8</v>
      </c>
      <c r="T156" s="46">
        <v>1</v>
      </c>
      <c r="U156" s="46">
        <v>5</v>
      </c>
      <c r="V156" s="46">
        <v>7</v>
      </c>
      <c r="W156" s="12">
        <v>0</v>
      </c>
      <c r="X156" s="2">
        <v>0</v>
      </c>
      <c r="Y156" s="2">
        <v>0</v>
      </c>
      <c r="Z156" s="2">
        <v>0</v>
      </c>
      <c r="AB156" s="5">
        <v>2</v>
      </c>
      <c r="AC156" s="112">
        <v>28</v>
      </c>
      <c r="AD156" s="46">
        <v>6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K156" s="6">
        <v>2</v>
      </c>
      <c r="AL156" s="112">
        <v>16</v>
      </c>
      <c r="AM156" s="46">
        <v>1</v>
      </c>
      <c r="AN156" s="46">
        <v>3</v>
      </c>
      <c r="AO156" s="12">
        <v>0</v>
      </c>
      <c r="AP156" s="12">
        <v>0</v>
      </c>
      <c r="AQ156" s="12">
        <v>0</v>
      </c>
      <c r="AR156" s="12">
        <v>0</v>
      </c>
      <c r="AS156" s="1"/>
      <c r="AT156" s="5">
        <v>1.5</v>
      </c>
      <c r="AU156" s="112">
        <v>34</v>
      </c>
      <c r="AV156" s="46">
        <v>9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C156" s="5">
        <v>0.33333333333575865</v>
      </c>
      <c r="BD156" s="112">
        <v>48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L156" s="5">
        <v>0.66666666666424135</v>
      </c>
      <c r="BM156" s="112">
        <v>50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</row>
    <row r="157" spans="1:71" x14ac:dyDescent="0.3">
      <c r="A157" s="91">
        <v>9</v>
      </c>
      <c r="B157" s="120">
        <v>0</v>
      </c>
      <c r="C157" s="118">
        <v>5</v>
      </c>
      <c r="D157" s="93">
        <v>0</v>
      </c>
      <c r="E157" s="93">
        <v>0</v>
      </c>
      <c r="F157" s="93">
        <v>0</v>
      </c>
      <c r="G157" s="93">
        <v>0</v>
      </c>
      <c r="H157" s="93">
        <v>0</v>
      </c>
      <c r="J157" s="42">
        <v>9</v>
      </c>
      <c r="K157" s="12">
        <v>0</v>
      </c>
      <c r="L157" s="46">
        <v>11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S157" s="42">
        <v>9</v>
      </c>
      <c r="T157" s="46">
        <v>1</v>
      </c>
      <c r="U157" s="46">
        <v>5</v>
      </c>
      <c r="V157" s="46">
        <v>7</v>
      </c>
      <c r="W157" s="12">
        <v>0</v>
      </c>
      <c r="X157" s="2">
        <v>0</v>
      </c>
      <c r="Y157" s="2">
        <v>0</v>
      </c>
      <c r="Z157" s="2">
        <v>0</v>
      </c>
      <c r="AB157" s="5">
        <v>2.25</v>
      </c>
      <c r="AC157" s="112">
        <v>28</v>
      </c>
      <c r="AD157" s="46">
        <v>6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K157" s="6">
        <v>2.25</v>
      </c>
      <c r="AL157" s="112">
        <v>16</v>
      </c>
      <c r="AM157" s="46">
        <v>6</v>
      </c>
      <c r="AN157" s="46">
        <v>3</v>
      </c>
      <c r="AO157" s="12">
        <v>0</v>
      </c>
      <c r="AP157" s="12">
        <v>0</v>
      </c>
      <c r="AQ157" s="12">
        <v>0</v>
      </c>
      <c r="AR157" s="12">
        <v>0</v>
      </c>
      <c r="AS157" s="1"/>
      <c r="AT157" s="5">
        <v>1.6875</v>
      </c>
      <c r="AU157" s="112">
        <v>34</v>
      </c>
      <c r="AV157" s="46">
        <v>13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C157" s="5">
        <v>0.375</v>
      </c>
      <c r="BD157" s="112">
        <v>48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L157" s="5">
        <v>0.75</v>
      </c>
      <c r="BM157" s="112">
        <v>50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</row>
    <row r="158" spans="1:71" x14ac:dyDescent="0.3">
      <c r="A158" s="91">
        <v>10</v>
      </c>
      <c r="B158" s="120">
        <v>0</v>
      </c>
      <c r="C158" s="118">
        <v>5</v>
      </c>
      <c r="D158" s="93">
        <v>0</v>
      </c>
      <c r="E158" s="93">
        <v>0</v>
      </c>
      <c r="F158" s="93">
        <v>0</v>
      </c>
      <c r="G158" s="93">
        <v>0</v>
      </c>
      <c r="H158" s="93">
        <v>0</v>
      </c>
      <c r="J158" s="42">
        <v>10</v>
      </c>
      <c r="K158" s="12">
        <v>0</v>
      </c>
      <c r="L158" s="46">
        <v>11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S158" s="42">
        <v>10</v>
      </c>
      <c r="T158" s="46">
        <v>1</v>
      </c>
      <c r="U158" s="46">
        <v>5</v>
      </c>
      <c r="V158" s="46">
        <v>7</v>
      </c>
      <c r="W158" s="12">
        <v>0</v>
      </c>
      <c r="X158" s="2">
        <v>0</v>
      </c>
      <c r="Y158" s="2">
        <v>0</v>
      </c>
      <c r="Z158" s="2">
        <v>0</v>
      </c>
      <c r="AB158" s="5">
        <v>2.5</v>
      </c>
      <c r="AC158" s="112">
        <v>28</v>
      </c>
      <c r="AD158" s="46">
        <v>6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K158" s="6">
        <v>2.5</v>
      </c>
      <c r="AL158" s="112">
        <v>16</v>
      </c>
      <c r="AM158" s="46">
        <v>6</v>
      </c>
      <c r="AN158" s="46">
        <v>3</v>
      </c>
      <c r="AO158" s="12">
        <v>0</v>
      </c>
      <c r="AP158" s="12">
        <v>0</v>
      </c>
      <c r="AQ158" s="12">
        <v>0</v>
      </c>
      <c r="AR158" s="12">
        <v>0</v>
      </c>
      <c r="AS158" s="1"/>
      <c r="AT158" s="5">
        <v>1.875</v>
      </c>
      <c r="AU158" s="112">
        <v>34</v>
      </c>
      <c r="AV158" s="46">
        <v>13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C158" s="5">
        <v>0.41666666666424135</v>
      </c>
      <c r="BD158" s="112">
        <v>48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</row>
    <row r="159" spans="1:71" x14ac:dyDescent="0.3">
      <c r="A159" s="91">
        <v>11</v>
      </c>
      <c r="B159" s="120">
        <v>0</v>
      </c>
      <c r="C159" s="118">
        <v>7</v>
      </c>
      <c r="D159" s="93">
        <v>0</v>
      </c>
      <c r="E159" s="93">
        <v>0</v>
      </c>
      <c r="F159" s="93">
        <v>0</v>
      </c>
      <c r="G159" s="93">
        <v>0</v>
      </c>
      <c r="H159" s="93">
        <v>0</v>
      </c>
      <c r="J159" s="42">
        <v>11</v>
      </c>
      <c r="K159" s="12">
        <v>0</v>
      </c>
      <c r="L159" s="46">
        <v>11</v>
      </c>
      <c r="M159" s="46">
        <v>1</v>
      </c>
      <c r="N159" s="12">
        <v>0</v>
      </c>
      <c r="O159" s="12">
        <v>0</v>
      </c>
      <c r="P159" s="12">
        <v>0</v>
      </c>
      <c r="Q159" s="12">
        <v>0</v>
      </c>
      <c r="S159" s="42">
        <v>11</v>
      </c>
      <c r="T159" s="46">
        <v>1</v>
      </c>
      <c r="U159" s="46">
        <v>5</v>
      </c>
      <c r="V159" s="46">
        <v>7</v>
      </c>
      <c r="W159" s="12">
        <v>0</v>
      </c>
      <c r="X159" s="2">
        <v>0</v>
      </c>
      <c r="Y159" s="2">
        <v>0</v>
      </c>
      <c r="Z159" s="2">
        <v>0</v>
      </c>
      <c r="AB159" s="5">
        <v>2.75</v>
      </c>
      <c r="AC159" s="112">
        <v>28</v>
      </c>
      <c r="AD159" s="46">
        <v>6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K159" s="6">
        <v>2.75</v>
      </c>
      <c r="AL159" s="112">
        <v>16</v>
      </c>
      <c r="AM159" s="46">
        <v>11</v>
      </c>
      <c r="AN159" s="46">
        <v>5</v>
      </c>
      <c r="AO159" s="12">
        <v>0</v>
      </c>
      <c r="AP159" s="12">
        <v>0</v>
      </c>
      <c r="AQ159" s="12">
        <v>0</v>
      </c>
      <c r="AR159" s="12">
        <v>0</v>
      </c>
      <c r="AS159" s="1"/>
      <c r="AT159" s="5">
        <v>2.0625</v>
      </c>
      <c r="AU159" s="112">
        <v>34</v>
      </c>
      <c r="AV159" s="46">
        <v>15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C159" s="5">
        <v>0.45833333333575865</v>
      </c>
      <c r="BD159" s="112">
        <v>48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</row>
    <row r="160" spans="1:71" x14ac:dyDescent="0.3">
      <c r="A160" s="91">
        <v>12</v>
      </c>
      <c r="B160" s="120">
        <v>0</v>
      </c>
      <c r="C160" s="118">
        <v>8</v>
      </c>
      <c r="D160" s="93">
        <v>0</v>
      </c>
      <c r="E160" s="93">
        <v>0</v>
      </c>
      <c r="F160" s="93">
        <v>0</v>
      </c>
      <c r="G160" s="93">
        <v>0</v>
      </c>
      <c r="H160" s="93">
        <v>0</v>
      </c>
      <c r="J160" s="42">
        <v>12</v>
      </c>
      <c r="K160" s="46">
        <v>9</v>
      </c>
      <c r="L160" s="46">
        <v>11</v>
      </c>
      <c r="M160" s="46">
        <v>2</v>
      </c>
      <c r="N160" s="12">
        <v>0</v>
      </c>
      <c r="O160" s="12">
        <v>0</v>
      </c>
      <c r="P160" s="12">
        <v>0</v>
      </c>
      <c r="Q160" s="12">
        <v>0</v>
      </c>
      <c r="S160" s="42">
        <v>12</v>
      </c>
      <c r="T160" s="46">
        <v>1</v>
      </c>
      <c r="U160" s="46">
        <v>5</v>
      </c>
      <c r="V160" s="46">
        <v>7</v>
      </c>
      <c r="W160" s="12">
        <v>0</v>
      </c>
      <c r="X160" s="2">
        <v>0</v>
      </c>
      <c r="Y160" s="2">
        <v>0</v>
      </c>
      <c r="Z160" s="2">
        <v>0</v>
      </c>
      <c r="AB160" s="5">
        <v>3</v>
      </c>
      <c r="AC160" s="112">
        <v>28</v>
      </c>
      <c r="AD160" s="46">
        <v>6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K160" s="6">
        <v>3</v>
      </c>
      <c r="AL160" s="112">
        <v>16</v>
      </c>
      <c r="AM160" s="46">
        <v>12</v>
      </c>
      <c r="AN160" s="46">
        <v>8</v>
      </c>
      <c r="AO160" s="12">
        <v>0</v>
      </c>
      <c r="AP160" s="12">
        <v>0</v>
      </c>
      <c r="AQ160" s="12">
        <v>0</v>
      </c>
      <c r="AR160" s="12">
        <v>0</v>
      </c>
      <c r="AS160" s="1"/>
      <c r="AT160" s="5">
        <v>2.25</v>
      </c>
      <c r="AU160" s="112">
        <v>34</v>
      </c>
      <c r="AV160" s="46">
        <v>15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C160" s="5">
        <v>0.5</v>
      </c>
      <c r="BD160" s="112">
        <v>48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</row>
    <row r="161" spans="1:62" x14ac:dyDescent="0.3">
      <c r="A161" s="91">
        <v>13</v>
      </c>
      <c r="B161" s="120">
        <v>0</v>
      </c>
      <c r="C161" s="118">
        <v>9</v>
      </c>
      <c r="D161" s="93">
        <v>0</v>
      </c>
      <c r="E161" s="93">
        <v>0</v>
      </c>
      <c r="F161" s="93">
        <v>0</v>
      </c>
      <c r="G161" s="93">
        <v>0</v>
      </c>
      <c r="H161" s="93">
        <v>0</v>
      </c>
      <c r="J161" s="42">
        <v>13</v>
      </c>
      <c r="K161" s="46">
        <v>9</v>
      </c>
      <c r="L161" s="46">
        <v>11</v>
      </c>
      <c r="M161" s="46">
        <v>3</v>
      </c>
      <c r="N161" s="12">
        <v>0</v>
      </c>
      <c r="O161" s="12">
        <v>0</v>
      </c>
      <c r="P161" s="12">
        <v>0</v>
      </c>
      <c r="Q161" s="12">
        <v>0</v>
      </c>
      <c r="S161" s="42">
        <v>13</v>
      </c>
      <c r="T161" s="46">
        <v>1</v>
      </c>
      <c r="U161" s="46">
        <v>5</v>
      </c>
      <c r="V161" s="46">
        <v>7</v>
      </c>
      <c r="W161" s="12">
        <v>0</v>
      </c>
      <c r="X161" s="2">
        <v>0</v>
      </c>
      <c r="Y161" s="2">
        <v>0</v>
      </c>
      <c r="Z161" s="2">
        <v>0</v>
      </c>
      <c r="AB161" s="5">
        <v>3.25</v>
      </c>
      <c r="AC161" s="112">
        <v>28</v>
      </c>
      <c r="AD161" s="46">
        <v>6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K161" s="6">
        <v>3.25</v>
      </c>
      <c r="AL161" s="112">
        <v>16</v>
      </c>
      <c r="AM161" s="46">
        <v>13</v>
      </c>
      <c r="AN161" s="46">
        <v>10</v>
      </c>
      <c r="AO161" s="46">
        <v>1</v>
      </c>
      <c r="AP161" s="12">
        <v>0</v>
      </c>
      <c r="AQ161" s="12">
        <v>0</v>
      </c>
      <c r="AR161" s="12">
        <v>0</v>
      </c>
      <c r="AS161" s="1"/>
      <c r="AT161" s="5">
        <v>2.4375</v>
      </c>
      <c r="AU161" s="112">
        <v>34</v>
      </c>
      <c r="AV161" s="46">
        <v>16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C161" s="5">
        <v>0.54166666666424135</v>
      </c>
      <c r="BD161" s="112">
        <v>48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</row>
    <row r="162" spans="1:62" x14ac:dyDescent="0.3">
      <c r="A162" s="91">
        <v>14</v>
      </c>
      <c r="B162" s="121">
        <v>38</v>
      </c>
      <c r="C162" s="118">
        <v>10</v>
      </c>
      <c r="D162" s="93">
        <v>0</v>
      </c>
      <c r="E162" s="93">
        <v>0</v>
      </c>
      <c r="F162" s="93">
        <v>0</v>
      </c>
      <c r="G162" s="93">
        <v>0</v>
      </c>
      <c r="H162" s="93">
        <v>0</v>
      </c>
      <c r="J162" s="42">
        <v>14</v>
      </c>
      <c r="K162" s="46">
        <v>9</v>
      </c>
      <c r="L162" s="46">
        <v>11</v>
      </c>
      <c r="M162" s="46">
        <v>4</v>
      </c>
      <c r="N162" s="12">
        <v>0</v>
      </c>
      <c r="O162" s="12">
        <v>0</v>
      </c>
      <c r="P162" s="12">
        <v>0</v>
      </c>
      <c r="Q162" s="12">
        <v>0</v>
      </c>
      <c r="S162" s="42">
        <v>14</v>
      </c>
      <c r="T162" s="46">
        <v>1</v>
      </c>
      <c r="U162" s="46">
        <v>5</v>
      </c>
      <c r="V162" s="46">
        <v>7</v>
      </c>
      <c r="W162" s="12">
        <v>0</v>
      </c>
      <c r="X162" s="2">
        <v>0</v>
      </c>
      <c r="Y162" s="2">
        <v>0</v>
      </c>
      <c r="Z162" s="2">
        <v>0</v>
      </c>
      <c r="AB162" s="5">
        <v>3.5</v>
      </c>
      <c r="AC162" s="112">
        <v>28</v>
      </c>
      <c r="AD162" s="46">
        <v>6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K162" s="6">
        <v>3.5</v>
      </c>
      <c r="AL162" s="112">
        <v>16</v>
      </c>
      <c r="AM162" s="46">
        <v>13</v>
      </c>
      <c r="AN162" s="46">
        <v>10</v>
      </c>
      <c r="AO162" s="46">
        <v>1</v>
      </c>
      <c r="AP162" s="12">
        <v>0</v>
      </c>
      <c r="AQ162" s="12">
        <v>0</v>
      </c>
      <c r="AR162" s="12">
        <v>0</v>
      </c>
      <c r="AS162" s="1"/>
      <c r="AT162" s="5">
        <v>2.625</v>
      </c>
      <c r="AU162" s="112">
        <v>34</v>
      </c>
      <c r="AV162" s="46">
        <v>16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C162" s="5">
        <v>0.58333333333575865</v>
      </c>
      <c r="BD162" s="112">
        <v>48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</row>
    <row r="163" spans="1:62" x14ac:dyDescent="0.3">
      <c r="A163" s="91">
        <v>15</v>
      </c>
      <c r="B163" s="121">
        <v>38</v>
      </c>
      <c r="C163" s="118">
        <v>10</v>
      </c>
      <c r="D163" s="93">
        <v>0</v>
      </c>
      <c r="E163" s="93">
        <v>0</v>
      </c>
      <c r="F163" s="93">
        <v>0</v>
      </c>
      <c r="G163" s="93">
        <v>0</v>
      </c>
      <c r="H163" s="93">
        <v>0</v>
      </c>
      <c r="J163" s="43">
        <v>15</v>
      </c>
      <c r="K163" s="46">
        <v>9</v>
      </c>
      <c r="L163" s="46">
        <v>11</v>
      </c>
      <c r="M163" s="46">
        <v>5</v>
      </c>
      <c r="N163" s="12">
        <v>0</v>
      </c>
      <c r="O163" s="12">
        <v>0</v>
      </c>
      <c r="P163" s="12">
        <v>0</v>
      </c>
      <c r="Q163" s="12">
        <v>0</v>
      </c>
      <c r="S163" s="42">
        <v>15</v>
      </c>
      <c r="T163" s="46">
        <v>1</v>
      </c>
      <c r="U163" s="46">
        <v>5</v>
      </c>
      <c r="V163" s="46">
        <v>7</v>
      </c>
      <c r="W163" s="12">
        <v>0</v>
      </c>
      <c r="X163" s="2">
        <v>0</v>
      </c>
      <c r="Y163" s="2">
        <v>0</v>
      </c>
      <c r="Z163" s="2">
        <v>0</v>
      </c>
      <c r="AB163" s="5">
        <v>3.75</v>
      </c>
      <c r="AC163" s="112">
        <v>28</v>
      </c>
      <c r="AD163" s="46">
        <v>6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K163" s="6">
        <v>3.75</v>
      </c>
      <c r="AL163" s="112">
        <v>16</v>
      </c>
      <c r="AM163" s="46">
        <v>15</v>
      </c>
      <c r="AN163" s="46">
        <v>11</v>
      </c>
      <c r="AO163" s="46">
        <v>2</v>
      </c>
      <c r="AP163" s="12">
        <v>0</v>
      </c>
      <c r="AQ163" s="12">
        <v>0</v>
      </c>
      <c r="AR163" s="12">
        <v>0</v>
      </c>
      <c r="AS163" s="1"/>
      <c r="AT163" s="5">
        <v>2.8125</v>
      </c>
      <c r="AU163" s="112">
        <v>34</v>
      </c>
      <c r="AV163" s="46">
        <v>16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C163" s="5">
        <v>0.625</v>
      </c>
      <c r="BD163" s="112">
        <v>48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</row>
    <row r="164" spans="1:62" x14ac:dyDescent="0.3">
      <c r="A164" s="91">
        <v>16</v>
      </c>
      <c r="B164" s="121">
        <v>38</v>
      </c>
      <c r="C164" s="118">
        <v>11</v>
      </c>
      <c r="D164" s="93">
        <v>0</v>
      </c>
      <c r="E164" s="93">
        <v>0</v>
      </c>
      <c r="F164" s="93">
        <v>0</v>
      </c>
      <c r="G164" s="93">
        <v>0</v>
      </c>
      <c r="H164" s="93">
        <v>0</v>
      </c>
      <c r="J164" s="43">
        <v>16</v>
      </c>
      <c r="K164" s="46">
        <v>9</v>
      </c>
      <c r="L164" s="46">
        <v>11</v>
      </c>
      <c r="M164" s="46">
        <v>5</v>
      </c>
      <c r="N164" s="12">
        <v>0</v>
      </c>
      <c r="O164" s="12">
        <v>0</v>
      </c>
      <c r="P164" s="12">
        <v>0</v>
      </c>
      <c r="Q164" s="12">
        <v>0</v>
      </c>
      <c r="S164" s="42">
        <v>16</v>
      </c>
      <c r="T164" s="46">
        <v>1</v>
      </c>
      <c r="U164" s="46">
        <v>5</v>
      </c>
      <c r="V164" s="46">
        <v>7</v>
      </c>
      <c r="W164" s="12">
        <v>0</v>
      </c>
      <c r="X164" s="2">
        <v>0</v>
      </c>
      <c r="Y164" s="2">
        <v>0</v>
      </c>
      <c r="Z164" s="2">
        <v>0</v>
      </c>
      <c r="AB164" s="5">
        <v>4</v>
      </c>
      <c r="AC164" s="112">
        <v>28</v>
      </c>
      <c r="AD164" s="46">
        <v>6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K164" s="6">
        <v>4</v>
      </c>
      <c r="AL164" s="112">
        <v>16</v>
      </c>
      <c r="AM164" s="46">
        <v>15</v>
      </c>
      <c r="AN164" s="46">
        <v>11</v>
      </c>
      <c r="AO164" s="46">
        <v>3</v>
      </c>
      <c r="AP164" s="12">
        <v>0</v>
      </c>
      <c r="AQ164" s="12">
        <v>0</v>
      </c>
      <c r="AR164" s="12">
        <v>0</v>
      </c>
      <c r="AS164" s="1"/>
      <c r="AT164" s="5">
        <v>3</v>
      </c>
      <c r="AU164" s="112">
        <v>34</v>
      </c>
      <c r="AV164" s="46">
        <v>16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C164" s="5">
        <v>0.66666666666424135</v>
      </c>
      <c r="BD164" s="112">
        <v>48</v>
      </c>
      <c r="BE164" s="46">
        <v>2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</row>
    <row r="165" spans="1:62" x14ac:dyDescent="0.3">
      <c r="A165" s="91">
        <v>17</v>
      </c>
      <c r="B165" s="121">
        <v>38</v>
      </c>
      <c r="C165" s="118">
        <v>12</v>
      </c>
      <c r="D165" s="93">
        <v>0</v>
      </c>
      <c r="E165" s="93">
        <v>0</v>
      </c>
      <c r="F165" s="93">
        <v>0</v>
      </c>
      <c r="G165" s="93">
        <v>0</v>
      </c>
      <c r="H165" s="93">
        <v>0</v>
      </c>
      <c r="J165" s="43">
        <v>17</v>
      </c>
      <c r="K165" s="46">
        <v>9</v>
      </c>
      <c r="L165" s="46">
        <v>11</v>
      </c>
      <c r="M165" s="46">
        <v>6</v>
      </c>
      <c r="N165" s="12">
        <v>0</v>
      </c>
      <c r="O165" s="12">
        <v>0</v>
      </c>
      <c r="P165" s="12">
        <v>0</v>
      </c>
      <c r="Q165" s="12">
        <v>0</v>
      </c>
      <c r="S165" s="42">
        <v>17</v>
      </c>
      <c r="T165" s="46">
        <v>1</v>
      </c>
      <c r="U165" s="46">
        <v>5</v>
      </c>
      <c r="V165" s="46">
        <v>7</v>
      </c>
      <c r="W165" s="12">
        <v>0</v>
      </c>
      <c r="X165" s="2">
        <v>0</v>
      </c>
      <c r="Y165" s="2">
        <v>0</v>
      </c>
      <c r="Z165" s="2">
        <v>0</v>
      </c>
      <c r="AB165" s="5">
        <v>4.25</v>
      </c>
      <c r="AC165" s="112">
        <v>28</v>
      </c>
      <c r="AD165" s="46">
        <v>6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K165" s="6">
        <v>4.25</v>
      </c>
      <c r="AL165" s="112">
        <v>16</v>
      </c>
      <c r="AM165" s="46">
        <v>15</v>
      </c>
      <c r="AN165" s="46">
        <v>11</v>
      </c>
      <c r="AO165" s="46">
        <v>3</v>
      </c>
      <c r="AP165" s="12">
        <v>0</v>
      </c>
      <c r="AQ165" s="12">
        <v>0</v>
      </c>
      <c r="AR165" s="12">
        <v>0</v>
      </c>
      <c r="AS165" s="1"/>
      <c r="AT165" s="5">
        <v>3.1875</v>
      </c>
      <c r="AU165" s="112">
        <v>34</v>
      </c>
      <c r="AV165" s="46">
        <v>16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C165" s="5">
        <v>0.70833333333575865</v>
      </c>
      <c r="BD165" s="112">
        <v>48</v>
      </c>
      <c r="BE165" s="46">
        <v>2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</row>
    <row r="166" spans="1:62" x14ac:dyDescent="0.3">
      <c r="A166" s="91">
        <v>18</v>
      </c>
      <c r="B166" s="121">
        <v>38</v>
      </c>
      <c r="C166" s="118">
        <v>12</v>
      </c>
      <c r="D166" s="93">
        <v>0</v>
      </c>
      <c r="E166" s="93">
        <v>0</v>
      </c>
      <c r="F166" s="93">
        <v>0</v>
      </c>
      <c r="G166" s="93">
        <v>0</v>
      </c>
      <c r="H166" s="93">
        <v>0</v>
      </c>
      <c r="J166" s="43">
        <v>18</v>
      </c>
      <c r="K166" s="46">
        <v>9</v>
      </c>
      <c r="L166" s="46">
        <v>11</v>
      </c>
      <c r="M166" s="46">
        <v>7</v>
      </c>
      <c r="N166" s="12">
        <v>0</v>
      </c>
      <c r="O166" s="12">
        <v>0</v>
      </c>
      <c r="P166" s="12">
        <v>0</v>
      </c>
      <c r="Q166" s="12">
        <v>0</v>
      </c>
      <c r="S166" s="42">
        <v>18</v>
      </c>
      <c r="T166" s="46">
        <v>1</v>
      </c>
      <c r="U166" s="46">
        <v>5</v>
      </c>
      <c r="V166" s="46">
        <v>7</v>
      </c>
      <c r="W166" s="12">
        <v>0</v>
      </c>
      <c r="X166" s="2">
        <v>0</v>
      </c>
      <c r="Y166" s="2">
        <v>0</v>
      </c>
      <c r="Z166" s="2">
        <v>0</v>
      </c>
      <c r="AB166" s="5">
        <v>4.5</v>
      </c>
      <c r="AC166" s="112">
        <v>28</v>
      </c>
      <c r="AD166" s="46">
        <v>6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K166" s="6">
        <v>4.5</v>
      </c>
      <c r="AL166" s="112">
        <v>16</v>
      </c>
      <c r="AM166" s="46">
        <v>15</v>
      </c>
      <c r="AN166" s="46">
        <v>11</v>
      </c>
      <c r="AO166" s="46">
        <v>3</v>
      </c>
      <c r="AP166" s="12">
        <v>0</v>
      </c>
      <c r="AQ166" s="12">
        <v>0</v>
      </c>
      <c r="AR166" s="12">
        <v>0</v>
      </c>
      <c r="AS166" s="1"/>
      <c r="AT166" s="5">
        <v>3.375</v>
      </c>
      <c r="AU166" s="112">
        <v>34</v>
      </c>
      <c r="AV166" s="46">
        <v>16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C166" s="5">
        <v>0.75</v>
      </c>
      <c r="BD166" s="112">
        <v>48</v>
      </c>
      <c r="BE166" s="46">
        <v>2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</row>
    <row r="167" spans="1:62" x14ac:dyDescent="0.3">
      <c r="J167" s="43">
        <v>19</v>
      </c>
      <c r="K167" s="46">
        <v>9</v>
      </c>
      <c r="L167" s="46">
        <v>11</v>
      </c>
      <c r="M167" s="46">
        <v>7</v>
      </c>
      <c r="N167" s="12">
        <v>0</v>
      </c>
      <c r="O167" s="12">
        <v>0</v>
      </c>
      <c r="P167" s="12">
        <v>0</v>
      </c>
      <c r="Q167" s="12">
        <v>0</v>
      </c>
      <c r="S167" s="42">
        <v>19</v>
      </c>
      <c r="T167" s="46">
        <v>1</v>
      </c>
      <c r="U167" s="46">
        <v>5</v>
      </c>
      <c r="V167" s="46">
        <v>7</v>
      </c>
      <c r="W167" s="12">
        <v>0</v>
      </c>
      <c r="X167" s="51">
        <v>7</v>
      </c>
      <c r="Y167" s="2">
        <v>0</v>
      </c>
      <c r="Z167" s="2">
        <v>0</v>
      </c>
      <c r="AB167" s="5">
        <v>4.75</v>
      </c>
      <c r="AC167" s="112">
        <v>28</v>
      </c>
      <c r="AD167" s="46">
        <v>6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K167" s="6">
        <v>4.75</v>
      </c>
      <c r="AL167" s="112">
        <v>16</v>
      </c>
      <c r="AM167" s="46">
        <v>15</v>
      </c>
      <c r="AN167" s="46">
        <v>11</v>
      </c>
      <c r="AO167" s="46">
        <v>4</v>
      </c>
      <c r="AP167" s="12">
        <v>0</v>
      </c>
      <c r="AQ167" s="12">
        <v>0</v>
      </c>
      <c r="AR167" s="12">
        <v>0</v>
      </c>
      <c r="AS167" s="1"/>
      <c r="AT167" s="5">
        <v>3.5625</v>
      </c>
      <c r="AU167" s="112">
        <v>34</v>
      </c>
      <c r="AV167" s="46">
        <v>16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C167" s="5">
        <v>0.79166666666424135</v>
      </c>
      <c r="BD167" s="112">
        <v>48</v>
      </c>
      <c r="BE167" s="46">
        <v>2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</row>
    <row r="168" spans="1:62" x14ac:dyDescent="0.3">
      <c r="J168" s="43">
        <v>20</v>
      </c>
      <c r="K168" s="46">
        <v>9</v>
      </c>
      <c r="L168" s="46">
        <v>11</v>
      </c>
      <c r="M168" s="46">
        <v>7</v>
      </c>
      <c r="N168" s="12">
        <v>0</v>
      </c>
      <c r="O168" s="12">
        <v>0</v>
      </c>
      <c r="P168" s="12">
        <v>0</v>
      </c>
      <c r="Q168" s="12">
        <v>0</v>
      </c>
      <c r="S168" s="42">
        <v>20</v>
      </c>
      <c r="T168" s="46">
        <v>1</v>
      </c>
      <c r="U168" s="46">
        <v>5</v>
      </c>
      <c r="V168" s="46">
        <v>7</v>
      </c>
      <c r="W168" s="12">
        <v>0</v>
      </c>
      <c r="X168" s="51">
        <v>10</v>
      </c>
      <c r="Y168" s="2">
        <v>0</v>
      </c>
      <c r="Z168" s="2">
        <v>0</v>
      </c>
      <c r="AB168" s="5">
        <v>5</v>
      </c>
      <c r="AC168" s="112">
        <v>28</v>
      </c>
      <c r="AD168" s="46">
        <v>6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K168" s="6">
        <v>5</v>
      </c>
      <c r="AL168" s="112">
        <v>16</v>
      </c>
      <c r="AM168" s="46">
        <v>15</v>
      </c>
      <c r="AN168" s="46">
        <v>11</v>
      </c>
      <c r="AO168" s="46">
        <v>4</v>
      </c>
      <c r="AP168" s="12">
        <v>0</v>
      </c>
      <c r="AQ168" s="12">
        <v>0</v>
      </c>
      <c r="AR168" s="12">
        <v>0</v>
      </c>
      <c r="AS168" s="1"/>
      <c r="AT168" s="5">
        <v>3.75</v>
      </c>
      <c r="AU168" s="112">
        <v>34</v>
      </c>
      <c r="AV168" s="46">
        <v>16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C168" s="5">
        <v>0.83333333333575865</v>
      </c>
      <c r="BD168" s="112">
        <v>48</v>
      </c>
      <c r="BE168" s="46">
        <v>2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</row>
    <row r="169" spans="1:62" x14ac:dyDescent="0.3">
      <c r="J169" s="43">
        <v>21</v>
      </c>
      <c r="K169" s="46">
        <v>9</v>
      </c>
      <c r="L169" s="46">
        <v>11</v>
      </c>
      <c r="M169" s="46">
        <v>7</v>
      </c>
      <c r="N169" s="12">
        <v>0</v>
      </c>
      <c r="O169" s="12">
        <v>0</v>
      </c>
      <c r="P169" s="12">
        <v>0</v>
      </c>
      <c r="Q169" s="12">
        <v>0</v>
      </c>
      <c r="S169" s="42">
        <v>21</v>
      </c>
      <c r="T169" s="46">
        <v>1</v>
      </c>
      <c r="U169" s="46">
        <v>5</v>
      </c>
      <c r="V169" s="46">
        <v>7</v>
      </c>
      <c r="W169" s="12">
        <v>0</v>
      </c>
      <c r="X169" s="51">
        <v>18</v>
      </c>
      <c r="Y169" s="2">
        <v>0</v>
      </c>
      <c r="Z169" s="2">
        <v>0</v>
      </c>
      <c r="AB169" s="5">
        <v>5.25</v>
      </c>
      <c r="AC169" s="112">
        <v>28</v>
      </c>
      <c r="AD169" s="46">
        <v>6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K169" s="6">
        <v>5.25</v>
      </c>
      <c r="AL169" s="112">
        <v>16</v>
      </c>
      <c r="AM169" s="46">
        <v>15</v>
      </c>
      <c r="AN169" s="46">
        <v>11</v>
      </c>
      <c r="AO169" s="46">
        <v>6</v>
      </c>
      <c r="AP169" s="12">
        <v>0</v>
      </c>
      <c r="AQ169" s="12">
        <v>0</v>
      </c>
      <c r="AR169" s="12">
        <v>0</v>
      </c>
      <c r="AS169" s="1"/>
      <c r="AT169" s="5">
        <v>3.9375</v>
      </c>
      <c r="AU169" s="112">
        <v>34</v>
      </c>
      <c r="AV169" s="46">
        <v>16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C169" s="5">
        <v>0.875</v>
      </c>
      <c r="BD169" s="112">
        <v>48</v>
      </c>
      <c r="BE169" s="46">
        <v>2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</row>
    <row r="170" spans="1:62" x14ac:dyDescent="0.3">
      <c r="J170" s="43">
        <v>22</v>
      </c>
      <c r="K170" s="46">
        <v>9</v>
      </c>
      <c r="L170" s="46">
        <v>11</v>
      </c>
      <c r="M170" s="46">
        <v>7</v>
      </c>
      <c r="N170" s="12">
        <v>0</v>
      </c>
      <c r="O170" s="12">
        <v>0</v>
      </c>
      <c r="P170" s="12">
        <v>0</v>
      </c>
      <c r="Q170" s="12">
        <v>0</v>
      </c>
      <c r="S170" s="42">
        <v>22</v>
      </c>
      <c r="T170" s="46">
        <v>1</v>
      </c>
      <c r="U170" s="46">
        <v>5</v>
      </c>
      <c r="V170" s="46">
        <v>7</v>
      </c>
      <c r="W170" s="12">
        <v>0</v>
      </c>
      <c r="X170" s="51">
        <v>22</v>
      </c>
      <c r="Y170" s="2">
        <v>0</v>
      </c>
      <c r="Z170" s="2">
        <v>0</v>
      </c>
      <c r="AB170" s="5">
        <v>5.5</v>
      </c>
      <c r="AC170" s="112">
        <v>28</v>
      </c>
      <c r="AD170" s="46">
        <v>6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K170" s="6">
        <v>5.5</v>
      </c>
      <c r="AL170" s="112">
        <v>16</v>
      </c>
      <c r="AM170" s="46">
        <v>15</v>
      </c>
      <c r="AN170" s="46">
        <v>11</v>
      </c>
      <c r="AO170" s="46">
        <v>6</v>
      </c>
      <c r="AP170" s="12">
        <v>0</v>
      </c>
      <c r="AQ170" s="12">
        <v>0</v>
      </c>
      <c r="AR170" s="12">
        <v>0</v>
      </c>
      <c r="AS170" s="1"/>
      <c r="AT170" s="5">
        <v>4.125</v>
      </c>
      <c r="AU170" s="112">
        <v>34</v>
      </c>
      <c r="AV170" s="46">
        <v>16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C170" s="5">
        <v>0.91666666666424135</v>
      </c>
      <c r="BD170" s="112">
        <v>48</v>
      </c>
      <c r="BE170" s="46">
        <v>2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</row>
    <row r="171" spans="1:62" x14ac:dyDescent="0.3">
      <c r="J171" s="43">
        <v>23</v>
      </c>
      <c r="K171" s="46">
        <v>9</v>
      </c>
      <c r="L171" s="46">
        <v>11</v>
      </c>
      <c r="M171" s="46">
        <v>7</v>
      </c>
      <c r="N171" s="12">
        <v>0</v>
      </c>
      <c r="O171" s="12">
        <v>0</v>
      </c>
      <c r="P171" s="12">
        <v>0</v>
      </c>
      <c r="Q171" s="12">
        <v>0</v>
      </c>
      <c r="S171" s="42">
        <v>23</v>
      </c>
      <c r="T171" s="46">
        <v>1</v>
      </c>
      <c r="U171" s="46">
        <v>5</v>
      </c>
      <c r="V171" s="46">
        <v>7</v>
      </c>
      <c r="W171" s="12">
        <v>0</v>
      </c>
      <c r="X171" s="51">
        <v>26</v>
      </c>
      <c r="Y171" s="2">
        <v>0</v>
      </c>
      <c r="Z171" s="2">
        <v>0</v>
      </c>
      <c r="AB171" s="5">
        <v>5.75</v>
      </c>
      <c r="AC171" s="112">
        <v>28</v>
      </c>
      <c r="AD171" s="46">
        <v>6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K171" s="6">
        <v>5.75</v>
      </c>
      <c r="AL171" s="112">
        <v>16</v>
      </c>
      <c r="AM171" s="46">
        <v>15</v>
      </c>
      <c r="AN171" s="46">
        <v>11</v>
      </c>
      <c r="AO171" s="46">
        <v>6</v>
      </c>
      <c r="AP171" s="12">
        <v>0</v>
      </c>
      <c r="AQ171" s="12">
        <v>0</v>
      </c>
      <c r="AR171" s="12">
        <v>0</v>
      </c>
      <c r="AS171" s="1"/>
      <c r="AT171" s="5">
        <v>4.3125</v>
      </c>
      <c r="AU171" s="112">
        <v>34</v>
      </c>
      <c r="AV171" s="46">
        <v>16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C171" s="5">
        <v>0.95833333333575865</v>
      </c>
      <c r="BD171" s="112">
        <v>48</v>
      </c>
      <c r="BE171" s="46">
        <v>2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</row>
    <row r="172" spans="1:62" x14ac:dyDescent="0.3">
      <c r="J172" s="43">
        <v>24</v>
      </c>
      <c r="K172" s="46">
        <v>9</v>
      </c>
      <c r="L172" s="46">
        <v>11</v>
      </c>
      <c r="M172" s="46">
        <v>7</v>
      </c>
      <c r="N172" s="12">
        <v>0</v>
      </c>
      <c r="O172" s="12">
        <v>0</v>
      </c>
      <c r="P172" s="12">
        <v>0</v>
      </c>
      <c r="Q172" s="12">
        <v>0</v>
      </c>
      <c r="S172" s="42">
        <v>24</v>
      </c>
      <c r="T172" s="46">
        <v>1</v>
      </c>
      <c r="U172" s="46">
        <v>5</v>
      </c>
      <c r="V172" s="46">
        <v>7</v>
      </c>
      <c r="W172" s="12">
        <v>0</v>
      </c>
      <c r="X172" s="51">
        <v>29</v>
      </c>
      <c r="Y172" s="2">
        <v>0</v>
      </c>
      <c r="Z172" s="2">
        <v>0</v>
      </c>
      <c r="AB172" s="5">
        <v>6</v>
      </c>
      <c r="AC172" s="112">
        <v>28</v>
      </c>
      <c r="AD172" s="46">
        <v>6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K172" s="6">
        <v>6</v>
      </c>
      <c r="AL172" s="112">
        <v>16</v>
      </c>
      <c r="AM172" s="46">
        <v>15</v>
      </c>
      <c r="AN172" s="46">
        <v>11</v>
      </c>
      <c r="AO172" s="46">
        <v>6</v>
      </c>
      <c r="AP172" s="12">
        <v>0</v>
      </c>
      <c r="AQ172" s="12">
        <v>0</v>
      </c>
      <c r="AR172" s="12">
        <v>0</v>
      </c>
      <c r="AS172" s="1"/>
      <c r="AT172" s="5">
        <v>4.5</v>
      </c>
      <c r="AU172" s="112">
        <v>34</v>
      </c>
      <c r="AV172" s="46">
        <v>16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C172" s="5">
        <v>1</v>
      </c>
      <c r="BD172" s="112">
        <v>48</v>
      </c>
      <c r="BE172" s="46">
        <v>2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</row>
    <row r="173" spans="1:62" x14ac:dyDescent="0.3">
      <c r="J173" s="43">
        <v>25</v>
      </c>
      <c r="K173" s="46">
        <v>9</v>
      </c>
      <c r="L173" s="46">
        <v>11</v>
      </c>
      <c r="M173" s="46">
        <v>7</v>
      </c>
      <c r="N173" s="12">
        <v>0</v>
      </c>
      <c r="O173" s="12">
        <v>0</v>
      </c>
      <c r="P173" s="12">
        <v>0</v>
      </c>
      <c r="Q173" s="12">
        <v>0</v>
      </c>
      <c r="S173" s="42">
        <v>25</v>
      </c>
      <c r="T173" s="46">
        <v>1</v>
      </c>
      <c r="U173" s="46">
        <v>5</v>
      </c>
      <c r="V173" s="46">
        <v>7</v>
      </c>
      <c r="W173" s="12">
        <v>0</v>
      </c>
      <c r="X173" s="51">
        <v>30</v>
      </c>
      <c r="Y173" s="2">
        <v>0</v>
      </c>
      <c r="Z173" s="2">
        <v>0</v>
      </c>
      <c r="AB173" s="5">
        <v>6.25</v>
      </c>
      <c r="AC173" s="112">
        <v>28</v>
      </c>
      <c r="AD173" s="46">
        <v>6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K173" s="6">
        <v>6.25</v>
      </c>
      <c r="AL173" s="112">
        <v>16</v>
      </c>
      <c r="AM173" s="46">
        <v>15</v>
      </c>
      <c r="AN173" s="46">
        <v>11</v>
      </c>
      <c r="AO173" s="46">
        <v>6</v>
      </c>
      <c r="AP173" s="12">
        <v>0</v>
      </c>
      <c r="AQ173" s="12">
        <v>0</v>
      </c>
      <c r="AR173" s="12">
        <v>0</v>
      </c>
      <c r="AS173" s="1"/>
      <c r="AT173" s="5">
        <v>4.6875</v>
      </c>
      <c r="AU173" s="112">
        <v>34</v>
      </c>
      <c r="AV173" s="46">
        <v>16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C173" s="5">
        <v>1.0416666666642413</v>
      </c>
      <c r="BD173" s="112">
        <v>48</v>
      </c>
      <c r="BE173" s="46">
        <v>2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</row>
    <row r="174" spans="1:62" x14ac:dyDescent="0.3">
      <c r="J174" s="43">
        <v>26</v>
      </c>
      <c r="K174" s="46">
        <v>9</v>
      </c>
      <c r="L174" s="46">
        <v>11</v>
      </c>
      <c r="M174" s="46">
        <v>7</v>
      </c>
      <c r="N174" s="12">
        <v>0</v>
      </c>
      <c r="O174" s="12">
        <v>0</v>
      </c>
      <c r="P174" s="12">
        <v>0</v>
      </c>
      <c r="Q174" s="12">
        <v>0</v>
      </c>
      <c r="S174" s="42">
        <v>26</v>
      </c>
      <c r="T174" s="46">
        <v>1</v>
      </c>
      <c r="U174" s="46">
        <v>5</v>
      </c>
      <c r="V174" s="46">
        <v>7</v>
      </c>
      <c r="W174" s="12">
        <v>0</v>
      </c>
      <c r="X174" s="51">
        <v>30</v>
      </c>
      <c r="Y174" s="2">
        <v>0</v>
      </c>
      <c r="Z174" s="2">
        <v>0</v>
      </c>
      <c r="AB174" s="5">
        <v>6.5</v>
      </c>
      <c r="AC174" s="112">
        <v>28</v>
      </c>
      <c r="AD174" s="46">
        <v>6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K174" s="6">
        <v>6.5</v>
      </c>
      <c r="AL174" s="112">
        <v>16</v>
      </c>
      <c r="AM174" s="46">
        <v>15</v>
      </c>
      <c r="AN174" s="46">
        <v>11</v>
      </c>
      <c r="AO174" s="46">
        <v>6</v>
      </c>
      <c r="AP174" s="12">
        <v>0</v>
      </c>
      <c r="AQ174" s="12">
        <v>0</v>
      </c>
      <c r="AR174" s="12">
        <v>0</v>
      </c>
      <c r="AS174" s="1"/>
      <c r="AT174" s="5">
        <v>4.875</v>
      </c>
      <c r="AU174" s="112">
        <v>34</v>
      </c>
      <c r="AV174" s="46">
        <v>16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C174" s="5">
        <v>1.0833333333357587</v>
      </c>
      <c r="BD174" s="112">
        <v>48</v>
      </c>
      <c r="BE174" s="46">
        <v>2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</row>
    <row r="175" spans="1:62" x14ac:dyDescent="0.3">
      <c r="J175" s="43">
        <v>27</v>
      </c>
      <c r="K175" s="46">
        <v>9</v>
      </c>
      <c r="L175" s="46">
        <v>11</v>
      </c>
      <c r="M175" s="46">
        <v>7</v>
      </c>
      <c r="N175" s="12">
        <v>0</v>
      </c>
      <c r="O175" s="12">
        <v>0</v>
      </c>
      <c r="P175" s="12">
        <v>0</v>
      </c>
      <c r="Q175" s="12">
        <v>0</v>
      </c>
      <c r="S175" s="42">
        <v>27</v>
      </c>
      <c r="T175" s="46">
        <v>1</v>
      </c>
      <c r="U175" s="46">
        <v>5</v>
      </c>
      <c r="V175" s="46">
        <v>7</v>
      </c>
      <c r="W175" s="12">
        <v>0</v>
      </c>
      <c r="X175" s="51">
        <v>32</v>
      </c>
      <c r="Y175" s="2">
        <v>0</v>
      </c>
      <c r="Z175" s="2">
        <v>0</v>
      </c>
      <c r="AB175" s="5">
        <v>6.75</v>
      </c>
      <c r="AC175" s="112">
        <v>28</v>
      </c>
      <c r="AD175" s="46">
        <v>6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K175" s="6">
        <v>6.75</v>
      </c>
      <c r="AL175" s="112">
        <v>16</v>
      </c>
      <c r="AM175" s="46">
        <v>15</v>
      </c>
      <c r="AN175" s="46">
        <v>11</v>
      </c>
      <c r="AO175" s="46">
        <v>6</v>
      </c>
      <c r="AP175" s="12">
        <v>0</v>
      </c>
      <c r="AQ175" s="12">
        <v>0</v>
      </c>
      <c r="AR175" s="12">
        <v>0</v>
      </c>
      <c r="AS175" s="1"/>
      <c r="AT175" s="5">
        <v>5.0625</v>
      </c>
      <c r="AU175" s="112">
        <v>34</v>
      </c>
      <c r="AV175" s="46">
        <v>16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C175" s="5">
        <v>1.125</v>
      </c>
      <c r="BD175" s="112">
        <v>48</v>
      </c>
      <c r="BE175" s="46">
        <v>2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</row>
    <row r="176" spans="1:62" x14ac:dyDescent="0.3">
      <c r="J176" s="43">
        <v>28</v>
      </c>
      <c r="K176" s="46">
        <v>9</v>
      </c>
      <c r="L176" s="46">
        <v>11</v>
      </c>
      <c r="M176" s="46">
        <v>7</v>
      </c>
      <c r="N176" s="12">
        <v>0</v>
      </c>
      <c r="O176" s="12">
        <v>0</v>
      </c>
      <c r="P176" s="12">
        <v>0</v>
      </c>
      <c r="Q176" s="12">
        <v>0</v>
      </c>
      <c r="S176" s="42">
        <v>28</v>
      </c>
      <c r="T176" s="46">
        <v>1</v>
      </c>
      <c r="U176" s="46">
        <v>5</v>
      </c>
      <c r="V176" s="46">
        <v>7</v>
      </c>
      <c r="W176" s="12">
        <v>0</v>
      </c>
      <c r="X176" s="51">
        <v>37</v>
      </c>
      <c r="Y176" s="2">
        <v>0</v>
      </c>
      <c r="Z176" s="2">
        <v>0</v>
      </c>
      <c r="AB176" s="5">
        <v>7</v>
      </c>
      <c r="AC176" s="112">
        <v>28</v>
      </c>
      <c r="AD176" s="46">
        <v>6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K176" s="6">
        <v>7</v>
      </c>
      <c r="AL176" s="112">
        <v>16</v>
      </c>
      <c r="AM176" s="46">
        <v>15</v>
      </c>
      <c r="AN176" s="46">
        <v>11</v>
      </c>
      <c r="AO176" s="46">
        <v>6</v>
      </c>
      <c r="AP176" s="12">
        <v>0</v>
      </c>
      <c r="AQ176" s="12">
        <v>0</v>
      </c>
      <c r="AR176" s="12">
        <v>0</v>
      </c>
      <c r="AS176" s="1"/>
      <c r="AT176" s="5">
        <v>5.25</v>
      </c>
      <c r="AU176" s="112">
        <v>34</v>
      </c>
      <c r="AV176" s="46">
        <v>16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C176" s="5">
        <v>1.1666666666642413</v>
      </c>
      <c r="BD176" s="112">
        <v>48</v>
      </c>
      <c r="BE176" s="46">
        <v>2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</row>
    <row r="177" spans="10:62" x14ac:dyDescent="0.3">
      <c r="J177" s="43">
        <v>29</v>
      </c>
      <c r="K177" s="46">
        <v>9</v>
      </c>
      <c r="L177" s="46">
        <v>11</v>
      </c>
      <c r="M177" s="46">
        <v>7</v>
      </c>
      <c r="N177" s="12">
        <v>0</v>
      </c>
      <c r="O177" s="12">
        <v>0</v>
      </c>
      <c r="P177" s="12">
        <v>0</v>
      </c>
      <c r="Q177" s="12">
        <v>0</v>
      </c>
      <c r="S177" s="42">
        <v>29</v>
      </c>
      <c r="T177" s="46">
        <v>1</v>
      </c>
      <c r="U177" s="46">
        <v>5</v>
      </c>
      <c r="V177" s="46">
        <v>7</v>
      </c>
      <c r="W177" s="12">
        <v>0</v>
      </c>
      <c r="X177" s="51">
        <v>37</v>
      </c>
      <c r="Y177" s="2">
        <v>0</v>
      </c>
      <c r="Z177" s="2">
        <v>0</v>
      </c>
      <c r="AB177" s="5">
        <v>7.25</v>
      </c>
      <c r="AC177" s="112">
        <v>28</v>
      </c>
      <c r="AD177" s="46">
        <v>6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K177" s="6">
        <v>7.25</v>
      </c>
      <c r="AL177" s="112">
        <v>16</v>
      </c>
      <c r="AM177" s="46">
        <v>15</v>
      </c>
      <c r="AN177" s="46">
        <v>11</v>
      </c>
      <c r="AO177" s="46">
        <v>6</v>
      </c>
      <c r="AP177" s="12">
        <v>0</v>
      </c>
      <c r="AQ177" s="12">
        <v>0</v>
      </c>
      <c r="AR177" s="12">
        <v>0</v>
      </c>
      <c r="AS177" s="1"/>
      <c r="AT177" s="5">
        <v>5.4375</v>
      </c>
      <c r="AU177" s="112">
        <v>34</v>
      </c>
      <c r="AV177" s="46">
        <v>16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C177" s="5">
        <v>1.2083333333357587</v>
      </c>
      <c r="BD177" s="112">
        <v>48</v>
      </c>
      <c r="BE177" s="46">
        <v>2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</row>
    <row r="178" spans="10:62" x14ac:dyDescent="0.3">
      <c r="J178" s="43">
        <v>30</v>
      </c>
      <c r="K178" s="46">
        <v>9</v>
      </c>
      <c r="L178" s="46">
        <v>11</v>
      </c>
      <c r="M178" s="46">
        <v>7</v>
      </c>
      <c r="N178" s="12">
        <v>0</v>
      </c>
      <c r="O178" s="12">
        <v>0</v>
      </c>
      <c r="P178" s="12">
        <v>0</v>
      </c>
      <c r="Q178" s="12">
        <v>0</v>
      </c>
      <c r="AB178" s="5">
        <v>7.5</v>
      </c>
      <c r="AC178" s="112">
        <v>28</v>
      </c>
      <c r="AD178" s="46">
        <v>6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K178" s="6">
        <v>7.5</v>
      </c>
      <c r="AL178" s="112">
        <v>16</v>
      </c>
      <c r="AM178" s="46">
        <v>15</v>
      </c>
      <c r="AN178" s="46">
        <v>11</v>
      </c>
      <c r="AO178" s="46">
        <v>6</v>
      </c>
      <c r="AP178" s="12">
        <v>0</v>
      </c>
      <c r="AQ178" s="12">
        <v>0</v>
      </c>
      <c r="AR178" s="12">
        <v>0</v>
      </c>
      <c r="AS178" s="1"/>
      <c r="AT178" s="5">
        <v>5.625</v>
      </c>
      <c r="AU178" s="112">
        <v>34</v>
      </c>
      <c r="AV178" s="46">
        <v>16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C178" s="5">
        <v>1.25</v>
      </c>
      <c r="BD178" s="112">
        <v>48</v>
      </c>
      <c r="BE178" s="46">
        <v>2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</row>
    <row r="179" spans="10:62" x14ac:dyDescent="0.3">
      <c r="J179" s="43">
        <v>31</v>
      </c>
      <c r="K179" s="46">
        <v>9</v>
      </c>
      <c r="L179" s="46">
        <v>11</v>
      </c>
      <c r="M179" s="46">
        <v>7</v>
      </c>
      <c r="N179" s="12">
        <v>0</v>
      </c>
      <c r="O179" s="12">
        <v>0</v>
      </c>
      <c r="P179" s="12">
        <v>0</v>
      </c>
      <c r="Q179" s="12">
        <v>0</v>
      </c>
      <c r="AB179" s="5">
        <v>7.75</v>
      </c>
      <c r="AC179" s="112">
        <v>28</v>
      </c>
      <c r="AD179" s="46">
        <v>6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K179" s="6">
        <v>7.75</v>
      </c>
      <c r="AL179" s="112">
        <v>16</v>
      </c>
      <c r="AM179" s="46">
        <v>15</v>
      </c>
      <c r="AN179" s="46">
        <v>11</v>
      </c>
      <c r="AO179" s="46">
        <v>6</v>
      </c>
      <c r="AP179" s="12">
        <v>0</v>
      </c>
      <c r="AQ179" s="12">
        <v>0</v>
      </c>
      <c r="AR179" s="12">
        <v>0</v>
      </c>
      <c r="AS179" s="1"/>
      <c r="AT179" s="5">
        <v>5.8125</v>
      </c>
      <c r="AU179" s="112">
        <v>34</v>
      </c>
      <c r="AV179" s="46">
        <v>16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C179" s="5">
        <v>1.2916666666642413</v>
      </c>
      <c r="BD179" s="112">
        <v>48</v>
      </c>
      <c r="BE179" s="46">
        <v>2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</row>
    <row r="180" spans="10:62" x14ac:dyDescent="0.3">
      <c r="J180" s="43">
        <v>32</v>
      </c>
      <c r="K180" s="46">
        <v>9</v>
      </c>
      <c r="L180" s="46">
        <v>11</v>
      </c>
      <c r="M180" s="46">
        <v>7</v>
      </c>
      <c r="N180" s="12">
        <v>0</v>
      </c>
      <c r="O180" s="12">
        <v>0</v>
      </c>
      <c r="P180" s="12">
        <v>0</v>
      </c>
      <c r="Q180" s="12">
        <v>0</v>
      </c>
      <c r="AB180" s="5">
        <v>8</v>
      </c>
      <c r="AC180" s="112">
        <v>28</v>
      </c>
      <c r="AD180" s="46">
        <v>6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K180" s="6">
        <v>8</v>
      </c>
      <c r="AL180" s="112">
        <v>16</v>
      </c>
      <c r="AM180" s="46">
        <v>15</v>
      </c>
      <c r="AN180" s="46">
        <v>11</v>
      </c>
      <c r="AO180" s="46">
        <v>6</v>
      </c>
      <c r="AP180" s="12">
        <v>0</v>
      </c>
      <c r="AQ180" s="12">
        <v>0</v>
      </c>
      <c r="AR180" s="12">
        <v>0</v>
      </c>
      <c r="AS180" s="1"/>
      <c r="AT180" s="5">
        <v>6</v>
      </c>
      <c r="AU180" s="112">
        <v>34</v>
      </c>
      <c r="AV180" s="46">
        <v>16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C180" s="5">
        <v>1.3333333333357587</v>
      </c>
      <c r="BD180" s="112">
        <v>48</v>
      </c>
      <c r="BE180" s="46">
        <v>2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</row>
    <row r="181" spans="10:62" x14ac:dyDescent="0.3">
      <c r="J181" s="43">
        <v>33</v>
      </c>
      <c r="K181" s="46">
        <v>9</v>
      </c>
      <c r="L181" s="46">
        <v>11</v>
      </c>
      <c r="M181" s="46">
        <v>7</v>
      </c>
      <c r="N181" s="12">
        <v>0</v>
      </c>
      <c r="O181" s="12">
        <v>0</v>
      </c>
      <c r="P181" s="12">
        <v>0</v>
      </c>
      <c r="Q181" s="12">
        <v>0</v>
      </c>
      <c r="AB181" s="5">
        <v>8.25</v>
      </c>
      <c r="AC181" s="112">
        <v>28</v>
      </c>
      <c r="AD181" s="46">
        <v>6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K181" s="6">
        <v>8.25</v>
      </c>
      <c r="AL181" s="112">
        <v>16</v>
      </c>
      <c r="AM181" s="46">
        <v>15</v>
      </c>
      <c r="AN181" s="46">
        <v>11</v>
      </c>
      <c r="AO181" s="46">
        <v>6</v>
      </c>
      <c r="AP181" s="46">
        <v>2</v>
      </c>
      <c r="AQ181" s="12">
        <v>0</v>
      </c>
      <c r="AR181" s="12">
        <v>0</v>
      </c>
      <c r="AS181" s="1"/>
      <c r="AT181" s="5">
        <v>6.1875</v>
      </c>
      <c r="AU181" s="112">
        <v>34</v>
      </c>
      <c r="AV181" s="46">
        <v>16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C181" s="5">
        <v>1.375</v>
      </c>
      <c r="BD181" s="112">
        <v>48</v>
      </c>
      <c r="BE181" s="46">
        <v>2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</row>
    <row r="182" spans="10:62" x14ac:dyDescent="0.3">
      <c r="J182" s="43">
        <v>34</v>
      </c>
      <c r="K182" s="46">
        <v>9</v>
      </c>
      <c r="L182" s="46">
        <v>11</v>
      </c>
      <c r="M182" s="46">
        <v>7</v>
      </c>
      <c r="N182" s="12">
        <v>0</v>
      </c>
      <c r="O182" s="12">
        <v>0</v>
      </c>
      <c r="P182" s="12">
        <v>0</v>
      </c>
      <c r="Q182" s="12">
        <v>0</v>
      </c>
      <c r="AB182" s="5">
        <v>8.5</v>
      </c>
      <c r="AC182" s="112">
        <v>28</v>
      </c>
      <c r="AD182" s="46">
        <v>6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K182" s="6">
        <v>8.5</v>
      </c>
      <c r="AL182" s="112">
        <v>16</v>
      </c>
      <c r="AM182" s="46">
        <v>15</v>
      </c>
      <c r="AN182" s="46">
        <v>11</v>
      </c>
      <c r="AO182" s="46">
        <v>6</v>
      </c>
      <c r="AP182" s="46">
        <v>2</v>
      </c>
      <c r="AQ182" s="12">
        <v>0</v>
      </c>
      <c r="AR182" s="12">
        <v>0</v>
      </c>
      <c r="AT182" s="5">
        <v>6.375</v>
      </c>
      <c r="AU182" s="112">
        <v>34</v>
      </c>
      <c r="AV182" s="46">
        <v>16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C182" s="5">
        <v>1.4166666666642413</v>
      </c>
      <c r="BD182" s="112">
        <v>48</v>
      </c>
      <c r="BE182" s="46">
        <v>2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</row>
    <row r="183" spans="10:62" x14ac:dyDescent="0.3">
      <c r="J183" s="43">
        <v>35</v>
      </c>
      <c r="K183" s="46">
        <v>9</v>
      </c>
      <c r="L183" s="46">
        <v>11</v>
      </c>
      <c r="M183" s="46">
        <v>7</v>
      </c>
      <c r="N183" s="12">
        <v>0</v>
      </c>
      <c r="O183" s="12">
        <v>0</v>
      </c>
      <c r="P183" s="12">
        <v>0</v>
      </c>
      <c r="Q183" s="12">
        <v>0</v>
      </c>
      <c r="AB183" s="5">
        <v>8.75</v>
      </c>
      <c r="AC183" s="112">
        <v>28</v>
      </c>
      <c r="AD183" s="46">
        <v>6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K183" s="5"/>
      <c r="AT183" s="5">
        <v>7.5625</v>
      </c>
      <c r="AU183" s="112">
        <v>34</v>
      </c>
      <c r="AV183" s="46">
        <v>16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C183" s="5">
        <v>1.4583333333357587</v>
      </c>
      <c r="BD183" s="112">
        <v>48</v>
      </c>
      <c r="BE183" s="46">
        <v>2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</row>
    <row r="184" spans="10:62" x14ac:dyDescent="0.3">
      <c r="J184" s="43">
        <v>36</v>
      </c>
      <c r="K184" s="46">
        <v>9</v>
      </c>
      <c r="L184" s="46">
        <v>11</v>
      </c>
      <c r="M184" s="46">
        <v>7</v>
      </c>
      <c r="N184" s="12">
        <v>0</v>
      </c>
      <c r="O184" s="12">
        <v>0</v>
      </c>
      <c r="P184" s="12">
        <v>0</v>
      </c>
      <c r="Q184" s="12">
        <v>0</v>
      </c>
      <c r="AB184" s="5">
        <v>9</v>
      </c>
      <c r="AC184" s="112">
        <v>28</v>
      </c>
      <c r="AD184" s="46">
        <v>6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K184" s="5"/>
      <c r="AT184" s="5">
        <v>8.75</v>
      </c>
      <c r="AU184" s="112">
        <v>34</v>
      </c>
      <c r="AV184" s="46">
        <v>16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C184" s="5">
        <v>1.5</v>
      </c>
      <c r="BD184" s="112">
        <v>48</v>
      </c>
      <c r="BE184" s="46">
        <v>2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</row>
    <row r="185" spans="10:62" x14ac:dyDescent="0.3">
      <c r="J185" s="43">
        <v>37</v>
      </c>
      <c r="K185" s="46">
        <v>9</v>
      </c>
      <c r="L185" s="46">
        <v>11</v>
      </c>
      <c r="M185" s="46">
        <v>7</v>
      </c>
      <c r="N185" s="12">
        <v>0</v>
      </c>
      <c r="O185" s="12">
        <v>0</v>
      </c>
      <c r="P185" s="12">
        <v>0</v>
      </c>
      <c r="Q185" s="12">
        <v>0</v>
      </c>
      <c r="AB185" s="5">
        <v>9.25</v>
      </c>
      <c r="AC185" s="112">
        <v>28</v>
      </c>
      <c r="AD185" s="46">
        <v>6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K185" s="5"/>
      <c r="AT185" s="5">
        <v>8.9375</v>
      </c>
      <c r="AU185" s="112">
        <v>34</v>
      </c>
      <c r="AV185" s="46">
        <v>16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C185" s="5">
        <v>1.5416666666642413</v>
      </c>
      <c r="BD185" s="112">
        <v>48</v>
      </c>
      <c r="BE185" s="46">
        <v>2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</row>
    <row r="186" spans="10:62" x14ac:dyDescent="0.3">
      <c r="J186" s="43">
        <v>38</v>
      </c>
      <c r="K186" s="46">
        <v>9</v>
      </c>
      <c r="L186" s="46">
        <v>11</v>
      </c>
      <c r="M186" s="46">
        <v>7</v>
      </c>
      <c r="N186" s="12">
        <v>0</v>
      </c>
      <c r="O186" s="12">
        <v>0</v>
      </c>
      <c r="P186" s="12">
        <v>0</v>
      </c>
      <c r="Q186" s="12">
        <v>0</v>
      </c>
      <c r="AB186" s="5">
        <v>9.5</v>
      </c>
      <c r="AC186" s="112">
        <v>28</v>
      </c>
      <c r="AD186" s="46">
        <v>6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K186" s="5"/>
      <c r="AT186" s="5">
        <v>9.125</v>
      </c>
      <c r="AU186" s="112">
        <v>34</v>
      </c>
      <c r="AV186" s="46">
        <v>16</v>
      </c>
      <c r="AW186" s="12">
        <f t="shared" ref="AW149:AW186" ca="1" si="0">COUNTIF($G186:$BD186, "L2_D")</f>
        <v>0</v>
      </c>
      <c r="AX186" s="12">
        <f t="shared" ref="AX149:AX186" ca="1" si="1">COUNTIF($G186:$BD186, "L3_D")</f>
        <v>0</v>
      </c>
      <c r="AY186" s="12">
        <f t="shared" ref="AY149:BA186" ca="1" si="2">COUNTIF($G186:$BD186, "P_D")</f>
        <v>0</v>
      </c>
      <c r="AZ186" s="12">
        <f t="shared" ca="1" si="2"/>
        <v>0</v>
      </c>
      <c r="BA186" s="12">
        <f t="shared" ca="1" si="2"/>
        <v>0</v>
      </c>
      <c r="BC186" s="5">
        <v>1.5833333333357587</v>
      </c>
      <c r="BD186" s="112">
        <v>48</v>
      </c>
      <c r="BE186" s="46">
        <v>2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</row>
    <row r="187" spans="10:62" x14ac:dyDescent="0.3">
      <c r="J187" s="43">
        <v>39</v>
      </c>
      <c r="K187" s="46">
        <v>9</v>
      </c>
      <c r="L187" s="46">
        <v>11</v>
      </c>
      <c r="M187" s="46">
        <v>7</v>
      </c>
      <c r="N187" s="12">
        <v>0</v>
      </c>
      <c r="O187" s="12">
        <v>0</v>
      </c>
      <c r="P187" s="12">
        <v>0</v>
      </c>
      <c r="Q187" s="12">
        <v>0</v>
      </c>
      <c r="AB187" s="5">
        <v>9.75</v>
      </c>
      <c r="AC187" s="112">
        <v>28</v>
      </c>
      <c r="AD187" s="46">
        <v>6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K187" s="5"/>
      <c r="BC187" s="5">
        <v>1.625</v>
      </c>
      <c r="BD187" s="112">
        <v>48</v>
      </c>
      <c r="BE187" s="46">
        <v>2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</row>
    <row r="188" spans="10:62" x14ac:dyDescent="0.3">
      <c r="J188" s="43">
        <v>40</v>
      </c>
      <c r="K188" s="46">
        <v>9</v>
      </c>
      <c r="L188" s="46">
        <v>11</v>
      </c>
      <c r="M188" s="46">
        <v>7</v>
      </c>
      <c r="N188" s="12">
        <v>0</v>
      </c>
      <c r="O188" s="12">
        <v>0</v>
      </c>
      <c r="P188" s="12">
        <v>0</v>
      </c>
      <c r="Q188" s="12">
        <v>0</v>
      </c>
      <c r="AB188" s="5">
        <v>10</v>
      </c>
      <c r="AC188" s="112">
        <v>28</v>
      </c>
      <c r="AD188" s="46">
        <v>6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BC188" s="5">
        <v>1.6666666666642413</v>
      </c>
      <c r="BD188" s="112">
        <v>48</v>
      </c>
      <c r="BE188" s="46">
        <v>2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</row>
    <row r="189" spans="10:62" x14ac:dyDescent="0.3">
      <c r="J189" s="43">
        <v>41</v>
      </c>
      <c r="K189" s="46">
        <v>9</v>
      </c>
      <c r="L189" s="46">
        <v>11</v>
      </c>
      <c r="M189" s="46">
        <v>7</v>
      </c>
      <c r="N189" s="12">
        <v>0</v>
      </c>
      <c r="O189" s="46">
        <v>1</v>
      </c>
      <c r="P189" s="12">
        <v>0</v>
      </c>
      <c r="Q189" s="12">
        <v>0</v>
      </c>
      <c r="AB189" s="5">
        <v>10.25</v>
      </c>
      <c r="AC189" s="112">
        <v>28</v>
      </c>
      <c r="AD189" s="46">
        <v>6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BC189" s="5">
        <v>1.7083333333357587</v>
      </c>
      <c r="BD189" s="112">
        <v>48</v>
      </c>
      <c r="BE189" s="46">
        <v>2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</row>
    <row r="190" spans="10:62" x14ac:dyDescent="0.3">
      <c r="J190" s="43">
        <v>42</v>
      </c>
      <c r="K190" s="46">
        <v>9</v>
      </c>
      <c r="L190" s="46">
        <v>11</v>
      </c>
      <c r="M190" s="46">
        <v>7</v>
      </c>
      <c r="N190" s="12">
        <v>0</v>
      </c>
      <c r="O190" s="46">
        <v>1</v>
      </c>
      <c r="P190" s="12">
        <v>0</v>
      </c>
      <c r="Q190" s="12">
        <v>0</v>
      </c>
      <c r="AB190" s="5">
        <v>10.5</v>
      </c>
      <c r="AC190" s="112">
        <v>28</v>
      </c>
      <c r="AD190" s="46">
        <v>6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BC190" s="5">
        <v>1.75</v>
      </c>
      <c r="BD190" s="112">
        <v>48</v>
      </c>
      <c r="BE190" s="46">
        <v>2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</row>
    <row r="191" spans="10:62" x14ac:dyDescent="0.3">
      <c r="J191" s="43">
        <v>43</v>
      </c>
      <c r="K191" s="46">
        <v>9</v>
      </c>
      <c r="L191" s="46">
        <v>11</v>
      </c>
      <c r="M191" s="46">
        <v>7</v>
      </c>
      <c r="N191" s="12">
        <v>0</v>
      </c>
      <c r="O191" s="46">
        <v>1</v>
      </c>
      <c r="P191" s="12">
        <v>0</v>
      </c>
      <c r="Q191" s="12">
        <v>0</v>
      </c>
      <c r="AB191" s="5">
        <v>10.75</v>
      </c>
      <c r="AC191" s="112">
        <v>28</v>
      </c>
      <c r="AD191" s="46">
        <v>6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BC191" s="5">
        <v>1.7916666666642413</v>
      </c>
      <c r="BD191" s="112">
        <v>48</v>
      </c>
      <c r="BE191" s="46">
        <v>2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</row>
    <row r="192" spans="10:62" x14ac:dyDescent="0.3">
      <c r="J192" s="43">
        <v>44</v>
      </c>
      <c r="K192" s="46">
        <v>9</v>
      </c>
      <c r="L192" s="46">
        <v>11</v>
      </c>
      <c r="M192" s="46">
        <v>7</v>
      </c>
      <c r="N192" s="12">
        <v>0</v>
      </c>
      <c r="O192" s="46">
        <v>1</v>
      </c>
      <c r="P192" s="12">
        <v>0</v>
      </c>
      <c r="Q192" s="12">
        <v>0</v>
      </c>
      <c r="AB192" s="5">
        <v>11</v>
      </c>
      <c r="AC192" s="112">
        <v>28</v>
      </c>
      <c r="AD192" s="46">
        <v>6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BC192" s="5">
        <v>1.8333333333357587</v>
      </c>
      <c r="BD192" s="112">
        <v>48</v>
      </c>
      <c r="BE192" s="46">
        <v>2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</row>
    <row r="193" spans="10:62" x14ac:dyDescent="0.3">
      <c r="J193" s="43">
        <v>45</v>
      </c>
      <c r="K193" s="46">
        <v>9</v>
      </c>
      <c r="L193" s="46">
        <v>11</v>
      </c>
      <c r="M193" s="46">
        <v>7</v>
      </c>
      <c r="N193" s="12">
        <v>0</v>
      </c>
      <c r="O193" s="46">
        <v>1</v>
      </c>
      <c r="P193" s="12">
        <v>0</v>
      </c>
      <c r="Q193" s="12">
        <v>0</v>
      </c>
      <c r="AB193" s="5">
        <v>11.25</v>
      </c>
      <c r="AC193" s="112">
        <v>28</v>
      </c>
      <c r="AD193" s="46">
        <v>6</v>
      </c>
      <c r="AE193" s="12">
        <v>0</v>
      </c>
      <c r="AF193" s="12">
        <v>0</v>
      </c>
      <c r="AG193" s="12">
        <v>0</v>
      </c>
      <c r="AH193" s="46">
        <v>1</v>
      </c>
      <c r="AI193" s="12">
        <v>0</v>
      </c>
      <c r="BC193" s="5">
        <v>1.875</v>
      </c>
      <c r="BD193" s="112">
        <v>48</v>
      </c>
      <c r="BE193" s="46">
        <v>2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</row>
    <row r="194" spans="10:62" x14ac:dyDescent="0.3">
      <c r="J194" s="43">
        <v>46</v>
      </c>
      <c r="K194" s="46">
        <v>9</v>
      </c>
      <c r="L194" s="46">
        <v>11</v>
      </c>
      <c r="M194" s="46">
        <v>7</v>
      </c>
      <c r="N194" s="12">
        <v>0</v>
      </c>
      <c r="O194" s="46">
        <v>1</v>
      </c>
      <c r="P194" s="12">
        <v>0</v>
      </c>
      <c r="Q194" s="12">
        <v>0</v>
      </c>
      <c r="AB194" s="5">
        <v>11.5</v>
      </c>
      <c r="AC194" s="112">
        <v>28</v>
      </c>
      <c r="AD194" s="46">
        <v>6</v>
      </c>
      <c r="AE194" s="12">
        <v>0</v>
      </c>
      <c r="AF194" s="12">
        <v>0</v>
      </c>
      <c r="AG194" s="12">
        <v>0</v>
      </c>
      <c r="AH194" s="46">
        <v>1</v>
      </c>
      <c r="AI194" s="12">
        <v>0</v>
      </c>
    </row>
    <row r="195" spans="10:62" x14ac:dyDescent="0.3">
      <c r="J195" s="43">
        <v>47</v>
      </c>
      <c r="K195" s="46">
        <v>9</v>
      </c>
      <c r="L195" s="46">
        <v>11</v>
      </c>
      <c r="M195" s="46">
        <v>7</v>
      </c>
      <c r="N195" s="12">
        <v>0</v>
      </c>
      <c r="O195" s="46">
        <v>1</v>
      </c>
      <c r="P195" s="12">
        <v>0</v>
      </c>
      <c r="Q195" s="12">
        <v>0</v>
      </c>
      <c r="AB195" s="5">
        <v>11.75</v>
      </c>
      <c r="AC195" s="112">
        <v>28</v>
      </c>
      <c r="AD195" s="46">
        <v>6</v>
      </c>
      <c r="AE195" s="12">
        <v>0</v>
      </c>
      <c r="AF195" s="12">
        <v>0</v>
      </c>
      <c r="AG195" s="12">
        <v>0</v>
      </c>
      <c r="AH195" s="46">
        <v>1</v>
      </c>
      <c r="AI195" s="12">
        <v>0</v>
      </c>
    </row>
    <row r="196" spans="10:62" x14ac:dyDescent="0.3">
      <c r="J196" s="43">
        <v>48</v>
      </c>
      <c r="K196" s="46">
        <v>9</v>
      </c>
      <c r="L196" s="46">
        <v>11</v>
      </c>
      <c r="M196" s="46">
        <v>7</v>
      </c>
      <c r="N196" s="12">
        <v>0</v>
      </c>
      <c r="O196" s="46">
        <v>4</v>
      </c>
      <c r="P196" s="12">
        <v>0</v>
      </c>
      <c r="Q196" s="12">
        <v>0</v>
      </c>
      <c r="AB196" s="5">
        <v>12</v>
      </c>
      <c r="AC196" s="112">
        <v>28</v>
      </c>
      <c r="AD196" s="46">
        <v>6</v>
      </c>
      <c r="AE196" s="12">
        <v>0</v>
      </c>
      <c r="AF196" s="12">
        <v>0</v>
      </c>
      <c r="AG196" s="12">
        <v>0</v>
      </c>
      <c r="AH196" s="46">
        <v>2</v>
      </c>
      <c r="AI196" s="46">
        <v>1</v>
      </c>
    </row>
    <row r="197" spans="10:62" x14ac:dyDescent="0.3">
      <c r="J197" s="43">
        <v>49</v>
      </c>
      <c r="K197" s="46">
        <v>9</v>
      </c>
      <c r="L197" s="46">
        <v>11</v>
      </c>
      <c r="M197" s="46">
        <v>7</v>
      </c>
      <c r="N197" s="12">
        <v>0</v>
      </c>
      <c r="O197" s="46">
        <v>9</v>
      </c>
      <c r="P197" s="12">
        <v>0</v>
      </c>
      <c r="Q197" s="12">
        <v>0</v>
      </c>
      <c r="AB197" s="5">
        <v>12.25</v>
      </c>
      <c r="AC197" s="112">
        <v>28</v>
      </c>
      <c r="AD197" s="46">
        <v>6</v>
      </c>
      <c r="AE197" s="12">
        <v>0</v>
      </c>
      <c r="AF197" s="12">
        <v>0</v>
      </c>
      <c r="AG197" s="12">
        <v>0</v>
      </c>
      <c r="AH197" s="46">
        <v>2</v>
      </c>
      <c r="AI197" s="46">
        <v>2</v>
      </c>
    </row>
    <row r="198" spans="10:62" x14ac:dyDescent="0.3">
      <c r="J198" s="43">
        <v>50</v>
      </c>
      <c r="K198" s="46">
        <v>9</v>
      </c>
      <c r="L198" s="46">
        <v>11</v>
      </c>
      <c r="M198" s="46">
        <v>7</v>
      </c>
      <c r="N198" s="12">
        <v>0</v>
      </c>
      <c r="O198" s="46">
        <v>11</v>
      </c>
      <c r="P198" s="12">
        <v>0</v>
      </c>
      <c r="Q198" s="12">
        <v>0</v>
      </c>
      <c r="AB198" s="5">
        <v>12.5</v>
      </c>
      <c r="AC198" s="112">
        <v>28</v>
      </c>
      <c r="AD198" s="46">
        <v>6</v>
      </c>
      <c r="AE198" s="12">
        <v>0</v>
      </c>
      <c r="AF198" s="12">
        <v>0</v>
      </c>
      <c r="AG198" s="12">
        <v>0</v>
      </c>
      <c r="AH198" s="46">
        <v>2</v>
      </c>
      <c r="AI198" s="46">
        <v>2</v>
      </c>
    </row>
    <row r="199" spans="10:62" x14ac:dyDescent="0.3">
      <c r="J199" s="43">
        <v>51</v>
      </c>
      <c r="K199" s="46">
        <v>9</v>
      </c>
      <c r="L199" s="46">
        <v>11</v>
      </c>
      <c r="M199" s="46">
        <v>7</v>
      </c>
      <c r="N199" s="12">
        <v>0</v>
      </c>
      <c r="O199" s="46">
        <v>13</v>
      </c>
      <c r="P199" s="12">
        <v>0</v>
      </c>
      <c r="Q199" s="12">
        <v>0</v>
      </c>
      <c r="AB199" s="5">
        <v>12.75</v>
      </c>
      <c r="AC199" s="112">
        <v>28</v>
      </c>
      <c r="AD199" s="46">
        <v>6</v>
      </c>
      <c r="AE199" s="12">
        <v>0</v>
      </c>
      <c r="AF199" s="12">
        <v>0</v>
      </c>
      <c r="AG199" s="12">
        <v>0</v>
      </c>
      <c r="AH199" s="46">
        <v>3</v>
      </c>
      <c r="AI199" s="46">
        <v>2</v>
      </c>
    </row>
    <row r="200" spans="10:62" x14ac:dyDescent="0.3">
      <c r="J200" s="43">
        <v>52</v>
      </c>
      <c r="K200" s="46">
        <v>9</v>
      </c>
      <c r="L200" s="46">
        <v>11</v>
      </c>
      <c r="M200" s="46">
        <v>7</v>
      </c>
      <c r="N200" s="12">
        <v>0</v>
      </c>
      <c r="O200" s="46">
        <v>11</v>
      </c>
      <c r="P200" s="12">
        <v>0</v>
      </c>
      <c r="Q200" s="12">
        <v>0</v>
      </c>
      <c r="AB200" s="5">
        <v>13</v>
      </c>
      <c r="AC200" s="112">
        <v>28</v>
      </c>
      <c r="AD200" s="46">
        <v>6</v>
      </c>
      <c r="AE200" s="12">
        <v>0</v>
      </c>
      <c r="AF200" s="12">
        <v>0</v>
      </c>
      <c r="AG200" s="12">
        <v>0</v>
      </c>
      <c r="AH200" s="46">
        <v>3</v>
      </c>
      <c r="AI200" s="46">
        <v>2</v>
      </c>
    </row>
    <row r="201" spans="10:62" x14ac:dyDescent="0.3">
      <c r="J201" s="43">
        <v>53</v>
      </c>
      <c r="K201" s="46">
        <v>9</v>
      </c>
      <c r="L201" s="46">
        <v>11</v>
      </c>
      <c r="M201" s="46">
        <v>7</v>
      </c>
      <c r="N201" s="12">
        <v>0</v>
      </c>
      <c r="O201" s="46">
        <v>11</v>
      </c>
      <c r="P201" s="12">
        <v>0</v>
      </c>
      <c r="Q201" s="12">
        <v>0</v>
      </c>
      <c r="AB201" s="5">
        <v>13.25</v>
      </c>
      <c r="AC201" s="112">
        <v>28</v>
      </c>
      <c r="AD201" s="46">
        <v>6</v>
      </c>
      <c r="AE201" s="12">
        <v>0</v>
      </c>
      <c r="AF201" s="12">
        <v>0</v>
      </c>
      <c r="AG201" s="12">
        <v>0</v>
      </c>
      <c r="AH201" s="46">
        <v>3</v>
      </c>
      <c r="AI201" s="46">
        <v>2</v>
      </c>
    </row>
    <row r="202" spans="10:62" x14ac:dyDescent="0.3">
      <c r="J202" s="43">
        <v>54</v>
      </c>
      <c r="K202" s="46">
        <v>9</v>
      </c>
      <c r="L202" s="46">
        <v>11</v>
      </c>
      <c r="M202" s="46">
        <v>7</v>
      </c>
      <c r="N202" s="12">
        <v>0</v>
      </c>
      <c r="O202" s="46">
        <v>11</v>
      </c>
      <c r="P202" s="12">
        <v>0</v>
      </c>
      <c r="Q202" s="12">
        <v>0</v>
      </c>
      <c r="AB202" s="5">
        <v>13.5</v>
      </c>
      <c r="AC202" s="112">
        <v>28</v>
      </c>
      <c r="AD202" s="46">
        <v>6</v>
      </c>
      <c r="AE202" s="12">
        <v>0</v>
      </c>
      <c r="AF202" s="12">
        <v>0</v>
      </c>
      <c r="AG202" s="12">
        <v>0</v>
      </c>
      <c r="AH202" s="46">
        <v>4</v>
      </c>
      <c r="AI202" s="46">
        <v>2</v>
      </c>
    </row>
    <row r="203" spans="10:62" x14ac:dyDescent="0.3">
      <c r="J203" s="43">
        <v>55</v>
      </c>
      <c r="K203" s="46">
        <v>9</v>
      </c>
      <c r="L203" s="46">
        <v>11</v>
      </c>
      <c r="M203" s="46">
        <v>7</v>
      </c>
      <c r="N203" s="12">
        <v>0</v>
      </c>
      <c r="O203" s="46">
        <v>11</v>
      </c>
      <c r="P203" s="12">
        <v>0</v>
      </c>
      <c r="Q203" s="12">
        <v>0</v>
      </c>
      <c r="AB203" s="5">
        <v>13.75</v>
      </c>
      <c r="AC203" s="112">
        <v>28</v>
      </c>
      <c r="AD203" s="46">
        <v>6</v>
      </c>
      <c r="AE203" s="12">
        <v>0</v>
      </c>
      <c r="AF203" s="12">
        <v>0</v>
      </c>
      <c r="AG203" s="12">
        <v>0</v>
      </c>
      <c r="AH203" s="46">
        <v>4</v>
      </c>
      <c r="AI203" s="46">
        <v>2</v>
      </c>
    </row>
    <row r="204" spans="10:62" x14ac:dyDescent="0.3">
      <c r="J204" s="43">
        <v>56</v>
      </c>
      <c r="K204" s="46">
        <v>9</v>
      </c>
      <c r="L204" s="46">
        <v>11</v>
      </c>
      <c r="M204" s="46">
        <v>7</v>
      </c>
      <c r="N204" s="12">
        <v>0</v>
      </c>
      <c r="O204" s="46">
        <v>11</v>
      </c>
      <c r="P204" s="12">
        <v>0</v>
      </c>
      <c r="Q204" s="12">
        <v>0</v>
      </c>
      <c r="AB204" s="5">
        <v>14</v>
      </c>
      <c r="AC204" s="112">
        <v>28</v>
      </c>
      <c r="AD204" s="46">
        <v>6</v>
      </c>
      <c r="AE204" s="12">
        <v>0</v>
      </c>
      <c r="AF204" s="12">
        <v>0</v>
      </c>
      <c r="AG204" s="12">
        <v>0</v>
      </c>
      <c r="AH204" s="46">
        <v>4</v>
      </c>
      <c r="AI204" s="46">
        <v>2</v>
      </c>
    </row>
    <row r="205" spans="10:62" x14ac:dyDescent="0.3">
      <c r="J205" s="43">
        <v>57</v>
      </c>
      <c r="K205" s="46">
        <v>9</v>
      </c>
      <c r="L205" s="46">
        <v>11</v>
      </c>
      <c r="M205" s="46">
        <v>7</v>
      </c>
      <c r="N205" s="12">
        <v>0</v>
      </c>
      <c r="O205" s="46">
        <v>11</v>
      </c>
      <c r="P205" s="12">
        <v>0</v>
      </c>
      <c r="Q205" s="12">
        <v>0</v>
      </c>
      <c r="AB205" s="5">
        <v>14.25</v>
      </c>
      <c r="AC205" s="112">
        <v>28</v>
      </c>
      <c r="AD205" s="46">
        <v>6</v>
      </c>
      <c r="AE205" s="12">
        <v>0</v>
      </c>
      <c r="AF205" s="12">
        <v>0</v>
      </c>
      <c r="AG205" s="12">
        <v>0</v>
      </c>
      <c r="AH205" s="46">
        <v>5</v>
      </c>
      <c r="AI205" s="46">
        <v>2</v>
      </c>
    </row>
    <row r="206" spans="10:62" x14ac:dyDescent="0.3">
      <c r="J206" s="43">
        <v>58</v>
      </c>
      <c r="K206" s="46">
        <v>9</v>
      </c>
      <c r="L206" s="46">
        <v>11</v>
      </c>
      <c r="M206" s="46">
        <v>7</v>
      </c>
      <c r="N206" s="12">
        <v>0</v>
      </c>
      <c r="O206" s="46">
        <v>11</v>
      </c>
      <c r="P206" s="12">
        <v>0</v>
      </c>
      <c r="Q206" s="12">
        <v>0</v>
      </c>
      <c r="AB206" s="5">
        <v>14.5</v>
      </c>
      <c r="AC206" s="112">
        <v>28</v>
      </c>
      <c r="AD206" s="46">
        <v>6</v>
      </c>
      <c r="AE206" s="12">
        <v>0</v>
      </c>
      <c r="AF206" s="12">
        <v>0</v>
      </c>
      <c r="AG206" s="12">
        <v>0</v>
      </c>
      <c r="AH206" s="46">
        <v>5</v>
      </c>
      <c r="AI206" s="46">
        <v>2</v>
      </c>
    </row>
    <row r="207" spans="10:62" x14ac:dyDescent="0.3">
      <c r="J207" s="43">
        <v>59</v>
      </c>
      <c r="K207" s="46">
        <v>9</v>
      </c>
      <c r="L207" s="46">
        <v>11</v>
      </c>
      <c r="M207" s="46">
        <v>7</v>
      </c>
      <c r="N207" s="12">
        <v>0</v>
      </c>
      <c r="O207" s="46">
        <v>11</v>
      </c>
      <c r="P207" s="12">
        <v>0</v>
      </c>
      <c r="Q207" s="12">
        <v>0</v>
      </c>
      <c r="AB207" s="5">
        <v>14.75</v>
      </c>
      <c r="AC207" s="112">
        <v>28</v>
      </c>
      <c r="AD207" s="46">
        <v>6</v>
      </c>
      <c r="AE207" s="12">
        <v>0</v>
      </c>
      <c r="AF207" s="12">
        <v>0</v>
      </c>
      <c r="AG207" s="12">
        <v>0</v>
      </c>
      <c r="AH207" s="46">
        <v>5</v>
      </c>
      <c r="AI207" s="46">
        <v>2</v>
      </c>
    </row>
    <row r="208" spans="10:62" x14ac:dyDescent="0.3">
      <c r="J208" s="43">
        <v>60</v>
      </c>
      <c r="K208" s="46">
        <v>9</v>
      </c>
      <c r="L208" s="46">
        <v>11</v>
      </c>
      <c r="M208" s="46">
        <v>7</v>
      </c>
      <c r="N208" s="12">
        <v>0</v>
      </c>
      <c r="O208" s="46">
        <v>11</v>
      </c>
      <c r="P208" s="46">
        <v>1</v>
      </c>
      <c r="Q208" s="12">
        <v>0</v>
      </c>
      <c r="AB208" s="5">
        <v>15</v>
      </c>
      <c r="AC208" s="112">
        <v>28</v>
      </c>
      <c r="AD208" s="46">
        <v>6</v>
      </c>
      <c r="AE208" s="12">
        <v>0</v>
      </c>
      <c r="AF208" s="12">
        <v>0</v>
      </c>
      <c r="AG208" s="12">
        <v>0</v>
      </c>
      <c r="AH208" s="46">
        <v>6</v>
      </c>
      <c r="AI208" s="46">
        <v>2</v>
      </c>
    </row>
    <row r="209" spans="10:35" x14ac:dyDescent="0.3">
      <c r="J209" s="43">
        <v>61</v>
      </c>
      <c r="K209" s="46">
        <v>9</v>
      </c>
      <c r="L209" s="46">
        <v>11</v>
      </c>
      <c r="M209" s="46">
        <v>7</v>
      </c>
      <c r="N209" s="12">
        <v>0</v>
      </c>
      <c r="O209" s="46">
        <v>11</v>
      </c>
      <c r="P209" s="46">
        <v>1</v>
      </c>
      <c r="Q209" s="12">
        <v>0</v>
      </c>
      <c r="AB209" s="5">
        <v>15.25</v>
      </c>
      <c r="AC209" s="112">
        <v>28</v>
      </c>
      <c r="AD209" s="46">
        <v>6</v>
      </c>
      <c r="AE209" s="12">
        <v>0</v>
      </c>
      <c r="AF209" s="12">
        <v>0</v>
      </c>
      <c r="AG209" s="12">
        <v>0</v>
      </c>
      <c r="AH209" s="46">
        <v>6</v>
      </c>
      <c r="AI209" s="46">
        <v>4</v>
      </c>
    </row>
    <row r="210" spans="10:35" x14ac:dyDescent="0.3">
      <c r="J210" s="43">
        <v>62</v>
      </c>
      <c r="K210" s="46">
        <v>9</v>
      </c>
      <c r="L210" s="46">
        <v>11</v>
      </c>
      <c r="M210" s="46">
        <v>7</v>
      </c>
      <c r="N210" s="12">
        <v>0</v>
      </c>
      <c r="O210" s="46">
        <v>11</v>
      </c>
      <c r="P210" s="46">
        <v>1</v>
      </c>
      <c r="Q210" s="12">
        <v>0</v>
      </c>
      <c r="AB210" s="5">
        <v>15.5</v>
      </c>
      <c r="AC210" s="112">
        <v>28</v>
      </c>
      <c r="AD210" s="46">
        <v>6</v>
      </c>
      <c r="AE210" s="12">
        <v>0</v>
      </c>
      <c r="AF210" s="12">
        <v>0</v>
      </c>
      <c r="AG210" s="12">
        <v>0</v>
      </c>
      <c r="AH210" s="46">
        <v>7</v>
      </c>
      <c r="AI210" s="46">
        <v>4</v>
      </c>
    </row>
    <row r="211" spans="10:35" x14ac:dyDescent="0.3">
      <c r="J211" s="43">
        <v>63</v>
      </c>
      <c r="K211" s="46">
        <v>9</v>
      </c>
      <c r="L211" s="46">
        <v>11</v>
      </c>
      <c r="M211" s="46">
        <v>7</v>
      </c>
      <c r="N211" s="12">
        <v>0</v>
      </c>
      <c r="O211" s="46">
        <v>11</v>
      </c>
      <c r="P211" s="46">
        <v>1</v>
      </c>
      <c r="Q211" s="12">
        <v>0</v>
      </c>
      <c r="AB211" s="5">
        <v>15.75</v>
      </c>
      <c r="AC211" s="112">
        <v>28</v>
      </c>
      <c r="AD211" s="46">
        <v>6</v>
      </c>
      <c r="AE211" s="12">
        <v>0</v>
      </c>
      <c r="AF211" s="12">
        <v>0</v>
      </c>
      <c r="AG211" s="12">
        <v>0</v>
      </c>
      <c r="AH211" s="46">
        <v>7</v>
      </c>
      <c r="AI211" s="46">
        <v>4</v>
      </c>
    </row>
    <row r="212" spans="10:35" x14ac:dyDescent="0.3">
      <c r="J212" s="43">
        <v>64</v>
      </c>
      <c r="K212" s="46">
        <v>9</v>
      </c>
      <c r="L212" s="46">
        <v>11</v>
      </c>
      <c r="M212" s="46">
        <v>7</v>
      </c>
      <c r="N212" s="12">
        <v>0</v>
      </c>
      <c r="O212" s="46">
        <v>11</v>
      </c>
      <c r="P212" s="46">
        <v>1</v>
      </c>
      <c r="Q212" s="12">
        <v>0</v>
      </c>
      <c r="AB212" s="5">
        <v>16</v>
      </c>
      <c r="AC212" s="112">
        <v>28</v>
      </c>
      <c r="AD212" s="46">
        <v>6</v>
      </c>
      <c r="AE212" s="12">
        <v>0</v>
      </c>
      <c r="AF212" s="12">
        <v>0</v>
      </c>
      <c r="AG212" s="12">
        <v>0</v>
      </c>
      <c r="AH212" s="46">
        <v>7</v>
      </c>
      <c r="AI212" s="46">
        <v>6</v>
      </c>
    </row>
    <row r="213" spans="10:35" x14ac:dyDescent="0.3">
      <c r="J213" s="43">
        <v>65</v>
      </c>
      <c r="K213" s="46">
        <v>9</v>
      </c>
      <c r="L213" s="46">
        <v>11</v>
      </c>
      <c r="M213" s="46">
        <v>7</v>
      </c>
      <c r="N213" s="12">
        <v>0</v>
      </c>
      <c r="O213" s="46">
        <v>11</v>
      </c>
      <c r="P213" s="46">
        <v>1</v>
      </c>
      <c r="Q213" s="12">
        <v>0</v>
      </c>
      <c r="AB213" s="5">
        <v>16.25</v>
      </c>
      <c r="AC213" s="112">
        <v>28</v>
      </c>
      <c r="AD213" s="46">
        <v>6</v>
      </c>
      <c r="AE213" s="12">
        <v>0</v>
      </c>
      <c r="AF213" s="12">
        <v>0</v>
      </c>
      <c r="AG213" s="12">
        <v>0</v>
      </c>
      <c r="AH213" s="46">
        <v>7</v>
      </c>
      <c r="AI213" s="46">
        <v>7</v>
      </c>
    </row>
    <row r="214" spans="10:35" x14ac:dyDescent="0.3">
      <c r="J214" s="43">
        <v>66</v>
      </c>
      <c r="K214" s="46">
        <v>9</v>
      </c>
      <c r="L214" s="46">
        <v>11</v>
      </c>
      <c r="M214" s="46">
        <v>7</v>
      </c>
      <c r="N214" s="12">
        <v>0</v>
      </c>
      <c r="O214" s="46">
        <v>11</v>
      </c>
      <c r="P214" s="46">
        <v>1</v>
      </c>
      <c r="Q214" s="12">
        <v>0</v>
      </c>
      <c r="AB214" s="5">
        <v>16.5</v>
      </c>
      <c r="AC214" s="112">
        <v>28</v>
      </c>
      <c r="AD214" s="46">
        <v>6</v>
      </c>
      <c r="AE214" s="12">
        <v>0</v>
      </c>
      <c r="AF214" s="12">
        <v>0</v>
      </c>
      <c r="AG214" s="12">
        <v>0</v>
      </c>
      <c r="AH214" s="46">
        <v>7</v>
      </c>
      <c r="AI214" s="46">
        <v>7</v>
      </c>
    </row>
    <row r="215" spans="10:35" x14ac:dyDescent="0.3">
      <c r="J215" s="43">
        <v>67</v>
      </c>
      <c r="K215" s="46">
        <v>9</v>
      </c>
      <c r="L215" s="46">
        <v>11</v>
      </c>
      <c r="M215" s="46">
        <v>7</v>
      </c>
      <c r="N215" s="12">
        <v>0</v>
      </c>
      <c r="O215" s="46">
        <v>11</v>
      </c>
      <c r="P215" s="46">
        <v>1</v>
      </c>
      <c r="Q215" s="12">
        <v>0</v>
      </c>
      <c r="AB215" s="5">
        <v>16.75</v>
      </c>
      <c r="AC215" s="112">
        <v>28</v>
      </c>
      <c r="AD215" s="46">
        <v>6</v>
      </c>
      <c r="AE215" s="12">
        <v>0</v>
      </c>
      <c r="AF215" s="12">
        <v>0</v>
      </c>
      <c r="AG215" s="12">
        <v>0</v>
      </c>
      <c r="AH215" s="46">
        <v>7</v>
      </c>
      <c r="AI215" s="46">
        <v>7</v>
      </c>
    </row>
    <row r="216" spans="10:35" x14ac:dyDescent="0.3">
      <c r="J216" s="43">
        <v>68</v>
      </c>
      <c r="K216" s="46">
        <v>9</v>
      </c>
      <c r="L216" s="46">
        <v>11</v>
      </c>
      <c r="M216" s="46">
        <v>7</v>
      </c>
      <c r="N216" s="12">
        <v>0</v>
      </c>
      <c r="O216" s="46">
        <v>11</v>
      </c>
      <c r="P216" s="46">
        <v>1</v>
      </c>
      <c r="Q216" s="12">
        <v>0</v>
      </c>
      <c r="AB216" s="5">
        <v>17</v>
      </c>
      <c r="AC216" s="112">
        <v>28</v>
      </c>
      <c r="AD216" s="46">
        <v>6</v>
      </c>
      <c r="AE216" s="12">
        <v>0</v>
      </c>
      <c r="AF216" s="12">
        <v>0</v>
      </c>
      <c r="AG216" s="12">
        <v>0</v>
      </c>
      <c r="AH216" s="46">
        <v>7</v>
      </c>
      <c r="AI216" s="46">
        <v>7</v>
      </c>
    </row>
    <row r="217" spans="10:35" x14ac:dyDescent="0.3">
      <c r="J217" s="43">
        <v>69</v>
      </c>
      <c r="K217" s="46">
        <v>9</v>
      </c>
      <c r="L217" s="46">
        <v>11</v>
      </c>
      <c r="M217" s="46">
        <v>7</v>
      </c>
      <c r="N217" s="12">
        <v>0</v>
      </c>
      <c r="O217" s="46">
        <v>11</v>
      </c>
      <c r="P217" s="46">
        <v>2</v>
      </c>
      <c r="Q217" s="12">
        <v>0</v>
      </c>
      <c r="AB217" s="5">
        <v>17.25</v>
      </c>
      <c r="AC217" s="112">
        <v>28</v>
      </c>
      <c r="AD217" s="46">
        <v>6</v>
      </c>
      <c r="AE217" s="12">
        <v>0</v>
      </c>
      <c r="AF217" s="12">
        <v>0</v>
      </c>
      <c r="AG217" s="12">
        <v>0</v>
      </c>
      <c r="AH217" s="46">
        <v>7</v>
      </c>
      <c r="AI217" s="46">
        <v>7</v>
      </c>
    </row>
    <row r="218" spans="10:35" x14ac:dyDescent="0.3">
      <c r="J218" s="43">
        <v>70</v>
      </c>
      <c r="K218" s="46">
        <v>9</v>
      </c>
      <c r="L218" s="46">
        <v>11</v>
      </c>
      <c r="M218" s="46">
        <v>7</v>
      </c>
      <c r="N218" s="12">
        <v>0</v>
      </c>
      <c r="O218" s="46">
        <v>11</v>
      </c>
      <c r="P218" s="46">
        <v>2</v>
      </c>
      <c r="Q218" s="12">
        <v>0</v>
      </c>
      <c r="AB218" s="5">
        <v>17.5</v>
      </c>
      <c r="AC218" s="112">
        <v>28</v>
      </c>
      <c r="AD218" s="46">
        <v>6</v>
      </c>
      <c r="AE218" s="12">
        <v>0</v>
      </c>
      <c r="AF218" s="12">
        <v>0</v>
      </c>
      <c r="AG218" s="12">
        <v>0</v>
      </c>
      <c r="AH218" s="46">
        <v>7</v>
      </c>
      <c r="AI218" s="46">
        <v>7</v>
      </c>
    </row>
    <row r="219" spans="10:35" x14ac:dyDescent="0.3">
      <c r="J219" s="43">
        <v>71</v>
      </c>
      <c r="K219" s="46">
        <v>9</v>
      </c>
      <c r="L219" s="46">
        <v>11</v>
      </c>
      <c r="M219" s="46">
        <v>7</v>
      </c>
      <c r="N219" s="12">
        <v>0</v>
      </c>
      <c r="O219" s="46">
        <v>11</v>
      </c>
      <c r="P219" s="46">
        <v>2</v>
      </c>
      <c r="Q219" s="12">
        <v>0</v>
      </c>
      <c r="AB219" s="5">
        <v>17.75</v>
      </c>
      <c r="AC219" s="112">
        <v>28</v>
      </c>
      <c r="AD219" s="46">
        <v>6</v>
      </c>
      <c r="AE219" s="12">
        <v>0</v>
      </c>
      <c r="AF219" s="12">
        <v>0</v>
      </c>
      <c r="AG219" s="12">
        <v>0</v>
      </c>
      <c r="AH219" s="46">
        <v>7</v>
      </c>
      <c r="AI219" s="46">
        <v>7</v>
      </c>
    </row>
    <row r="220" spans="10:35" x14ac:dyDescent="0.3">
      <c r="J220" s="43">
        <v>72</v>
      </c>
      <c r="K220" s="46">
        <v>9</v>
      </c>
      <c r="L220" s="46">
        <v>11</v>
      </c>
      <c r="M220" s="46">
        <v>7</v>
      </c>
      <c r="N220" s="12">
        <v>0</v>
      </c>
      <c r="O220" s="46">
        <v>11</v>
      </c>
      <c r="P220" s="46">
        <v>2</v>
      </c>
      <c r="Q220" s="12">
        <v>0</v>
      </c>
      <c r="AB220" s="5">
        <v>18</v>
      </c>
      <c r="AC220" s="112">
        <v>28</v>
      </c>
      <c r="AD220" s="46">
        <v>6</v>
      </c>
      <c r="AE220" s="12">
        <v>0</v>
      </c>
      <c r="AF220" s="12">
        <v>0</v>
      </c>
      <c r="AG220" s="12">
        <v>0</v>
      </c>
      <c r="AH220" s="46">
        <v>7</v>
      </c>
      <c r="AI220" s="46">
        <v>7</v>
      </c>
    </row>
    <row r="221" spans="10:35" x14ac:dyDescent="0.3">
      <c r="J221" s="43">
        <v>73</v>
      </c>
      <c r="K221" s="46">
        <v>9</v>
      </c>
      <c r="L221" s="46">
        <v>11</v>
      </c>
      <c r="M221" s="46">
        <v>7</v>
      </c>
      <c r="N221" s="12">
        <v>0</v>
      </c>
      <c r="O221" s="46">
        <v>11</v>
      </c>
      <c r="P221" s="46">
        <v>2</v>
      </c>
      <c r="Q221" s="12">
        <v>0</v>
      </c>
      <c r="AB221" s="5">
        <v>18.25</v>
      </c>
      <c r="AC221" s="112">
        <v>28</v>
      </c>
      <c r="AD221" s="46">
        <v>6</v>
      </c>
      <c r="AE221" s="12">
        <v>0</v>
      </c>
      <c r="AF221" s="12">
        <v>0</v>
      </c>
      <c r="AG221" s="12">
        <v>0</v>
      </c>
      <c r="AH221" s="46">
        <v>7</v>
      </c>
      <c r="AI221" s="46">
        <v>7</v>
      </c>
    </row>
    <row r="222" spans="10:35" x14ac:dyDescent="0.3">
      <c r="J222" s="43">
        <v>74</v>
      </c>
      <c r="K222" s="46">
        <v>9</v>
      </c>
      <c r="L222" s="46">
        <v>11</v>
      </c>
      <c r="M222" s="46">
        <v>7</v>
      </c>
      <c r="N222" s="12">
        <v>0</v>
      </c>
      <c r="O222" s="46">
        <v>11</v>
      </c>
      <c r="P222" s="46">
        <v>2</v>
      </c>
      <c r="Q222" s="12">
        <v>0</v>
      </c>
      <c r="AB222" s="5">
        <v>18.5</v>
      </c>
      <c r="AC222" s="112">
        <v>28</v>
      </c>
      <c r="AD222" s="46">
        <v>6</v>
      </c>
      <c r="AE222" s="12">
        <v>0</v>
      </c>
      <c r="AF222" s="12">
        <v>0</v>
      </c>
      <c r="AG222" s="12">
        <v>0</v>
      </c>
      <c r="AH222" s="46">
        <v>8</v>
      </c>
      <c r="AI222" s="46">
        <v>8</v>
      </c>
    </row>
    <row r="223" spans="10:35" x14ac:dyDescent="0.3">
      <c r="J223" s="43">
        <v>75</v>
      </c>
      <c r="K223" s="46">
        <v>9</v>
      </c>
      <c r="L223" s="46">
        <v>11</v>
      </c>
      <c r="M223" s="46">
        <v>7</v>
      </c>
      <c r="N223" s="12">
        <v>0</v>
      </c>
      <c r="O223" s="46">
        <v>11</v>
      </c>
      <c r="P223" s="46">
        <v>2</v>
      </c>
      <c r="Q223" s="12">
        <v>0</v>
      </c>
      <c r="AB223" s="5">
        <v>18.75</v>
      </c>
      <c r="AC223" s="112">
        <v>28</v>
      </c>
      <c r="AD223" s="46">
        <v>6</v>
      </c>
      <c r="AE223" s="12">
        <v>0</v>
      </c>
      <c r="AF223" s="12">
        <v>0</v>
      </c>
      <c r="AG223" s="12">
        <v>0</v>
      </c>
      <c r="AH223" s="46">
        <v>8</v>
      </c>
      <c r="AI223" s="46">
        <v>8</v>
      </c>
    </row>
    <row r="224" spans="10:35" x14ac:dyDescent="0.3">
      <c r="J224" s="43">
        <v>76</v>
      </c>
      <c r="K224" s="46">
        <v>9</v>
      </c>
      <c r="L224" s="46">
        <v>11</v>
      </c>
      <c r="M224" s="46">
        <v>7</v>
      </c>
      <c r="N224" s="12">
        <v>0</v>
      </c>
      <c r="O224" s="46">
        <v>11</v>
      </c>
      <c r="P224" s="46">
        <v>2</v>
      </c>
      <c r="Q224" s="12">
        <v>0</v>
      </c>
      <c r="AB224" s="5">
        <v>19</v>
      </c>
      <c r="AC224" s="112">
        <v>28</v>
      </c>
      <c r="AD224" s="46">
        <v>6</v>
      </c>
      <c r="AE224" s="12">
        <v>0</v>
      </c>
      <c r="AF224" s="12">
        <v>0</v>
      </c>
      <c r="AG224" s="12">
        <v>0</v>
      </c>
      <c r="AH224" s="46">
        <v>8</v>
      </c>
      <c r="AI224" s="46">
        <v>8</v>
      </c>
    </row>
    <row r="225" spans="10:17" x14ac:dyDescent="0.3">
      <c r="J225" s="43">
        <v>77</v>
      </c>
      <c r="K225" s="46">
        <v>9</v>
      </c>
      <c r="L225" s="46">
        <v>11</v>
      </c>
      <c r="M225" s="46">
        <v>7</v>
      </c>
      <c r="N225" s="12">
        <v>0</v>
      </c>
      <c r="O225" s="46">
        <v>11</v>
      </c>
      <c r="P225" s="46">
        <v>2</v>
      </c>
      <c r="Q225" s="12">
        <v>0</v>
      </c>
    </row>
    <row r="226" spans="10:17" x14ac:dyDescent="0.3">
      <c r="J226" s="43">
        <v>78</v>
      </c>
      <c r="K226" s="46">
        <v>9</v>
      </c>
      <c r="L226" s="46">
        <v>11</v>
      </c>
      <c r="M226" s="46">
        <v>7</v>
      </c>
      <c r="N226" s="12">
        <v>0</v>
      </c>
      <c r="O226" s="46">
        <v>11</v>
      </c>
      <c r="P226" s="46">
        <v>2</v>
      </c>
      <c r="Q226" s="12">
        <v>0</v>
      </c>
    </row>
    <row r="227" spans="10:17" x14ac:dyDescent="0.3">
      <c r="J227" s="43">
        <v>79</v>
      </c>
      <c r="K227" s="46">
        <v>9</v>
      </c>
      <c r="L227" s="46">
        <v>11</v>
      </c>
      <c r="M227" s="46">
        <v>7</v>
      </c>
      <c r="N227" s="12">
        <v>0</v>
      </c>
      <c r="O227" s="46">
        <v>11</v>
      </c>
      <c r="P227" s="46">
        <v>2</v>
      </c>
      <c r="Q227" s="12">
        <v>0</v>
      </c>
    </row>
    <row r="228" spans="10:17" x14ac:dyDescent="0.3">
      <c r="J228" s="43">
        <v>80</v>
      </c>
      <c r="K228" s="46">
        <v>9</v>
      </c>
      <c r="L228" s="46">
        <v>11</v>
      </c>
      <c r="M228" s="46">
        <v>7</v>
      </c>
      <c r="N228" s="12">
        <v>0</v>
      </c>
      <c r="O228" s="46">
        <v>11</v>
      </c>
      <c r="P228" s="46">
        <v>2</v>
      </c>
      <c r="Q228" s="12">
        <v>0</v>
      </c>
    </row>
    <row r="229" spans="10:17" x14ac:dyDescent="0.3">
      <c r="J229" s="43">
        <v>81</v>
      </c>
      <c r="K229" s="46">
        <v>9</v>
      </c>
      <c r="L229" s="46">
        <v>11</v>
      </c>
      <c r="M229" s="46">
        <v>7</v>
      </c>
      <c r="N229" s="12">
        <v>0</v>
      </c>
      <c r="O229" s="46">
        <v>11</v>
      </c>
      <c r="P229" s="46">
        <v>2</v>
      </c>
      <c r="Q229" s="12">
        <v>0</v>
      </c>
    </row>
    <row r="230" spans="10:17" x14ac:dyDescent="0.3">
      <c r="J230" s="43">
        <v>82</v>
      </c>
      <c r="K230" s="46">
        <v>9</v>
      </c>
      <c r="L230" s="46">
        <v>11</v>
      </c>
      <c r="M230" s="46">
        <v>7</v>
      </c>
      <c r="N230" s="12">
        <v>0</v>
      </c>
      <c r="O230" s="46">
        <v>11</v>
      </c>
      <c r="P230" s="46">
        <v>2</v>
      </c>
      <c r="Q230" s="12">
        <v>0</v>
      </c>
    </row>
    <row r="231" spans="10:17" x14ac:dyDescent="0.3">
      <c r="J231" s="43">
        <v>83</v>
      </c>
      <c r="K231" s="46">
        <v>9</v>
      </c>
      <c r="L231" s="46">
        <v>11</v>
      </c>
      <c r="M231" s="46">
        <v>7</v>
      </c>
      <c r="N231" s="12">
        <v>0</v>
      </c>
      <c r="O231" s="46">
        <v>11</v>
      </c>
      <c r="P231" s="46">
        <v>2</v>
      </c>
      <c r="Q231" s="12">
        <v>0</v>
      </c>
    </row>
    <row r="232" spans="10:17" x14ac:dyDescent="0.3">
      <c r="J232" s="43">
        <v>84</v>
      </c>
      <c r="K232" s="46">
        <v>9</v>
      </c>
      <c r="L232" s="46">
        <v>11</v>
      </c>
      <c r="M232" s="46">
        <v>7</v>
      </c>
      <c r="N232" s="12">
        <v>0</v>
      </c>
      <c r="O232" s="46">
        <v>11</v>
      </c>
      <c r="P232" s="46">
        <v>2</v>
      </c>
      <c r="Q232" s="12">
        <v>0</v>
      </c>
    </row>
    <row r="233" spans="10:17" x14ac:dyDescent="0.3">
      <c r="J233" s="43">
        <v>85</v>
      </c>
      <c r="K233" s="46">
        <v>9</v>
      </c>
      <c r="L233" s="46">
        <v>11</v>
      </c>
      <c r="M233" s="46">
        <v>7</v>
      </c>
      <c r="N233" s="12">
        <v>0</v>
      </c>
      <c r="O233" s="46">
        <v>11</v>
      </c>
      <c r="P233" s="46">
        <v>2</v>
      </c>
      <c r="Q233" s="12">
        <v>0</v>
      </c>
    </row>
    <row r="234" spans="10:17" x14ac:dyDescent="0.3">
      <c r="J234" s="43">
        <v>86</v>
      </c>
      <c r="K234" s="46">
        <v>9</v>
      </c>
      <c r="L234" s="46">
        <v>11</v>
      </c>
      <c r="M234" s="46">
        <v>7</v>
      </c>
      <c r="N234" s="12">
        <v>0</v>
      </c>
      <c r="O234" s="46">
        <v>11</v>
      </c>
      <c r="P234" s="46">
        <v>2</v>
      </c>
      <c r="Q234" s="12">
        <v>0</v>
      </c>
    </row>
    <row r="235" spans="10:17" x14ac:dyDescent="0.3">
      <c r="J235" s="43">
        <v>87</v>
      </c>
      <c r="K235" s="46">
        <v>9</v>
      </c>
      <c r="L235" s="46">
        <v>11</v>
      </c>
      <c r="M235" s="46">
        <v>7</v>
      </c>
      <c r="N235" s="12">
        <v>0</v>
      </c>
      <c r="O235" s="46">
        <v>11</v>
      </c>
      <c r="P235" s="46">
        <v>2</v>
      </c>
      <c r="Q235" s="12">
        <v>0</v>
      </c>
    </row>
    <row r="236" spans="10:17" x14ac:dyDescent="0.3">
      <c r="J236" s="43">
        <v>88</v>
      </c>
      <c r="K236" s="46">
        <v>9</v>
      </c>
      <c r="L236" s="46">
        <v>11</v>
      </c>
      <c r="M236" s="46">
        <v>7</v>
      </c>
      <c r="N236" s="12">
        <v>0</v>
      </c>
      <c r="O236" s="46">
        <v>11</v>
      </c>
      <c r="P236" s="46">
        <v>2</v>
      </c>
      <c r="Q236" s="12">
        <v>0</v>
      </c>
    </row>
    <row r="237" spans="10:17" x14ac:dyDescent="0.3">
      <c r="J237" s="43">
        <v>89</v>
      </c>
      <c r="K237" s="46">
        <v>9</v>
      </c>
      <c r="L237" s="46">
        <v>11</v>
      </c>
      <c r="M237" s="46">
        <v>7</v>
      </c>
      <c r="N237" s="12">
        <v>0</v>
      </c>
      <c r="O237" s="46">
        <v>11</v>
      </c>
      <c r="P237" s="46">
        <v>2</v>
      </c>
      <c r="Q237" s="12">
        <v>0</v>
      </c>
    </row>
    <row r="238" spans="10:17" x14ac:dyDescent="0.3">
      <c r="J238" s="43">
        <v>90</v>
      </c>
      <c r="K238" s="46">
        <v>9</v>
      </c>
      <c r="L238" s="46">
        <v>11</v>
      </c>
      <c r="M238" s="46">
        <v>7</v>
      </c>
      <c r="N238" s="12">
        <v>0</v>
      </c>
      <c r="O238" s="46">
        <v>11</v>
      </c>
      <c r="P238" s="46">
        <v>2</v>
      </c>
      <c r="Q238" s="12">
        <v>0</v>
      </c>
    </row>
    <row r="239" spans="10:17" x14ac:dyDescent="0.3">
      <c r="J239" s="43">
        <v>91</v>
      </c>
      <c r="K239" s="46">
        <v>9</v>
      </c>
      <c r="L239" s="46">
        <v>11</v>
      </c>
      <c r="M239" s="46">
        <v>7</v>
      </c>
      <c r="N239" s="12">
        <v>0</v>
      </c>
      <c r="O239" s="46">
        <v>11</v>
      </c>
      <c r="P239" s="46">
        <v>2</v>
      </c>
      <c r="Q239" s="12">
        <v>0</v>
      </c>
    </row>
    <row r="240" spans="10:17" x14ac:dyDescent="0.3">
      <c r="J240" s="43">
        <v>92</v>
      </c>
      <c r="K240" s="46">
        <v>9</v>
      </c>
      <c r="L240" s="46">
        <v>11</v>
      </c>
      <c r="M240" s="46">
        <v>7</v>
      </c>
      <c r="N240" s="12">
        <v>0</v>
      </c>
      <c r="O240" s="46">
        <v>11</v>
      </c>
      <c r="P240" s="46">
        <v>3</v>
      </c>
      <c r="Q240" s="12">
        <v>0</v>
      </c>
    </row>
    <row r="241" spans="10:17" x14ac:dyDescent="0.3">
      <c r="J241" s="43">
        <v>93</v>
      </c>
      <c r="K241" s="46">
        <v>9</v>
      </c>
      <c r="L241" s="46">
        <v>11</v>
      </c>
      <c r="M241" s="46">
        <v>7</v>
      </c>
      <c r="N241" s="12">
        <v>0</v>
      </c>
      <c r="O241" s="46">
        <v>11</v>
      </c>
      <c r="P241" s="46">
        <v>3</v>
      </c>
      <c r="Q241" s="12">
        <v>0</v>
      </c>
    </row>
    <row r="242" spans="10:17" x14ac:dyDescent="0.3">
      <c r="J242" s="43">
        <v>94</v>
      </c>
      <c r="K242" s="46">
        <v>9</v>
      </c>
      <c r="L242" s="46">
        <v>11</v>
      </c>
      <c r="M242" s="46">
        <v>7</v>
      </c>
      <c r="N242" s="12">
        <v>0</v>
      </c>
      <c r="O242" s="46">
        <v>11</v>
      </c>
      <c r="P242" s="46">
        <v>3</v>
      </c>
      <c r="Q242" s="12">
        <v>0</v>
      </c>
    </row>
    <row r="243" spans="10:17" x14ac:dyDescent="0.3">
      <c r="J243" s="43">
        <v>95</v>
      </c>
      <c r="K243" s="46">
        <v>9</v>
      </c>
      <c r="L243" s="46">
        <v>11</v>
      </c>
      <c r="M243" s="46">
        <v>7</v>
      </c>
      <c r="N243" s="12">
        <v>0</v>
      </c>
      <c r="O243" s="46">
        <v>11</v>
      </c>
      <c r="P243" s="46">
        <v>3</v>
      </c>
      <c r="Q243" s="12">
        <v>0</v>
      </c>
    </row>
    <row r="244" spans="10:17" x14ac:dyDescent="0.3">
      <c r="J244" s="43">
        <v>96</v>
      </c>
      <c r="K244" s="46">
        <v>9</v>
      </c>
      <c r="L244" s="46">
        <v>11</v>
      </c>
      <c r="M244" s="46">
        <v>7</v>
      </c>
      <c r="N244" s="12">
        <v>0</v>
      </c>
      <c r="O244" s="46">
        <v>11</v>
      </c>
      <c r="P244" s="46">
        <v>3</v>
      </c>
      <c r="Q244" s="46">
        <v>1</v>
      </c>
    </row>
    <row r="245" spans="10:17" x14ac:dyDescent="0.3">
      <c r="J245" s="43">
        <v>97</v>
      </c>
      <c r="K245" s="46">
        <v>9</v>
      </c>
      <c r="L245" s="46">
        <v>11</v>
      </c>
      <c r="M245" s="46">
        <v>7</v>
      </c>
      <c r="N245" s="12">
        <v>0</v>
      </c>
      <c r="O245" s="46">
        <v>11</v>
      </c>
      <c r="P245" s="46">
        <v>3</v>
      </c>
      <c r="Q245" s="46">
        <v>1</v>
      </c>
    </row>
    <row r="246" spans="10:17" x14ac:dyDescent="0.3">
      <c r="J246" s="43">
        <v>98</v>
      </c>
      <c r="K246" s="46">
        <v>9</v>
      </c>
      <c r="L246" s="46">
        <v>11</v>
      </c>
      <c r="M246" s="46">
        <v>7</v>
      </c>
      <c r="N246" s="12">
        <v>0</v>
      </c>
      <c r="O246" s="46">
        <v>11</v>
      </c>
      <c r="P246" s="46">
        <v>3</v>
      </c>
      <c r="Q246" s="46">
        <v>1</v>
      </c>
    </row>
    <row r="247" spans="10:17" x14ac:dyDescent="0.3">
      <c r="J247" s="43">
        <v>99</v>
      </c>
      <c r="K247" s="46">
        <v>9</v>
      </c>
      <c r="L247" s="46">
        <v>11</v>
      </c>
      <c r="M247" s="46">
        <v>7</v>
      </c>
      <c r="N247" s="12">
        <v>0</v>
      </c>
      <c r="O247" s="46">
        <v>11</v>
      </c>
      <c r="P247" s="46">
        <v>3</v>
      </c>
      <c r="Q247" s="46">
        <v>1</v>
      </c>
    </row>
    <row r="248" spans="10:17" x14ac:dyDescent="0.3">
      <c r="J248" s="43">
        <v>100</v>
      </c>
      <c r="K248" s="46">
        <v>9</v>
      </c>
      <c r="L248" s="46">
        <v>11</v>
      </c>
      <c r="M248" s="46">
        <v>7</v>
      </c>
      <c r="N248" s="12">
        <v>0</v>
      </c>
      <c r="O248" s="46">
        <v>11</v>
      </c>
      <c r="P248" s="46">
        <v>3</v>
      </c>
      <c r="Q248" s="46">
        <v>2</v>
      </c>
    </row>
    <row r="249" spans="10:17" x14ac:dyDescent="0.3">
      <c r="J249" s="43">
        <v>101</v>
      </c>
      <c r="K249" s="46">
        <v>9</v>
      </c>
      <c r="L249" s="46">
        <v>11</v>
      </c>
      <c r="M249" s="46">
        <v>7</v>
      </c>
      <c r="N249" s="12">
        <v>0</v>
      </c>
      <c r="O249" s="46">
        <v>11</v>
      </c>
      <c r="P249" s="46">
        <v>3</v>
      </c>
      <c r="Q249" s="46">
        <v>2</v>
      </c>
    </row>
    <row r="250" spans="10:17" x14ac:dyDescent="0.3">
      <c r="J250" s="43">
        <v>102</v>
      </c>
      <c r="K250" s="46">
        <v>9</v>
      </c>
      <c r="L250" s="46">
        <v>11</v>
      </c>
      <c r="M250" s="46">
        <v>7</v>
      </c>
      <c r="N250" s="12">
        <v>0</v>
      </c>
      <c r="O250" s="46">
        <v>11</v>
      </c>
      <c r="P250" s="46">
        <v>3</v>
      </c>
      <c r="Q250" s="46">
        <v>2</v>
      </c>
    </row>
    <row r="251" spans="10:17" x14ac:dyDescent="0.3">
      <c r="J251" s="43">
        <v>103</v>
      </c>
      <c r="K251" s="46">
        <v>9</v>
      </c>
      <c r="L251" s="46">
        <v>11</v>
      </c>
      <c r="M251" s="46">
        <v>7</v>
      </c>
      <c r="N251" s="12">
        <v>0</v>
      </c>
      <c r="O251" s="46">
        <v>11</v>
      </c>
      <c r="P251" s="46">
        <v>3</v>
      </c>
      <c r="Q251" s="46">
        <v>2</v>
      </c>
    </row>
    <row r="252" spans="10:17" x14ac:dyDescent="0.3">
      <c r="J252" s="43">
        <v>104</v>
      </c>
      <c r="K252" s="46">
        <v>9</v>
      </c>
      <c r="L252" s="46">
        <v>11</v>
      </c>
      <c r="M252" s="46">
        <v>7</v>
      </c>
      <c r="N252" s="12">
        <v>0</v>
      </c>
      <c r="O252" s="46">
        <v>11</v>
      </c>
      <c r="P252" s="46">
        <v>3</v>
      </c>
      <c r="Q252" s="46">
        <v>2</v>
      </c>
    </row>
    <row r="253" spans="10:17" x14ac:dyDescent="0.3">
      <c r="J253" s="43">
        <v>105</v>
      </c>
      <c r="K253" s="46">
        <v>9</v>
      </c>
      <c r="L253" s="46">
        <v>11</v>
      </c>
      <c r="M253" s="46">
        <v>7</v>
      </c>
      <c r="N253" s="12">
        <v>0</v>
      </c>
      <c r="O253" s="46">
        <v>11</v>
      </c>
      <c r="P253" s="46">
        <v>3</v>
      </c>
      <c r="Q253" s="46">
        <v>2</v>
      </c>
    </row>
    <row r="254" spans="10:17" x14ac:dyDescent="0.3">
      <c r="J254" s="43">
        <v>106</v>
      </c>
      <c r="K254" s="46">
        <v>9</v>
      </c>
      <c r="L254" s="46">
        <v>11</v>
      </c>
      <c r="M254" s="46">
        <v>7</v>
      </c>
      <c r="N254" s="12">
        <v>0</v>
      </c>
      <c r="O254" s="46">
        <v>11</v>
      </c>
      <c r="P254" s="46">
        <v>3</v>
      </c>
      <c r="Q254" s="46">
        <v>2</v>
      </c>
    </row>
    <row r="255" spans="10:17" x14ac:dyDescent="0.3">
      <c r="J255" s="43">
        <v>107</v>
      </c>
      <c r="K255" s="46">
        <v>9</v>
      </c>
      <c r="L255" s="46">
        <v>11</v>
      </c>
      <c r="M255" s="46">
        <v>7</v>
      </c>
      <c r="N255" s="12">
        <v>0</v>
      </c>
      <c r="O255" s="46">
        <v>11</v>
      </c>
      <c r="P255" s="46">
        <v>3</v>
      </c>
      <c r="Q255" s="46">
        <v>2</v>
      </c>
    </row>
    <row r="256" spans="10:17" x14ac:dyDescent="0.3">
      <c r="J256" s="43">
        <v>108</v>
      </c>
      <c r="K256" s="46">
        <v>9</v>
      </c>
      <c r="L256" s="46">
        <v>11</v>
      </c>
      <c r="M256" s="46">
        <v>7</v>
      </c>
      <c r="N256" s="12">
        <v>0</v>
      </c>
      <c r="O256" s="46">
        <v>11</v>
      </c>
      <c r="P256" s="46">
        <v>3</v>
      </c>
      <c r="Q256" s="46">
        <v>2</v>
      </c>
    </row>
    <row r="257" spans="10:17" x14ac:dyDescent="0.3">
      <c r="J257" s="43">
        <v>109</v>
      </c>
      <c r="K257" s="46">
        <v>9</v>
      </c>
      <c r="L257" s="46">
        <v>11</v>
      </c>
      <c r="M257" s="46">
        <v>7</v>
      </c>
      <c r="N257" s="12">
        <v>0</v>
      </c>
      <c r="O257" s="46">
        <v>11</v>
      </c>
      <c r="P257" s="46">
        <v>3</v>
      </c>
      <c r="Q257" s="46">
        <v>2</v>
      </c>
    </row>
    <row r="258" spans="10:17" x14ac:dyDescent="0.3">
      <c r="J258" s="43">
        <v>110</v>
      </c>
      <c r="K258" s="46">
        <v>9</v>
      </c>
      <c r="L258" s="46">
        <v>11</v>
      </c>
      <c r="M258" s="46">
        <v>7</v>
      </c>
      <c r="N258" s="12">
        <v>0</v>
      </c>
      <c r="O258" s="46">
        <v>11</v>
      </c>
      <c r="P258" s="46">
        <v>3</v>
      </c>
      <c r="Q258" s="46">
        <v>2</v>
      </c>
    </row>
    <row r="259" spans="10:17" x14ac:dyDescent="0.3">
      <c r="J259" s="43">
        <v>111</v>
      </c>
      <c r="K259" s="46">
        <v>9</v>
      </c>
      <c r="L259" s="46">
        <v>11</v>
      </c>
      <c r="M259" s="46">
        <v>7</v>
      </c>
      <c r="N259" s="12">
        <v>0</v>
      </c>
      <c r="O259" s="46">
        <v>11</v>
      </c>
      <c r="P259" s="46">
        <v>3</v>
      </c>
      <c r="Q259" s="46">
        <v>2</v>
      </c>
    </row>
    <row r="260" spans="10:17" x14ac:dyDescent="0.3">
      <c r="J260" s="43">
        <v>112</v>
      </c>
      <c r="K260" s="46">
        <v>9</v>
      </c>
      <c r="L260" s="46">
        <v>11</v>
      </c>
      <c r="M260" s="46">
        <v>7</v>
      </c>
      <c r="N260" s="12">
        <v>0</v>
      </c>
      <c r="O260" s="46">
        <v>11</v>
      </c>
      <c r="P260" s="46">
        <v>3</v>
      </c>
      <c r="Q260" s="46">
        <v>2</v>
      </c>
    </row>
    <row r="261" spans="10:17" x14ac:dyDescent="0.3">
      <c r="J261" s="43">
        <v>113</v>
      </c>
      <c r="K261" s="46">
        <v>9</v>
      </c>
      <c r="L261" s="46">
        <v>11</v>
      </c>
      <c r="M261" s="46">
        <v>7</v>
      </c>
      <c r="N261" s="12">
        <v>0</v>
      </c>
      <c r="O261" s="46">
        <v>11</v>
      </c>
      <c r="P261" s="46">
        <v>4</v>
      </c>
      <c r="Q261" s="46">
        <v>3</v>
      </c>
    </row>
    <row r="262" spans="10:17" x14ac:dyDescent="0.3">
      <c r="J262" s="43">
        <v>114</v>
      </c>
      <c r="K262" s="46">
        <v>9</v>
      </c>
      <c r="L262" s="46">
        <v>11</v>
      </c>
      <c r="M262" s="46">
        <v>7</v>
      </c>
      <c r="N262" s="12">
        <v>0</v>
      </c>
      <c r="O262" s="46">
        <v>11</v>
      </c>
      <c r="P262" s="46">
        <v>4</v>
      </c>
      <c r="Q262" s="46">
        <v>3</v>
      </c>
    </row>
    <row r="263" spans="10:17" x14ac:dyDescent="0.3">
      <c r="J263" s="43">
        <v>115</v>
      </c>
      <c r="K263" s="46">
        <v>9</v>
      </c>
      <c r="L263" s="46">
        <v>11</v>
      </c>
      <c r="M263" s="46">
        <v>7</v>
      </c>
      <c r="N263" s="12">
        <v>0</v>
      </c>
      <c r="O263" s="46">
        <v>11</v>
      </c>
      <c r="P263" s="46">
        <v>4</v>
      </c>
      <c r="Q263" s="46">
        <v>3</v>
      </c>
    </row>
    <row r="264" spans="10:17" x14ac:dyDescent="0.3">
      <c r="J264" s="43">
        <v>116</v>
      </c>
      <c r="K264" s="46">
        <v>9</v>
      </c>
      <c r="L264" s="46">
        <v>11</v>
      </c>
      <c r="M264" s="46">
        <v>7</v>
      </c>
      <c r="N264" s="12">
        <v>0</v>
      </c>
      <c r="O264" s="46">
        <v>11</v>
      </c>
      <c r="P264" s="46">
        <v>4</v>
      </c>
      <c r="Q264" s="46">
        <v>3</v>
      </c>
    </row>
    <row r="265" spans="10:17" x14ac:dyDescent="0.3">
      <c r="J265" s="43">
        <v>117</v>
      </c>
      <c r="K265" s="46">
        <v>9</v>
      </c>
      <c r="L265" s="46">
        <v>11</v>
      </c>
      <c r="M265" s="46">
        <v>7</v>
      </c>
      <c r="N265" s="12">
        <v>0</v>
      </c>
      <c r="O265" s="46">
        <v>11</v>
      </c>
      <c r="P265" s="46">
        <v>4</v>
      </c>
      <c r="Q265" s="46">
        <v>3</v>
      </c>
    </row>
    <row r="266" spans="10:17" x14ac:dyDescent="0.3">
      <c r="J266" s="43">
        <v>118</v>
      </c>
      <c r="K266" s="46">
        <v>9</v>
      </c>
      <c r="L266" s="46">
        <v>11</v>
      </c>
      <c r="M266" s="46">
        <v>7</v>
      </c>
      <c r="N266" s="12">
        <v>0</v>
      </c>
      <c r="O266" s="46">
        <v>11</v>
      </c>
      <c r="P266" s="46">
        <v>4</v>
      </c>
      <c r="Q266" s="46">
        <v>3</v>
      </c>
    </row>
    <row r="267" spans="10:17" x14ac:dyDescent="0.3">
      <c r="J267" s="43">
        <v>119</v>
      </c>
      <c r="K267" s="46">
        <v>9</v>
      </c>
      <c r="L267" s="46">
        <v>11</v>
      </c>
      <c r="M267" s="46">
        <v>7</v>
      </c>
      <c r="N267" s="12">
        <v>0</v>
      </c>
      <c r="O267" s="46">
        <v>11</v>
      </c>
      <c r="P267" s="46">
        <v>4</v>
      </c>
      <c r="Q267" s="46">
        <v>3</v>
      </c>
    </row>
    <row r="268" spans="10:17" x14ac:dyDescent="0.3">
      <c r="J268" s="43">
        <v>120</v>
      </c>
      <c r="K268" s="46">
        <v>9</v>
      </c>
      <c r="L268" s="46">
        <v>11</v>
      </c>
      <c r="M268" s="46">
        <v>7</v>
      </c>
      <c r="N268" s="12">
        <v>0</v>
      </c>
      <c r="O268" s="46">
        <v>11</v>
      </c>
      <c r="P268" s="46">
        <v>4</v>
      </c>
      <c r="Q268" s="46">
        <v>3</v>
      </c>
    </row>
    <row r="269" spans="10:17" x14ac:dyDescent="0.3">
      <c r="J269" s="43">
        <v>121</v>
      </c>
      <c r="K269" s="46">
        <v>9</v>
      </c>
      <c r="L269" s="46">
        <v>11</v>
      </c>
      <c r="M269" s="46">
        <v>7</v>
      </c>
      <c r="N269" s="12">
        <v>0</v>
      </c>
      <c r="O269" s="46">
        <v>11</v>
      </c>
      <c r="P269" s="46">
        <v>4</v>
      </c>
      <c r="Q269" s="46">
        <v>3</v>
      </c>
    </row>
    <row r="270" spans="10:17" x14ac:dyDescent="0.3">
      <c r="J270" s="43">
        <v>122</v>
      </c>
      <c r="K270" s="46">
        <v>9</v>
      </c>
      <c r="L270" s="46">
        <v>11</v>
      </c>
      <c r="M270" s="46">
        <v>7</v>
      </c>
      <c r="N270" s="12">
        <v>0</v>
      </c>
      <c r="O270" s="46">
        <v>11</v>
      </c>
      <c r="P270" s="46">
        <v>4</v>
      </c>
      <c r="Q270" s="46">
        <v>3</v>
      </c>
    </row>
    <row r="271" spans="10:17" x14ac:dyDescent="0.3">
      <c r="J271" s="43">
        <v>123</v>
      </c>
      <c r="K271" s="46">
        <v>9</v>
      </c>
      <c r="L271" s="46">
        <v>11</v>
      </c>
      <c r="M271" s="46">
        <v>7</v>
      </c>
      <c r="N271" s="12">
        <v>0</v>
      </c>
      <c r="O271" s="46">
        <v>11</v>
      </c>
      <c r="P271" s="46">
        <v>4</v>
      </c>
      <c r="Q271" s="46">
        <v>3</v>
      </c>
    </row>
    <row r="272" spans="10:17" x14ac:dyDescent="0.3">
      <c r="J272" s="43">
        <v>124</v>
      </c>
      <c r="K272" s="46">
        <v>9</v>
      </c>
      <c r="L272" s="46">
        <v>11</v>
      </c>
      <c r="M272" s="46">
        <v>7</v>
      </c>
      <c r="N272" s="12">
        <v>0</v>
      </c>
      <c r="O272" s="46">
        <v>11</v>
      </c>
      <c r="P272" s="46">
        <v>4</v>
      </c>
      <c r="Q272" s="46">
        <v>3</v>
      </c>
    </row>
    <row r="273" spans="10:17" x14ac:dyDescent="0.3">
      <c r="J273" s="43">
        <v>125</v>
      </c>
      <c r="K273" s="46">
        <v>9</v>
      </c>
      <c r="L273" s="46">
        <v>11</v>
      </c>
      <c r="M273" s="46">
        <v>7</v>
      </c>
      <c r="N273" s="12">
        <v>0</v>
      </c>
      <c r="O273" s="46">
        <v>11</v>
      </c>
      <c r="P273" s="46">
        <v>4</v>
      </c>
      <c r="Q273" s="46">
        <v>3</v>
      </c>
    </row>
    <row r="274" spans="10:17" x14ac:dyDescent="0.3">
      <c r="J274" s="43">
        <v>126</v>
      </c>
      <c r="K274" s="46">
        <v>9</v>
      </c>
      <c r="L274" s="46">
        <v>11</v>
      </c>
      <c r="M274" s="46">
        <v>7</v>
      </c>
      <c r="N274" s="12">
        <v>0</v>
      </c>
      <c r="O274" s="46">
        <v>11</v>
      </c>
      <c r="P274" s="46">
        <v>4</v>
      </c>
      <c r="Q274" s="46">
        <v>3</v>
      </c>
    </row>
    <row r="275" spans="10:17" x14ac:dyDescent="0.3">
      <c r="J275" s="43">
        <v>127</v>
      </c>
      <c r="K275" s="46">
        <v>9</v>
      </c>
      <c r="L275" s="46">
        <v>11</v>
      </c>
      <c r="M275" s="46">
        <v>7</v>
      </c>
      <c r="N275" s="12">
        <v>0</v>
      </c>
      <c r="O275" s="46">
        <v>11</v>
      </c>
      <c r="P275" s="46">
        <v>4</v>
      </c>
      <c r="Q275" s="46">
        <v>3</v>
      </c>
    </row>
    <row r="276" spans="10:17" x14ac:dyDescent="0.3">
      <c r="J276" s="43">
        <v>128</v>
      </c>
      <c r="K276" s="46">
        <v>9</v>
      </c>
      <c r="L276" s="46">
        <v>11</v>
      </c>
      <c r="M276" s="46">
        <v>7</v>
      </c>
      <c r="N276" s="12">
        <v>0</v>
      </c>
      <c r="O276" s="46">
        <v>11</v>
      </c>
      <c r="P276" s="46">
        <v>4</v>
      </c>
      <c r="Q276" s="46">
        <v>3</v>
      </c>
    </row>
    <row r="277" spans="10:17" x14ac:dyDescent="0.3">
      <c r="J277" s="43">
        <v>129</v>
      </c>
      <c r="K277" s="46">
        <v>9</v>
      </c>
      <c r="L277" s="46">
        <v>11</v>
      </c>
      <c r="M277" s="46">
        <v>7</v>
      </c>
      <c r="N277" s="12">
        <v>0</v>
      </c>
      <c r="O277" s="46">
        <v>11</v>
      </c>
      <c r="P277" s="46">
        <v>4</v>
      </c>
      <c r="Q277" s="46">
        <v>3</v>
      </c>
    </row>
    <row r="278" spans="10:17" x14ac:dyDescent="0.3">
      <c r="J278" s="43">
        <v>130</v>
      </c>
      <c r="K278" s="46">
        <v>9</v>
      </c>
      <c r="L278" s="46">
        <v>11</v>
      </c>
      <c r="M278" s="46">
        <v>7</v>
      </c>
      <c r="N278" s="12">
        <v>0</v>
      </c>
      <c r="O278" s="46">
        <v>11</v>
      </c>
      <c r="P278" s="46">
        <v>4</v>
      </c>
      <c r="Q278" s="46">
        <v>4</v>
      </c>
    </row>
    <row r="279" spans="10:17" x14ac:dyDescent="0.3">
      <c r="J279" s="43">
        <v>131</v>
      </c>
      <c r="K279" s="46">
        <v>9</v>
      </c>
      <c r="L279" s="46">
        <v>11</v>
      </c>
      <c r="M279" s="46">
        <v>7</v>
      </c>
      <c r="N279" s="12">
        <v>0</v>
      </c>
      <c r="O279" s="46">
        <v>11</v>
      </c>
      <c r="P279" s="46">
        <v>4</v>
      </c>
      <c r="Q279" s="46">
        <v>4</v>
      </c>
    </row>
    <row r="280" spans="10:17" x14ac:dyDescent="0.3">
      <c r="J280" s="43">
        <v>132</v>
      </c>
      <c r="K280" s="46">
        <v>9</v>
      </c>
      <c r="L280" s="46">
        <v>11</v>
      </c>
      <c r="M280" s="46">
        <v>7</v>
      </c>
      <c r="N280" s="12">
        <v>0</v>
      </c>
      <c r="O280" s="46">
        <v>11</v>
      </c>
      <c r="P280" s="46">
        <v>4</v>
      </c>
      <c r="Q280" s="46">
        <v>5</v>
      </c>
    </row>
    <row r="281" spans="10:17" x14ac:dyDescent="0.3">
      <c r="J281" s="43">
        <v>133</v>
      </c>
      <c r="K281" s="46">
        <v>9</v>
      </c>
      <c r="L281" s="46">
        <v>11</v>
      </c>
      <c r="M281" s="46">
        <v>7</v>
      </c>
      <c r="N281" s="12">
        <v>0</v>
      </c>
      <c r="O281" s="46">
        <v>11</v>
      </c>
      <c r="P281" s="46">
        <v>4</v>
      </c>
      <c r="Q281" s="46">
        <v>5</v>
      </c>
    </row>
    <row r="282" spans="10:17" x14ac:dyDescent="0.3">
      <c r="J282" s="43">
        <v>134</v>
      </c>
      <c r="K282" s="46">
        <v>9</v>
      </c>
      <c r="L282" s="46">
        <v>11</v>
      </c>
      <c r="M282" s="46">
        <v>7</v>
      </c>
      <c r="N282" s="12">
        <v>0</v>
      </c>
      <c r="O282" s="46">
        <v>11</v>
      </c>
      <c r="P282" s="46">
        <v>4</v>
      </c>
      <c r="Q282" s="46">
        <v>5</v>
      </c>
    </row>
    <row r="283" spans="10:17" x14ac:dyDescent="0.3">
      <c r="J283" s="43">
        <v>135</v>
      </c>
      <c r="K283" s="46">
        <v>9</v>
      </c>
      <c r="L283" s="46">
        <v>11</v>
      </c>
      <c r="M283" s="46">
        <v>7</v>
      </c>
      <c r="N283" s="12">
        <v>0</v>
      </c>
      <c r="O283" s="46">
        <v>11</v>
      </c>
      <c r="P283" s="46">
        <v>4</v>
      </c>
      <c r="Q283" s="46">
        <v>5</v>
      </c>
    </row>
    <row r="284" spans="10:17" x14ac:dyDescent="0.3">
      <c r="J284" s="43">
        <v>136</v>
      </c>
      <c r="K284" s="46">
        <v>9</v>
      </c>
      <c r="L284" s="46">
        <v>11</v>
      </c>
      <c r="M284" s="46">
        <v>7</v>
      </c>
      <c r="N284" s="12">
        <v>0</v>
      </c>
      <c r="O284" s="46">
        <v>11</v>
      </c>
      <c r="P284" s="46">
        <v>4</v>
      </c>
      <c r="Q284" s="46">
        <v>5</v>
      </c>
    </row>
    <row r="285" spans="10:17" x14ac:dyDescent="0.3">
      <c r="J285" s="43">
        <v>137</v>
      </c>
      <c r="K285" s="46">
        <v>9</v>
      </c>
      <c r="L285" s="46">
        <v>11</v>
      </c>
      <c r="M285" s="46">
        <v>7</v>
      </c>
      <c r="N285" s="12">
        <v>0</v>
      </c>
      <c r="O285" s="46">
        <v>11</v>
      </c>
      <c r="P285" s="46">
        <v>4</v>
      </c>
      <c r="Q285" s="46">
        <v>5</v>
      </c>
    </row>
    <row r="286" spans="10:17" x14ac:dyDescent="0.3">
      <c r="J286" s="43">
        <v>138</v>
      </c>
      <c r="K286" s="46">
        <v>9</v>
      </c>
      <c r="L286" s="46">
        <v>11</v>
      </c>
      <c r="M286" s="46">
        <v>7</v>
      </c>
      <c r="N286" s="12">
        <v>0</v>
      </c>
      <c r="O286" s="46">
        <v>11</v>
      </c>
      <c r="P286" s="46">
        <v>5</v>
      </c>
      <c r="Q286" s="46">
        <v>5</v>
      </c>
    </row>
    <row r="287" spans="10:17" x14ac:dyDescent="0.3">
      <c r="J287" s="43">
        <v>139</v>
      </c>
      <c r="K287" s="46">
        <v>9</v>
      </c>
      <c r="L287" s="46">
        <v>11</v>
      </c>
      <c r="M287" s="46">
        <v>7</v>
      </c>
      <c r="N287" s="12">
        <v>0</v>
      </c>
      <c r="O287" s="46">
        <v>11</v>
      </c>
      <c r="P287" s="46">
        <v>5</v>
      </c>
      <c r="Q287" s="46">
        <v>5</v>
      </c>
    </row>
  </sheetData>
  <mergeCells count="16">
    <mergeCell ref="BM146:BS146"/>
    <mergeCell ref="BD2:BJ2"/>
    <mergeCell ref="BM2:BS2"/>
    <mergeCell ref="K146:Q146"/>
    <mergeCell ref="B146:H146"/>
    <mergeCell ref="T146:Z146"/>
    <mergeCell ref="AC146:AI146"/>
    <mergeCell ref="AL146:AR146"/>
    <mergeCell ref="AU146:BA146"/>
    <mergeCell ref="BD146:BJ146"/>
    <mergeCell ref="B2:H2"/>
    <mergeCell ref="K2:Q2"/>
    <mergeCell ref="T2:Z2"/>
    <mergeCell ref="AC2:AI2"/>
    <mergeCell ref="AL2:AR2"/>
    <mergeCell ref="AU2:BA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7B3B-9BA4-445E-927D-BAB35233E0E3}">
  <dimension ref="A1:BQ65"/>
  <sheetViews>
    <sheetView topLeftCell="A4" zoomScale="85" zoomScaleNormal="85" workbookViewId="0">
      <selection activeCell="K26" sqref="K26"/>
    </sheetView>
  </sheetViews>
  <sheetFormatPr defaultRowHeight="14.4" x14ac:dyDescent="0.3"/>
  <cols>
    <col min="1" max="2" width="8.88671875" style="1"/>
    <col min="3" max="3" width="14.21875" style="1" bestFit="1" customWidth="1"/>
    <col min="4" max="4" width="13.21875" style="1" bestFit="1" customWidth="1"/>
    <col min="5" max="5" width="20.33203125" style="1" bestFit="1" customWidth="1"/>
    <col min="6" max="6" width="14" style="7" bestFit="1" customWidth="1"/>
    <col min="7" max="13" width="9.77734375" style="7" customWidth="1"/>
    <col min="14" max="14" width="10" style="7" bestFit="1" customWidth="1"/>
    <col min="15" max="19" width="9.77734375" style="7" customWidth="1"/>
    <col min="20" max="16384" width="8.88671875" style="1"/>
  </cols>
  <sheetData>
    <row r="1" spans="1:69" ht="14.4" customHeight="1" x14ac:dyDescent="0.3">
      <c r="G1" s="27" t="s">
        <v>15</v>
      </c>
      <c r="H1" s="27"/>
      <c r="I1" s="27"/>
      <c r="J1" s="27"/>
      <c r="K1" s="27"/>
      <c r="L1" s="27"/>
      <c r="M1" s="27"/>
      <c r="N1" s="21"/>
      <c r="O1" s="71" t="s">
        <v>16</v>
      </c>
      <c r="P1" s="71"/>
      <c r="Q1" s="71"/>
      <c r="R1" s="71"/>
      <c r="S1" s="71"/>
      <c r="T1" s="72" t="s">
        <v>12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</row>
    <row r="2" spans="1:69" ht="14.4" customHeight="1" x14ac:dyDescent="0.3">
      <c r="A2" s="8" t="s">
        <v>0</v>
      </c>
      <c r="B2" s="9" t="s">
        <v>6</v>
      </c>
      <c r="C2" s="10" t="s">
        <v>1</v>
      </c>
      <c r="D2" s="10" t="s">
        <v>2</v>
      </c>
      <c r="E2" s="10" t="s">
        <v>7</v>
      </c>
      <c r="F2" s="11" t="s">
        <v>3</v>
      </c>
      <c r="G2" s="14" t="s">
        <v>9</v>
      </c>
      <c r="H2" s="15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11" t="s">
        <v>3</v>
      </c>
      <c r="O2" s="14" t="s">
        <v>9</v>
      </c>
      <c r="P2" s="15" t="s">
        <v>5</v>
      </c>
      <c r="Q2" s="16" t="s">
        <v>8</v>
      </c>
      <c r="R2" s="17" t="s">
        <v>10</v>
      </c>
      <c r="S2" s="18" t="s">
        <v>11</v>
      </c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</row>
    <row r="3" spans="1:69" x14ac:dyDescent="0.3">
      <c r="A3" s="2">
        <v>84</v>
      </c>
      <c r="B3" s="2">
        <v>1</v>
      </c>
      <c r="C3" s="3">
        <v>44645.708333333336</v>
      </c>
      <c r="D3" s="4">
        <v>0</v>
      </c>
      <c r="E3" s="4">
        <v>0</v>
      </c>
      <c r="F3" s="5">
        <v>0</v>
      </c>
      <c r="G3" s="13">
        <f>COUNTIF(T3:BQ3, "E")</f>
        <v>50</v>
      </c>
      <c r="H3" s="13">
        <f t="shared" ref="H3:H21" si="0">COUNTIF(T3:BQ3, "L1")</f>
        <v>0</v>
      </c>
      <c r="I3" s="13">
        <f>COUNTIF(T3:BQ3, "L2")</f>
        <v>0</v>
      </c>
      <c r="J3" s="13">
        <f>COUNTIF(T3:BQ3,"L3")</f>
        <v>0</v>
      </c>
      <c r="K3" s="13">
        <f>COUNTIF(T3:BQ3, "L2")</f>
        <v>0</v>
      </c>
      <c r="L3" s="13">
        <f t="shared" ref="L3:L21" si="1">COUNTIF(T3:BQ3, "AM")</f>
        <v>0</v>
      </c>
      <c r="M3" s="13">
        <f>COUNTIF(T3:BQ3, "AF")</f>
        <v>0</v>
      </c>
      <c r="N3" s="5">
        <v>0</v>
      </c>
      <c r="O3" s="13">
        <f t="shared" ref="O3:O21" si="2">COUNTIF(T3:BQ3, "E_D")</f>
        <v>0</v>
      </c>
      <c r="P3" s="13">
        <f t="shared" ref="P3:P21" si="3">COUNTIF(T3:BQ3, "L1_D")</f>
        <v>0</v>
      </c>
      <c r="Q3" s="13">
        <f>COUNTIF(T3:BQ3, "L2_D")</f>
        <v>0</v>
      </c>
      <c r="R3" s="13">
        <f>COUNTIF($T3:$BQ3, "L3_D")</f>
        <v>0</v>
      </c>
      <c r="S3" s="13">
        <f>COUNTIF($T3:$BQ3, "P_D")</f>
        <v>0</v>
      </c>
      <c r="T3" s="13" t="s">
        <v>4</v>
      </c>
      <c r="U3" s="13" t="s">
        <v>4</v>
      </c>
      <c r="V3" s="13" t="s">
        <v>4</v>
      </c>
      <c r="W3" s="13" t="s">
        <v>4</v>
      </c>
      <c r="X3" s="13" t="s">
        <v>4</v>
      </c>
      <c r="Y3" s="13" t="s">
        <v>4</v>
      </c>
      <c r="Z3" s="13" t="s">
        <v>4</v>
      </c>
      <c r="AA3" s="13" t="s">
        <v>4</v>
      </c>
      <c r="AB3" s="13" t="s">
        <v>4</v>
      </c>
      <c r="AC3" s="13" t="s">
        <v>4</v>
      </c>
      <c r="AD3" s="13" t="s">
        <v>4</v>
      </c>
      <c r="AE3" s="13" t="s">
        <v>4</v>
      </c>
      <c r="AF3" s="13" t="s">
        <v>4</v>
      </c>
      <c r="AG3" s="13" t="s">
        <v>4</v>
      </c>
      <c r="AH3" s="13" t="s">
        <v>4</v>
      </c>
      <c r="AI3" s="13" t="s">
        <v>4</v>
      </c>
      <c r="AJ3" s="13" t="s">
        <v>4</v>
      </c>
      <c r="AK3" s="13" t="s">
        <v>4</v>
      </c>
      <c r="AL3" s="13" t="s">
        <v>4</v>
      </c>
      <c r="AM3" s="13" t="s">
        <v>4</v>
      </c>
      <c r="AN3" s="13" t="s">
        <v>4</v>
      </c>
      <c r="AO3" s="13" t="s">
        <v>4</v>
      </c>
      <c r="AP3" s="13" t="s">
        <v>4</v>
      </c>
      <c r="AQ3" s="13" t="s">
        <v>4</v>
      </c>
      <c r="AR3" s="13" t="s">
        <v>4</v>
      </c>
      <c r="AS3" s="13" t="s">
        <v>4</v>
      </c>
      <c r="AT3" s="13" t="s">
        <v>4</v>
      </c>
      <c r="AU3" s="13" t="s">
        <v>4</v>
      </c>
      <c r="AV3" s="13" t="s">
        <v>4</v>
      </c>
      <c r="AW3" s="13" t="s">
        <v>4</v>
      </c>
      <c r="AX3" s="13" t="s">
        <v>4</v>
      </c>
      <c r="AY3" s="13" t="s">
        <v>4</v>
      </c>
      <c r="AZ3" s="13" t="s">
        <v>4</v>
      </c>
      <c r="BA3" s="13" t="s">
        <v>4</v>
      </c>
      <c r="BB3" s="13" t="s">
        <v>4</v>
      </c>
      <c r="BC3" s="13" t="s">
        <v>4</v>
      </c>
      <c r="BD3" s="13" t="s">
        <v>4</v>
      </c>
      <c r="BE3" s="13" t="s">
        <v>4</v>
      </c>
      <c r="BF3" s="13" t="s">
        <v>4</v>
      </c>
      <c r="BG3" s="13" t="s">
        <v>4</v>
      </c>
      <c r="BH3" s="13" t="s">
        <v>4</v>
      </c>
      <c r="BI3" s="13" t="s">
        <v>4</v>
      </c>
      <c r="BJ3" s="13" t="s">
        <v>4</v>
      </c>
      <c r="BK3" s="13" t="s">
        <v>4</v>
      </c>
      <c r="BL3" s="13" t="s">
        <v>4</v>
      </c>
      <c r="BM3" s="13" t="s">
        <v>4</v>
      </c>
      <c r="BN3" s="13" t="s">
        <v>4</v>
      </c>
      <c r="BO3" s="13" t="s">
        <v>4</v>
      </c>
      <c r="BP3" s="13" t="s">
        <v>4</v>
      </c>
      <c r="BQ3" s="13" t="s">
        <v>4</v>
      </c>
    </row>
    <row r="4" spans="1:69" x14ac:dyDescent="0.3">
      <c r="A4" s="2">
        <f>A3+1</f>
        <v>85</v>
      </c>
      <c r="B4" s="2">
        <v>2</v>
      </c>
      <c r="C4" s="3">
        <v>44646.708333333336</v>
      </c>
      <c r="D4" s="4">
        <v>24</v>
      </c>
      <c r="E4" s="4">
        <f t="shared" ref="E4:E21" si="4">E3+D4</f>
        <v>24</v>
      </c>
      <c r="F4" s="5">
        <f>E4/24</f>
        <v>1</v>
      </c>
      <c r="G4" s="13">
        <f t="shared" ref="G4:G21" si="5">COUNTIF(T4:BQ4, "E")</f>
        <v>50</v>
      </c>
      <c r="H4" s="13">
        <f t="shared" si="0"/>
        <v>0</v>
      </c>
      <c r="I4" s="13">
        <f t="shared" ref="I4:I21" si="6">COUNTIF(T4:BQ4, "L2")</f>
        <v>0</v>
      </c>
      <c r="J4" s="13">
        <f t="shared" ref="J4:J21" si="7">COUNTIF(T4:BQ4,"L3")</f>
        <v>0</v>
      </c>
      <c r="K4" s="13">
        <f t="shared" ref="K4:K21" si="8">COUNTIF(T4:BQ4, "L2")</f>
        <v>0</v>
      </c>
      <c r="L4" s="13">
        <f t="shared" si="1"/>
        <v>0</v>
      </c>
      <c r="M4" s="13">
        <f t="shared" ref="M4:M21" si="9">COUNTIF(T4:BQ4, "AF")</f>
        <v>0</v>
      </c>
      <c r="N4" s="5">
        <v>1</v>
      </c>
      <c r="O4" s="13">
        <f t="shared" si="2"/>
        <v>0</v>
      </c>
      <c r="P4" s="13">
        <f t="shared" si="3"/>
        <v>0</v>
      </c>
      <c r="Q4" s="13">
        <f t="shared" ref="Q4:Q21" si="10">COUNTIF(T4:BQ4, "L2_D")</f>
        <v>0</v>
      </c>
      <c r="R4" s="13">
        <f t="shared" ref="R4:R21" si="11">COUNTIF($T4:$BQ4, "L3_D")</f>
        <v>0</v>
      </c>
      <c r="S4" s="13">
        <f t="shared" ref="S4:S21" si="12">COUNTIF($T4:$BQ4, "P_D")</f>
        <v>0</v>
      </c>
      <c r="T4" s="12" t="s">
        <v>4</v>
      </c>
      <c r="U4" s="12" t="s">
        <v>4</v>
      </c>
      <c r="V4" s="12" t="s">
        <v>4</v>
      </c>
      <c r="W4" s="12" t="s">
        <v>4</v>
      </c>
      <c r="X4" s="12" t="s">
        <v>4</v>
      </c>
      <c r="Y4" s="12" t="s">
        <v>4</v>
      </c>
      <c r="Z4" s="12" t="s">
        <v>4</v>
      </c>
      <c r="AA4" s="12" t="s">
        <v>4</v>
      </c>
      <c r="AB4" s="12" t="s">
        <v>4</v>
      </c>
      <c r="AC4" s="12" t="s">
        <v>4</v>
      </c>
      <c r="AD4" s="12" t="s">
        <v>4</v>
      </c>
      <c r="AE4" s="12" t="s">
        <v>4</v>
      </c>
      <c r="AF4" s="12" t="s">
        <v>4</v>
      </c>
      <c r="AG4" s="12" t="s">
        <v>4</v>
      </c>
      <c r="AH4" s="12" t="s">
        <v>4</v>
      </c>
      <c r="AI4" s="12" t="s">
        <v>4</v>
      </c>
      <c r="AJ4" s="12" t="s">
        <v>4</v>
      </c>
      <c r="AK4" s="12" t="s">
        <v>4</v>
      </c>
      <c r="AL4" s="12" t="s">
        <v>4</v>
      </c>
      <c r="AM4" s="12" t="s">
        <v>4</v>
      </c>
      <c r="AN4" s="12" t="s">
        <v>4</v>
      </c>
      <c r="AO4" s="12" t="s">
        <v>4</v>
      </c>
      <c r="AP4" s="12" t="s">
        <v>4</v>
      </c>
      <c r="AQ4" s="12" t="s">
        <v>4</v>
      </c>
      <c r="AR4" s="12" t="s">
        <v>4</v>
      </c>
      <c r="AS4" s="12" t="s">
        <v>4</v>
      </c>
      <c r="AT4" s="12" t="s">
        <v>4</v>
      </c>
      <c r="AU4" s="12" t="s">
        <v>4</v>
      </c>
      <c r="AV4" s="12" t="s">
        <v>4</v>
      </c>
      <c r="AW4" s="12" t="s">
        <v>4</v>
      </c>
      <c r="AX4" s="12" t="s">
        <v>4</v>
      </c>
      <c r="AY4" s="12" t="s">
        <v>4</v>
      </c>
      <c r="AZ4" s="12" t="s">
        <v>4</v>
      </c>
      <c r="BA4" s="12" t="s">
        <v>4</v>
      </c>
      <c r="BB4" s="12" t="s">
        <v>4</v>
      </c>
      <c r="BC4" s="12" t="s">
        <v>4</v>
      </c>
      <c r="BD4" s="12" t="s">
        <v>4</v>
      </c>
      <c r="BE4" s="12" t="s">
        <v>4</v>
      </c>
      <c r="BF4" s="12" t="s">
        <v>4</v>
      </c>
      <c r="BG4" s="12" t="s">
        <v>4</v>
      </c>
      <c r="BH4" s="12" t="s">
        <v>4</v>
      </c>
      <c r="BI4" s="12" t="s">
        <v>4</v>
      </c>
      <c r="BJ4" s="12" t="s">
        <v>4</v>
      </c>
      <c r="BK4" s="12" t="s">
        <v>4</v>
      </c>
      <c r="BL4" s="12" t="s">
        <v>4</v>
      </c>
      <c r="BM4" s="12" t="s">
        <v>4</v>
      </c>
      <c r="BN4" s="12" t="s">
        <v>4</v>
      </c>
      <c r="BO4" s="12" t="s">
        <v>4</v>
      </c>
      <c r="BP4" s="12" t="s">
        <v>4</v>
      </c>
      <c r="BQ4" s="12" t="s">
        <v>4</v>
      </c>
    </row>
    <row r="5" spans="1:69" x14ac:dyDescent="0.3">
      <c r="A5" s="2">
        <f t="shared" ref="A5:A20" si="13">A4+1</f>
        <v>86</v>
      </c>
      <c r="B5" s="2">
        <v>3</v>
      </c>
      <c r="C5" s="3">
        <v>44647.708333333336</v>
      </c>
      <c r="D5" s="4">
        <v>24</v>
      </c>
      <c r="E5" s="4">
        <f t="shared" si="4"/>
        <v>48</v>
      </c>
      <c r="F5" s="5">
        <f>E5/24</f>
        <v>2</v>
      </c>
      <c r="G5" s="13">
        <f t="shared" si="5"/>
        <v>50</v>
      </c>
      <c r="H5" s="13">
        <f t="shared" si="0"/>
        <v>0</v>
      </c>
      <c r="I5" s="13">
        <f t="shared" si="6"/>
        <v>0</v>
      </c>
      <c r="J5" s="13">
        <f t="shared" si="7"/>
        <v>0</v>
      </c>
      <c r="K5" s="13">
        <f t="shared" si="8"/>
        <v>0</v>
      </c>
      <c r="L5" s="13">
        <f t="shared" si="1"/>
        <v>0</v>
      </c>
      <c r="M5" s="13">
        <f t="shared" si="9"/>
        <v>0</v>
      </c>
      <c r="N5" s="5">
        <v>2</v>
      </c>
      <c r="O5" s="13">
        <f t="shared" si="2"/>
        <v>0</v>
      </c>
      <c r="P5" s="13">
        <f t="shared" si="3"/>
        <v>0</v>
      </c>
      <c r="Q5" s="13">
        <f t="shared" si="10"/>
        <v>0</v>
      </c>
      <c r="R5" s="13">
        <f t="shared" si="11"/>
        <v>0</v>
      </c>
      <c r="S5" s="13">
        <f t="shared" si="12"/>
        <v>0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  <c r="AN5" s="12" t="s">
        <v>4</v>
      </c>
      <c r="AO5" s="12" t="s">
        <v>4</v>
      </c>
      <c r="AP5" s="12" t="s">
        <v>4</v>
      </c>
      <c r="AQ5" s="12" t="s">
        <v>4</v>
      </c>
      <c r="AR5" s="12" t="s">
        <v>4</v>
      </c>
      <c r="AS5" s="12" t="s">
        <v>4</v>
      </c>
      <c r="AT5" s="12" t="s">
        <v>4</v>
      </c>
      <c r="AU5" s="12" t="s">
        <v>4</v>
      </c>
      <c r="AV5" s="12" t="s">
        <v>4</v>
      </c>
      <c r="AW5" s="12" t="s">
        <v>4</v>
      </c>
      <c r="AX5" s="12" t="s">
        <v>4</v>
      </c>
      <c r="AY5" s="12" t="s">
        <v>4</v>
      </c>
      <c r="AZ5" s="12" t="s">
        <v>4</v>
      </c>
      <c r="BA5" s="12" t="s">
        <v>4</v>
      </c>
      <c r="BB5" s="12" t="s">
        <v>4</v>
      </c>
      <c r="BC5" s="12" t="s">
        <v>4</v>
      </c>
      <c r="BD5" s="12" t="s">
        <v>4</v>
      </c>
      <c r="BE5" s="12" t="s">
        <v>4</v>
      </c>
      <c r="BF5" s="12" t="s">
        <v>4</v>
      </c>
      <c r="BG5" s="12" t="s">
        <v>4</v>
      </c>
      <c r="BH5" s="12" t="s">
        <v>4</v>
      </c>
      <c r="BI5" s="12" t="s">
        <v>4</v>
      </c>
      <c r="BJ5" s="12" t="s">
        <v>4</v>
      </c>
      <c r="BK5" s="12" t="s">
        <v>4</v>
      </c>
      <c r="BL5" s="12" t="s">
        <v>4</v>
      </c>
      <c r="BM5" s="12" t="s">
        <v>4</v>
      </c>
      <c r="BN5" s="12" t="s">
        <v>4</v>
      </c>
      <c r="BO5" s="12" t="s">
        <v>4</v>
      </c>
      <c r="BP5" s="12" t="s">
        <v>4</v>
      </c>
      <c r="BQ5" s="12" t="s">
        <v>4</v>
      </c>
    </row>
    <row r="6" spans="1:69" x14ac:dyDescent="0.3">
      <c r="A6" s="2">
        <f t="shared" si="13"/>
        <v>87</v>
      </c>
      <c r="B6" s="2">
        <v>4</v>
      </c>
      <c r="C6" s="3">
        <v>44648.708333333336</v>
      </c>
      <c r="D6" s="4">
        <v>24</v>
      </c>
      <c r="E6" s="4">
        <f t="shared" si="4"/>
        <v>72</v>
      </c>
      <c r="F6" s="5">
        <f t="shared" ref="F6:F20" si="14">E6/24</f>
        <v>3</v>
      </c>
      <c r="G6" s="13">
        <f t="shared" si="5"/>
        <v>50</v>
      </c>
      <c r="H6" s="13">
        <f t="shared" si="0"/>
        <v>0</v>
      </c>
      <c r="I6" s="13">
        <f t="shared" si="6"/>
        <v>0</v>
      </c>
      <c r="J6" s="13">
        <f t="shared" si="7"/>
        <v>0</v>
      </c>
      <c r="K6" s="13">
        <f t="shared" si="8"/>
        <v>0</v>
      </c>
      <c r="L6" s="13">
        <f t="shared" si="1"/>
        <v>0</v>
      </c>
      <c r="M6" s="13">
        <f t="shared" si="9"/>
        <v>0</v>
      </c>
      <c r="N6" s="5">
        <v>3</v>
      </c>
      <c r="O6" s="13">
        <f t="shared" si="2"/>
        <v>0</v>
      </c>
      <c r="P6" s="13">
        <f t="shared" si="3"/>
        <v>0</v>
      </c>
      <c r="Q6" s="13">
        <f t="shared" si="10"/>
        <v>0</v>
      </c>
      <c r="R6" s="13">
        <f t="shared" si="11"/>
        <v>0</v>
      </c>
      <c r="S6" s="13">
        <f t="shared" si="12"/>
        <v>0</v>
      </c>
      <c r="T6" s="12" t="s">
        <v>4</v>
      </c>
      <c r="U6" s="12" t="s">
        <v>4</v>
      </c>
      <c r="V6" s="12" t="s">
        <v>4</v>
      </c>
      <c r="W6" s="12" t="s">
        <v>4</v>
      </c>
      <c r="X6" s="12" t="s">
        <v>4</v>
      </c>
      <c r="Y6" s="12" t="s">
        <v>4</v>
      </c>
      <c r="Z6" s="12" t="s">
        <v>4</v>
      </c>
      <c r="AA6" s="12" t="s">
        <v>4</v>
      </c>
      <c r="AB6" s="12" t="s">
        <v>4</v>
      </c>
      <c r="AC6" s="12" t="s">
        <v>4</v>
      </c>
      <c r="AD6" s="12" t="s">
        <v>4</v>
      </c>
      <c r="AE6" s="12" t="s">
        <v>4</v>
      </c>
      <c r="AF6" s="12" t="s">
        <v>4</v>
      </c>
      <c r="AG6" s="12" t="s">
        <v>4</v>
      </c>
      <c r="AH6" s="12" t="s">
        <v>4</v>
      </c>
      <c r="AI6" s="12" t="s">
        <v>4</v>
      </c>
      <c r="AJ6" s="12" t="s">
        <v>4</v>
      </c>
      <c r="AK6" s="12" t="s">
        <v>4</v>
      </c>
      <c r="AL6" s="12" t="s">
        <v>4</v>
      </c>
      <c r="AM6" s="12" t="s">
        <v>4</v>
      </c>
      <c r="AN6" s="12" t="s">
        <v>4</v>
      </c>
      <c r="AO6" s="12" t="s">
        <v>4</v>
      </c>
      <c r="AP6" s="12" t="s">
        <v>4</v>
      </c>
      <c r="AQ6" s="12" t="s">
        <v>4</v>
      </c>
      <c r="AR6" s="12" t="s">
        <v>4</v>
      </c>
      <c r="AS6" s="12" t="s">
        <v>4</v>
      </c>
      <c r="AT6" s="12" t="s">
        <v>4</v>
      </c>
      <c r="AU6" s="12" t="s">
        <v>4</v>
      </c>
      <c r="AV6" s="12" t="s">
        <v>4</v>
      </c>
      <c r="AW6" s="12" t="s">
        <v>4</v>
      </c>
      <c r="AX6" s="12" t="s">
        <v>4</v>
      </c>
      <c r="AY6" s="12" t="s">
        <v>4</v>
      </c>
      <c r="AZ6" s="12" t="s">
        <v>4</v>
      </c>
      <c r="BA6" s="12" t="s">
        <v>4</v>
      </c>
      <c r="BB6" s="12" t="s">
        <v>4</v>
      </c>
      <c r="BC6" s="12" t="s">
        <v>4</v>
      </c>
      <c r="BD6" s="12" t="s">
        <v>4</v>
      </c>
      <c r="BE6" s="12" t="s">
        <v>4</v>
      </c>
      <c r="BF6" s="12" t="s">
        <v>4</v>
      </c>
      <c r="BG6" s="12" t="s">
        <v>4</v>
      </c>
      <c r="BH6" s="12" t="s">
        <v>4</v>
      </c>
      <c r="BI6" s="12" t="s">
        <v>4</v>
      </c>
      <c r="BJ6" s="12" t="s">
        <v>4</v>
      </c>
      <c r="BK6" s="12" t="s">
        <v>4</v>
      </c>
      <c r="BL6" s="12" t="s">
        <v>4</v>
      </c>
      <c r="BM6" s="12" t="s">
        <v>4</v>
      </c>
      <c r="BN6" s="12" t="s">
        <v>4</v>
      </c>
      <c r="BO6" s="12" t="s">
        <v>4</v>
      </c>
      <c r="BP6" s="12" t="s">
        <v>4</v>
      </c>
      <c r="BQ6" s="12" t="s">
        <v>4</v>
      </c>
    </row>
    <row r="7" spans="1:69" x14ac:dyDescent="0.3">
      <c r="A7" s="2">
        <f t="shared" si="13"/>
        <v>88</v>
      </c>
      <c r="B7" s="2">
        <v>5</v>
      </c>
      <c r="C7" s="3">
        <v>44649.708333333336</v>
      </c>
      <c r="D7" s="4">
        <v>24</v>
      </c>
      <c r="E7" s="4">
        <f t="shared" si="4"/>
        <v>96</v>
      </c>
      <c r="F7" s="5">
        <f t="shared" si="14"/>
        <v>4</v>
      </c>
      <c r="G7" s="13">
        <f t="shared" si="5"/>
        <v>50</v>
      </c>
      <c r="H7" s="13">
        <f t="shared" si="0"/>
        <v>0</v>
      </c>
      <c r="I7" s="13">
        <f t="shared" si="6"/>
        <v>0</v>
      </c>
      <c r="J7" s="13">
        <f>COUNTIF(T7:BQ7,"L3")</f>
        <v>0</v>
      </c>
      <c r="K7" s="13">
        <f t="shared" si="8"/>
        <v>0</v>
      </c>
      <c r="L7" s="13">
        <f t="shared" si="1"/>
        <v>0</v>
      </c>
      <c r="M7" s="13">
        <f t="shared" si="9"/>
        <v>0</v>
      </c>
      <c r="N7" s="5">
        <v>4</v>
      </c>
      <c r="O7" s="13">
        <f t="shared" si="2"/>
        <v>0</v>
      </c>
      <c r="P7" s="13">
        <f t="shared" si="3"/>
        <v>0</v>
      </c>
      <c r="Q7" s="13">
        <f t="shared" si="10"/>
        <v>0</v>
      </c>
      <c r="R7" s="13">
        <f t="shared" si="11"/>
        <v>0</v>
      </c>
      <c r="S7" s="13">
        <f t="shared" si="12"/>
        <v>0</v>
      </c>
      <c r="T7" s="12" t="s">
        <v>4</v>
      </c>
      <c r="U7" s="12" t="s">
        <v>4</v>
      </c>
      <c r="V7" s="12" t="s">
        <v>4</v>
      </c>
      <c r="W7" s="12" t="s">
        <v>4</v>
      </c>
      <c r="X7" s="12" t="s">
        <v>4</v>
      </c>
      <c r="Y7" s="12" t="s">
        <v>4</v>
      </c>
      <c r="Z7" s="12" t="s">
        <v>4</v>
      </c>
      <c r="AA7" s="12" t="s">
        <v>4</v>
      </c>
      <c r="AB7" s="12" t="s">
        <v>4</v>
      </c>
      <c r="AC7" s="12" t="s">
        <v>4</v>
      </c>
      <c r="AD7" s="12" t="s">
        <v>4</v>
      </c>
      <c r="AE7" s="12" t="s">
        <v>4</v>
      </c>
      <c r="AF7" s="12" t="s">
        <v>4</v>
      </c>
      <c r="AG7" s="12" t="s">
        <v>4</v>
      </c>
      <c r="AH7" s="12" t="s">
        <v>4</v>
      </c>
      <c r="AI7" s="12" t="s">
        <v>4</v>
      </c>
      <c r="AJ7" s="12" t="s">
        <v>4</v>
      </c>
      <c r="AK7" s="12" t="s">
        <v>4</v>
      </c>
      <c r="AL7" s="12" t="s">
        <v>4</v>
      </c>
      <c r="AM7" s="12" t="s">
        <v>4</v>
      </c>
      <c r="AN7" s="12" t="s">
        <v>4</v>
      </c>
      <c r="AO7" s="12" t="s">
        <v>4</v>
      </c>
      <c r="AP7" s="12" t="s">
        <v>4</v>
      </c>
      <c r="AQ7" s="12" t="s">
        <v>4</v>
      </c>
      <c r="AR7" s="12" t="s">
        <v>4</v>
      </c>
      <c r="AS7" s="12" t="s">
        <v>4</v>
      </c>
      <c r="AT7" s="12" t="s">
        <v>4</v>
      </c>
      <c r="AU7" s="12" t="s">
        <v>4</v>
      </c>
      <c r="AV7" s="12" t="s">
        <v>4</v>
      </c>
      <c r="AW7" s="12" t="s">
        <v>4</v>
      </c>
      <c r="AX7" s="12" t="s">
        <v>4</v>
      </c>
      <c r="AY7" s="12" t="s">
        <v>4</v>
      </c>
      <c r="AZ7" s="12" t="s">
        <v>4</v>
      </c>
      <c r="BA7" s="12" t="s">
        <v>4</v>
      </c>
      <c r="BB7" s="12" t="s">
        <v>4</v>
      </c>
      <c r="BC7" s="12" t="s">
        <v>4</v>
      </c>
      <c r="BD7" s="12" t="s">
        <v>4</v>
      </c>
      <c r="BE7" s="12" t="s">
        <v>4</v>
      </c>
      <c r="BF7" s="12" t="s">
        <v>4</v>
      </c>
      <c r="BG7" s="12" t="s">
        <v>4</v>
      </c>
      <c r="BH7" s="12" t="s">
        <v>4</v>
      </c>
      <c r="BI7" s="12" t="s">
        <v>4</v>
      </c>
      <c r="BJ7" s="12" t="s">
        <v>4</v>
      </c>
      <c r="BK7" s="12" t="s">
        <v>4</v>
      </c>
      <c r="BL7" s="12" t="s">
        <v>4</v>
      </c>
      <c r="BM7" s="12" t="s">
        <v>4</v>
      </c>
      <c r="BN7" s="12" t="s">
        <v>4</v>
      </c>
      <c r="BO7" s="12" t="s">
        <v>4</v>
      </c>
      <c r="BP7" s="12" t="s">
        <v>4</v>
      </c>
      <c r="BQ7" s="12" t="s">
        <v>4</v>
      </c>
    </row>
    <row r="8" spans="1:69" x14ac:dyDescent="0.3">
      <c r="A8" s="2">
        <f t="shared" si="13"/>
        <v>89</v>
      </c>
      <c r="B8" s="2">
        <v>6</v>
      </c>
      <c r="C8" s="3">
        <v>44650.708333333336</v>
      </c>
      <c r="D8" s="4">
        <v>24</v>
      </c>
      <c r="E8" s="4">
        <f t="shared" si="4"/>
        <v>120</v>
      </c>
      <c r="F8" s="5">
        <f>E8/24</f>
        <v>5</v>
      </c>
      <c r="G8" s="13">
        <f t="shared" si="5"/>
        <v>46</v>
      </c>
      <c r="H8" s="13">
        <f t="shared" si="0"/>
        <v>4</v>
      </c>
      <c r="I8" s="13">
        <f t="shared" si="6"/>
        <v>0</v>
      </c>
      <c r="J8" s="13">
        <f t="shared" si="7"/>
        <v>0</v>
      </c>
      <c r="K8" s="13">
        <f t="shared" si="8"/>
        <v>0</v>
      </c>
      <c r="L8" s="13">
        <f t="shared" si="1"/>
        <v>0</v>
      </c>
      <c r="M8" s="13">
        <f t="shared" si="9"/>
        <v>0</v>
      </c>
      <c r="N8" s="5">
        <v>5</v>
      </c>
      <c r="O8" s="13">
        <f t="shared" si="2"/>
        <v>0</v>
      </c>
      <c r="P8" s="13">
        <f t="shared" si="3"/>
        <v>0</v>
      </c>
      <c r="Q8" s="13">
        <f t="shared" si="10"/>
        <v>0</v>
      </c>
      <c r="R8" s="13">
        <f t="shared" si="11"/>
        <v>0</v>
      </c>
      <c r="S8" s="13">
        <f t="shared" si="12"/>
        <v>0</v>
      </c>
      <c r="T8" s="12" t="s">
        <v>5</v>
      </c>
      <c r="U8" s="12" t="s">
        <v>5</v>
      </c>
      <c r="V8" s="12" t="s">
        <v>5</v>
      </c>
      <c r="W8" s="12" t="s">
        <v>5</v>
      </c>
      <c r="X8" s="12" t="s">
        <v>4</v>
      </c>
      <c r="Y8" s="12" t="s">
        <v>4</v>
      </c>
      <c r="Z8" s="12" t="s">
        <v>4</v>
      </c>
      <c r="AA8" s="12" t="s">
        <v>4</v>
      </c>
      <c r="AB8" s="12" t="s">
        <v>4</v>
      </c>
      <c r="AC8" s="12" t="s">
        <v>4</v>
      </c>
      <c r="AD8" s="12" t="s">
        <v>4</v>
      </c>
      <c r="AE8" s="12" t="s">
        <v>4</v>
      </c>
      <c r="AF8" s="12" t="s">
        <v>4</v>
      </c>
      <c r="AG8" s="12" t="s">
        <v>4</v>
      </c>
      <c r="AH8" s="12" t="s">
        <v>4</v>
      </c>
      <c r="AI8" s="12" t="s">
        <v>4</v>
      </c>
      <c r="AJ8" s="12" t="s">
        <v>4</v>
      </c>
      <c r="AK8" s="12" t="s">
        <v>4</v>
      </c>
      <c r="AL8" s="12" t="s">
        <v>4</v>
      </c>
      <c r="AM8" s="12" t="s">
        <v>4</v>
      </c>
      <c r="AN8" s="12" t="s">
        <v>4</v>
      </c>
      <c r="AO8" s="12" t="s">
        <v>4</v>
      </c>
      <c r="AP8" s="12" t="s">
        <v>4</v>
      </c>
      <c r="AQ8" s="12" t="s">
        <v>4</v>
      </c>
      <c r="AR8" s="12" t="s">
        <v>4</v>
      </c>
      <c r="AS8" s="12" t="s">
        <v>4</v>
      </c>
      <c r="AT8" s="12" t="s">
        <v>4</v>
      </c>
      <c r="AU8" s="12" t="s">
        <v>4</v>
      </c>
      <c r="AV8" s="12" t="s">
        <v>4</v>
      </c>
      <c r="AW8" s="12" t="s">
        <v>4</v>
      </c>
      <c r="AX8" s="12" t="s">
        <v>4</v>
      </c>
      <c r="AY8" s="12" t="s">
        <v>4</v>
      </c>
      <c r="AZ8" s="12" t="s">
        <v>4</v>
      </c>
      <c r="BA8" s="12" t="s">
        <v>4</v>
      </c>
      <c r="BB8" s="12" t="s">
        <v>4</v>
      </c>
      <c r="BC8" s="12" t="s">
        <v>4</v>
      </c>
      <c r="BD8" s="12" t="s">
        <v>4</v>
      </c>
      <c r="BE8" s="12" t="s">
        <v>4</v>
      </c>
      <c r="BF8" s="12" t="s">
        <v>4</v>
      </c>
      <c r="BG8" s="12" t="s">
        <v>4</v>
      </c>
      <c r="BH8" s="12" t="s">
        <v>4</v>
      </c>
      <c r="BI8" s="12" t="s">
        <v>4</v>
      </c>
      <c r="BJ8" s="12" t="s">
        <v>4</v>
      </c>
      <c r="BK8" s="12" t="s">
        <v>4</v>
      </c>
      <c r="BL8" s="12" t="s">
        <v>4</v>
      </c>
      <c r="BM8" s="12" t="s">
        <v>4</v>
      </c>
      <c r="BN8" s="12" t="s">
        <v>4</v>
      </c>
      <c r="BO8" s="12" t="s">
        <v>4</v>
      </c>
      <c r="BP8" s="12" t="s">
        <v>4</v>
      </c>
      <c r="BQ8" s="12" t="s">
        <v>4</v>
      </c>
    </row>
    <row r="9" spans="1:69" x14ac:dyDescent="0.3">
      <c r="A9" s="2">
        <f t="shared" si="13"/>
        <v>90</v>
      </c>
      <c r="B9" s="2">
        <v>7</v>
      </c>
      <c r="C9" s="3">
        <v>44651.708333333336</v>
      </c>
      <c r="D9" s="4">
        <v>24</v>
      </c>
      <c r="E9" s="4">
        <f t="shared" si="4"/>
        <v>144</v>
      </c>
      <c r="F9" s="5">
        <f>E9/24</f>
        <v>6</v>
      </c>
      <c r="G9" s="13">
        <f t="shared" si="5"/>
        <v>46</v>
      </c>
      <c r="H9" s="13">
        <f t="shared" si="0"/>
        <v>4</v>
      </c>
      <c r="I9" s="13">
        <f t="shared" si="6"/>
        <v>0</v>
      </c>
      <c r="J9" s="13">
        <f t="shared" si="7"/>
        <v>0</v>
      </c>
      <c r="K9" s="13">
        <f t="shared" si="8"/>
        <v>0</v>
      </c>
      <c r="L9" s="13">
        <f t="shared" si="1"/>
        <v>0</v>
      </c>
      <c r="M9" s="13">
        <f t="shared" si="9"/>
        <v>0</v>
      </c>
      <c r="N9" s="5">
        <v>6</v>
      </c>
      <c r="O9" s="13">
        <f t="shared" si="2"/>
        <v>0</v>
      </c>
      <c r="P9" s="13">
        <f t="shared" si="3"/>
        <v>0</v>
      </c>
      <c r="Q9" s="13">
        <f t="shared" si="10"/>
        <v>0</v>
      </c>
      <c r="R9" s="13">
        <f t="shared" si="11"/>
        <v>0</v>
      </c>
      <c r="S9" s="13">
        <f t="shared" si="12"/>
        <v>0</v>
      </c>
      <c r="T9" s="12" t="s">
        <v>5</v>
      </c>
      <c r="U9" s="12" t="s">
        <v>5</v>
      </c>
      <c r="V9" s="12" t="s">
        <v>5</v>
      </c>
      <c r="W9" s="12" t="s">
        <v>5</v>
      </c>
      <c r="X9" s="12" t="s">
        <v>4</v>
      </c>
      <c r="Y9" s="12" t="s">
        <v>4</v>
      </c>
      <c r="Z9" s="12" t="s">
        <v>4</v>
      </c>
      <c r="AA9" s="12" t="s">
        <v>4</v>
      </c>
      <c r="AB9" s="12" t="s">
        <v>4</v>
      </c>
      <c r="AC9" s="12" t="s">
        <v>4</v>
      </c>
      <c r="AD9" s="12" t="s">
        <v>4</v>
      </c>
      <c r="AE9" s="12" t="s">
        <v>4</v>
      </c>
      <c r="AF9" s="12" t="s">
        <v>4</v>
      </c>
      <c r="AG9" s="12" t="s">
        <v>4</v>
      </c>
      <c r="AH9" s="12" t="s">
        <v>4</v>
      </c>
      <c r="AI9" s="12" t="s">
        <v>4</v>
      </c>
      <c r="AJ9" s="12" t="s">
        <v>4</v>
      </c>
      <c r="AK9" s="12" t="s">
        <v>4</v>
      </c>
      <c r="AL9" s="12" t="s">
        <v>4</v>
      </c>
      <c r="AM9" s="12" t="s">
        <v>4</v>
      </c>
      <c r="AN9" s="12" t="s">
        <v>4</v>
      </c>
      <c r="AO9" s="12" t="s">
        <v>4</v>
      </c>
      <c r="AP9" s="12" t="s">
        <v>4</v>
      </c>
      <c r="AQ9" s="12" t="s">
        <v>4</v>
      </c>
      <c r="AR9" s="12" t="s">
        <v>4</v>
      </c>
      <c r="AS9" s="12" t="s">
        <v>4</v>
      </c>
      <c r="AT9" s="12" t="s">
        <v>4</v>
      </c>
      <c r="AU9" s="12" t="s">
        <v>4</v>
      </c>
      <c r="AV9" s="12" t="s">
        <v>4</v>
      </c>
      <c r="AW9" s="12" t="s">
        <v>4</v>
      </c>
      <c r="AX9" s="12" t="s">
        <v>4</v>
      </c>
      <c r="AY9" s="12" t="s">
        <v>4</v>
      </c>
      <c r="AZ9" s="12" t="s">
        <v>4</v>
      </c>
      <c r="BA9" s="12" t="s">
        <v>4</v>
      </c>
      <c r="BB9" s="12" t="s">
        <v>4</v>
      </c>
      <c r="BC9" s="12" t="s">
        <v>4</v>
      </c>
      <c r="BD9" s="12" t="s">
        <v>4</v>
      </c>
      <c r="BE9" s="12" t="s">
        <v>4</v>
      </c>
      <c r="BF9" s="12" t="s">
        <v>4</v>
      </c>
      <c r="BG9" s="12" t="s">
        <v>4</v>
      </c>
      <c r="BH9" s="12" t="s">
        <v>4</v>
      </c>
      <c r="BI9" s="12" t="s">
        <v>4</v>
      </c>
      <c r="BJ9" s="12" t="s">
        <v>4</v>
      </c>
      <c r="BK9" s="12" t="s">
        <v>4</v>
      </c>
      <c r="BL9" s="12" t="s">
        <v>4</v>
      </c>
      <c r="BM9" s="12" t="s">
        <v>4</v>
      </c>
      <c r="BN9" s="12" t="s">
        <v>4</v>
      </c>
      <c r="BO9" s="12" t="s">
        <v>4</v>
      </c>
      <c r="BP9" s="12" t="s">
        <v>4</v>
      </c>
      <c r="BQ9" s="12" t="s">
        <v>4</v>
      </c>
    </row>
    <row r="10" spans="1:69" x14ac:dyDescent="0.3">
      <c r="A10" s="2">
        <f t="shared" si="13"/>
        <v>91</v>
      </c>
      <c r="B10" s="2">
        <v>8</v>
      </c>
      <c r="C10" s="3">
        <v>44652.708333333336</v>
      </c>
      <c r="D10" s="4">
        <v>24</v>
      </c>
      <c r="E10" s="4">
        <f t="shared" si="4"/>
        <v>168</v>
      </c>
      <c r="F10" s="5">
        <f>E10/24</f>
        <v>7</v>
      </c>
      <c r="G10" s="13">
        <f t="shared" si="5"/>
        <v>46</v>
      </c>
      <c r="H10" s="13">
        <f t="shared" si="0"/>
        <v>2</v>
      </c>
      <c r="I10" s="13">
        <f t="shared" si="6"/>
        <v>0</v>
      </c>
      <c r="J10" s="13">
        <f t="shared" si="7"/>
        <v>0</v>
      </c>
      <c r="K10" s="13">
        <f t="shared" si="8"/>
        <v>0</v>
      </c>
      <c r="L10" s="13">
        <f t="shared" si="1"/>
        <v>0</v>
      </c>
      <c r="M10" s="13">
        <f t="shared" si="9"/>
        <v>0</v>
      </c>
      <c r="N10" s="5">
        <v>7</v>
      </c>
      <c r="O10" s="13">
        <f t="shared" si="2"/>
        <v>0</v>
      </c>
      <c r="P10" s="13">
        <f>COUNTIF(T10:BQ10, "L1_D")</f>
        <v>2</v>
      </c>
      <c r="Q10" s="13">
        <f t="shared" si="10"/>
        <v>0</v>
      </c>
      <c r="R10" s="13">
        <f t="shared" si="11"/>
        <v>0</v>
      </c>
      <c r="S10" s="13">
        <f t="shared" si="12"/>
        <v>0</v>
      </c>
      <c r="T10" s="12" t="s">
        <v>5</v>
      </c>
      <c r="U10" s="26" t="s">
        <v>18</v>
      </c>
      <c r="V10" s="12" t="s">
        <v>5</v>
      </c>
      <c r="W10" s="26" t="s">
        <v>18</v>
      </c>
      <c r="X10" s="12" t="s">
        <v>4</v>
      </c>
      <c r="Y10" s="12" t="s">
        <v>4</v>
      </c>
      <c r="Z10" s="12" t="s">
        <v>4</v>
      </c>
      <c r="AA10" s="12" t="s">
        <v>4</v>
      </c>
      <c r="AB10" s="12" t="s">
        <v>4</v>
      </c>
      <c r="AC10" s="12" t="s">
        <v>4</v>
      </c>
      <c r="AD10" s="12" t="s">
        <v>4</v>
      </c>
      <c r="AE10" s="12" t="s">
        <v>4</v>
      </c>
      <c r="AF10" s="12" t="s">
        <v>4</v>
      </c>
      <c r="AG10" s="12" t="s">
        <v>4</v>
      </c>
      <c r="AH10" s="12" t="s">
        <v>4</v>
      </c>
      <c r="AI10" s="12" t="s">
        <v>4</v>
      </c>
      <c r="AJ10" s="12" t="s">
        <v>4</v>
      </c>
      <c r="AK10" s="12" t="s">
        <v>4</v>
      </c>
      <c r="AL10" s="12" t="s">
        <v>4</v>
      </c>
      <c r="AM10" s="12" t="s">
        <v>4</v>
      </c>
      <c r="AN10" s="12" t="s">
        <v>4</v>
      </c>
      <c r="AO10" s="12" t="s">
        <v>4</v>
      </c>
      <c r="AP10" s="12" t="s">
        <v>4</v>
      </c>
      <c r="AQ10" s="12" t="s">
        <v>4</v>
      </c>
      <c r="AR10" s="12" t="s">
        <v>4</v>
      </c>
      <c r="AS10" s="12" t="s">
        <v>4</v>
      </c>
      <c r="AT10" s="12" t="s">
        <v>4</v>
      </c>
      <c r="AU10" s="12" t="s">
        <v>4</v>
      </c>
      <c r="AV10" s="12" t="s">
        <v>4</v>
      </c>
      <c r="AW10" s="12" t="s">
        <v>4</v>
      </c>
      <c r="AX10" s="12" t="s">
        <v>4</v>
      </c>
      <c r="AY10" s="12" t="s">
        <v>4</v>
      </c>
      <c r="AZ10" s="12" t="s">
        <v>4</v>
      </c>
      <c r="BA10" s="12" t="s">
        <v>4</v>
      </c>
      <c r="BB10" s="12" t="s">
        <v>4</v>
      </c>
      <c r="BC10" s="12" t="s">
        <v>4</v>
      </c>
      <c r="BD10" s="12" t="s">
        <v>4</v>
      </c>
      <c r="BE10" s="12" t="s">
        <v>4</v>
      </c>
      <c r="BF10" s="12" t="s">
        <v>4</v>
      </c>
      <c r="BG10" s="12" t="s">
        <v>4</v>
      </c>
      <c r="BH10" s="12" t="s">
        <v>4</v>
      </c>
      <c r="BI10" s="12" t="s">
        <v>4</v>
      </c>
      <c r="BJ10" s="12" t="s">
        <v>4</v>
      </c>
      <c r="BK10" s="12" t="s">
        <v>4</v>
      </c>
      <c r="BL10" s="12" t="s">
        <v>4</v>
      </c>
      <c r="BM10" s="12" t="s">
        <v>4</v>
      </c>
      <c r="BN10" s="12" t="s">
        <v>4</v>
      </c>
      <c r="BO10" s="12" t="s">
        <v>4</v>
      </c>
      <c r="BP10" s="12" t="s">
        <v>4</v>
      </c>
      <c r="BQ10" s="12" t="s">
        <v>4</v>
      </c>
    </row>
    <row r="11" spans="1:69" x14ac:dyDescent="0.3">
      <c r="A11" s="2">
        <f t="shared" si="13"/>
        <v>92</v>
      </c>
      <c r="B11" s="2">
        <v>9</v>
      </c>
      <c r="C11" s="3">
        <v>44653.708333333336</v>
      </c>
      <c r="D11" s="4">
        <v>24</v>
      </c>
      <c r="E11" s="4">
        <f t="shared" si="4"/>
        <v>192</v>
      </c>
      <c r="F11" s="5">
        <f t="shared" si="14"/>
        <v>8</v>
      </c>
      <c r="G11" s="13">
        <f t="shared" si="5"/>
        <v>46</v>
      </c>
      <c r="H11" s="13">
        <f t="shared" si="0"/>
        <v>1</v>
      </c>
      <c r="I11" s="13">
        <f t="shared" si="6"/>
        <v>0</v>
      </c>
      <c r="J11" s="13">
        <f t="shared" si="7"/>
        <v>0</v>
      </c>
      <c r="K11" s="13">
        <f t="shared" si="8"/>
        <v>0</v>
      </c>
      <c r="L11" s="13">
        <f t="shared" si="1"/>
        <v>0</v>
      </c>
      <c r="M11" s="13">
        <f t="shared" si="9"/>
        <v>0</v>
      </c>
      <c r="N11" s="5">
        <v>8</v>
      </c>
      <c r="O11" s="13">
        <f t="shared" si="2"/>
        <v>0</v>
      </c>
      <c r="P11" s="13">
        <f t="shared" si="3"/>
        <v>3</v>
      </c>
      <c r="Q11" s="13">
        <f t="shared" si="10"/>
        <v>0</v>
      </c>
      <c r="R11" s="13">
        <f t="shared" si="11"/>
        <v>0</v>
      </c>
      <c r="S11" s="13">
        <f t="shared" si="12"/>
        <v>0</v>
      </c>
      <c r="T11" s="12" t="s">
        <v>5</v>
      </c>
      <c r="U11" s="26" t="s">
        <v>18</v>
      </c>
      <c r="V11" s="26" t="s">
        <v>18</v>
      </c>
      <c r="W11" s="26" t="s">
        <v>18</v>
      </c>
      <c r="X11" s="12" t="s">
        <v>4</v>
      </c>
      <c r="Y11" s="12" t="s">
        <v>4</v>
      </c>
      <c r="Z11" s="12" t="s">
        <v>4</v>
      </c>
      <c r="AA11" s="12" t="s">
        <v>4</v>
      </c>
      <c r="AB11" s="12" t="s">
        <v>4</v>
      </c>
      <c r="AC11" s="12" t="s">
        <v>4</v>
      </c>
      <c r="AD11" s="12" t="s">
        <v>4</v>
      </c>
      <c r="AE11" s="12" t="s">
        <v>4</v>
      </c>
      <c r="AF11" s="12" t="s">
        <v>4</v>
      </c>
      <c r="AG11" s="12" t="s">
        <v>4</v>
      </c>
      <c r="AH11" s="12" t="s">
        <v>4</v>
      </c>
      <c r="AI11" s="12" t="s">
        <v>4</v>
      </c>
      <c r="AJ11" s="12" t="s">
        <v>4</v>
      </c>
      <c r="AK11" s="12" t="s">
        <v>4</v>
      </c>
      <c r="AL11" s="12" t="s">
        <v>4</v>
      </c>
      <c r="AM11" s="12" t="s">
        <v>4</v>
      </c>
      <c r="AN11" s="12" t="s">
        <v>4</v>
      </c>
      <c r="AO11" s="12" t="s">
        <v>4</v>
      </c>
      <c r="AP11" s="12" t="s">
        <v>4</v>
      </c>
      <c r="AQ11" s="12" t="s">
        <v>4</v>
      </c>
      <c r="AR11" s="12" t="s">
        <v>4</v>
      </c>
      <c r="AS11" s="12" t="s">
        <v>4</v>
      </c>
      <c r="AT11" s="12" t="s">
        <v>4</v>
      </c>
      <c r="AU11" s="12" t="s">
        <v>4</v>
      </c>
      <c r="AV11" s="12" t="s">
        <v>4</v>
      </c>
      <c r="AW11" s="12" t="s">
        <v>4</v>
      </c>
      <c r="AX11" s="12" t="s">
        <v>4</v>
      </c>
      <c r="AY11" s="12" t="s">
        <v>4</v>
      </c>
      <c r="AZ11" s="12" t="s">
        <v>4</v>
      </c>
      <c r="BA11" s="12" t="s">
        <v>4</v>
      </c>
      <c r="BB11" s="12" t="s">
        <v>4</v>
      </c>
      <c r="BC11" s="12" t="s">
        <v>4</v>
      </c>
      <c r="BD11" s="12" t="s">
        <v>4</v>
      </c>
      <c r="BE11" s="12" t="s">
        <v>4</v>
      </c>
      <c r="BF11" s="12" t="s">
        <v>4</v>
      </c>
      <c r="BG11" s="12" t="s">
        <v>4</v>
      </c>
      <c r="BH11" s="12" t="s">
        <v>4</v>
      </c>
      <c r="BI11" s="12" t="s">
        <v>4</v>
      </c>
      <c r="BJ11" s="12" t="s">
        <v>4</v>
      </c>
      <c r="BK11" s="12" t="s">
        <v>4</v>
      </c>
      <c r="BL11" s="12" t="s">
        <v>4</v>
      </c>
      <c r="BM11" s="12" t="s">
        <v>4</v>
      </c>
      <c r="BN11" s="12" t="s">
        <v>4</v>
      </c>
      <c r="BO11" s="12" t="s">
        <v>4</v>
      </c>
      <c r="BP11" s="12" t="s">
        <v>4</v>
      </c>
      <c r="BQ11" s="12" t="s">
        <v>4</v>
      </c>
    </row>
    <row r="12" spans="1:69" x14ac:dyDescent="0.3">
      <c r="A12" s="2">
        <f t="shared" si="13"/>
        <v>93</v>
      </c>
      <c r="B12" s="2">
        <v>10</v>
      </c>
      <c r="C12" s="3">
        <v>44654.708333333336</v>
      </c>
      <c r="D12" s="4">
        <v>24</v>
      </c>
      <c r="E12" s="4">
        <f t="shared" si="4"/>
        <v>216</v>
      </c>
      <c r="F12" s="5">
        <f t="shared" si="14"/>
        <v>9</v>
      </c>
      <c r="G12" s="13">
        <f t="shared" si="5"/>
        <v>45</v>
      </c>
      <c r="H12" s="13">
        <f t="shared" si="0"/>
        <v>1</v>
      </c>
      <c r="I12" s="13">
        <f t="shared" si="6"/>
        <v>0</v>
      </c>
      <c r="J12" s="13">
        <f t="shared" si="7"/>
        <v>0</v>
      </c>
      <c r="K12" s="13">
        <f t="shared" si="8"/>
        <v>0</v>
      </c>
      <c r="L12" s="13">
        <f t="shared" si="1"/>
        <v>0</v>
      </c>
      <c r="M12" s="13">
        <f t="shared" si="9"/>
        <v>0</v>
      </c>
      <c r="N12" s="5">
        <v>9</v>
      </c>
      <c r="O12" s="13">
        <f t="shared" si="2"/>
        <v>0</v>
      </c>
      <c r="P12" s="13">
        <f>COUNTIF(T12:BQ12, "L1_D")</f>
        <v>4</v>
      </c>
      <c r="Q12" s="13">
        <f t="shared" si="10"/>
        <v>0</v>
      </c>
      <c r="R12" s="13">
        <f t="shared" si="11"/>
        <v>0</v>
      </c>
      <c r="S12" s="13">
        <f t="shared" si="12"/>
        <v>0</v>
      </c>
      <c r="T12" s="26" t="s">
        <v>18</v>
      </c>
      <c r="U12" s="26" t="s">
        <v>18</v>
      </c>
      <c r="V12" s="26" t="s">
        <v>18</v>
      </c>
      <c r="W12" s="26" t="s">
        <v>18</v>
      </c>
      <c r="X12" s="12" t="s">
        <v>5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12" t="s">
        <v>4</v>
      </c>
      <c r="BL12" s="12" t="s">
        <v>4</v>
      </c>
      <c r="BM12" s="12" t="s">
        <v>4</v>
      </c>
      <c r="BN12" s="12" t="s">
        <v>4</v>
      </c>
      <c r="BO12" s="12" t="s">
        <v>4</v>
      </c>
      <c r="BP12" s="12" t="s">
        <v>4</v>
      </c>
      <c r="BQ12" s="12" t="s">
        <v>4</v>
      </c>
    </row>
    <row r="13" spans="1:69" x14ac:dyDescent="0.3">
      <c r="A13" s="2">
        <f t="shared" si="13"/>
        <v>94</v>
      </c>
      <c r="B13" s="2">
        <v>11</v>
      </c>
      <c r="C13" s="3">
        <v>44655.708333333336</v>
      </c>
      <c r="D13" s="4">
        <v>24</v>
      </c>
      <c r="E13" s="4">
        <f t="shared" si="4"/>
        <v>240</v>
      </c>
      <c r="F13" s="5">
        <f>E13/24</f>
        <v>10</v>
      </c>
      <c r="G13" s="13">
        <f t="shared" si="5"/>
        <v>42</v>
      </c>
      <c r="H13" s="13">
        <f t="shared" si="0"/>
        <v>3</v>
      </c>
      <c r="I13" s="13">
        <f t="shared" si="6"/>
        <v>0</v>
      </c>
      <c r="J13" s="13">
        <f t="shared" si="7"/>
        <v>0</v>
      </c>
      <c r="K13" s="13">
        <f t="shared" si="8"/>
        <v>0</v>
      </c>
      <c r="L13" s="13">
        <f t="shared" si="1"/>
        <v>0</v>
      </c>
      <c r="M13" s="13">
        <f t="shared" si="9"/>
        <v>0</v>
      </c>
      <c r="N13" s="5">
        <v>10</v>
      </c>
      <c r="O13" s="13">
        <f t="shared" si="2"/>
        <v>0</v>
      </c>
      <c r="P13" s="13">
        <f t="shared" si="3"/>
        <v>5</v>
      </c>
      <c r="Q13" s="13">
        <f t="shared" si="10"/>
        <v>0</v>
      </c>
      <c r="R13" s="13">
        <f t="shared" si="11"/>
        <v>0</v>
      </c>
      <c r="S13" s="13">
        <f t="shared" si="12"/>
        <v>0</v>
      </c>
      <c r="T13" s="26" t="s">
        <v>18</v>
      </c>
      <c r="U13" s="26" t="s">
        <v>18</v>
      </c>
      <c r="V13" s="26" t="s">
        <v>18</v>
      </c>
      <c r="W13" s="26" t="s">
        <v>18</v>
      </c>
      <c r="X13" s="26" t="s">
        <v>18</v>
      </c>
      <c r="Y13" s="12" t="s">
        <v>5</v>
      </c>
      <c r="Z13" s="12" t="s">
        <v>5</v>
      </c>
      <c r="AA13" s="12" t="s">
        <v>5</v>
      </c>
      <c r="AB13" s="12" t="s">
        <v>4</v>
      </c>
      <c r="AC13" s="12" t="s">
        <v>4</v>
      </c>
      <c r="AD13" s="12" t="s">
        <v>4</v>
      </c>
      <c r="AE13" s="12" t="s">
        <v>4</v>
      </c>
      <c r="AF13" s="12" t="s">
        <v>4</v>
      </c>
      <c r="AG13" s="12" t="s">
        <v>4</v>
      </c>
      <c r="AH13" s="12" t="s">
        <v>4</v>
      </c>
      <c r="AI13" s="12" t="s">
        <v>4</v>
      </c>
      <c r="AJ13" s="12" t="s">
        <v>4</v>
      </c>
      <c r="AK13" s="12" t="s">
        <v>4</v>
      </c>
      <c r="AL13" s="12" t="s">
        <v>4</v>
      </c>
      <c r="AM13" s="12" t="s">
        <v>4</v>
      </c>
      <c r="AN13" s="12" t="s">
        <v>4</v>
      </c>
      <c r="AO13" s="12" t="s">
        <v>4</v>
      </c>
      <c r="AP13" s="12" t="s">
        <v>4</v>
      </c>
      <c r="AQ13" s="12" t="s">
        <v>4</v>
      </c>
      <c r="AR13" s="12" t="s">
        <v>4</v>
      </c>
      <c r="AS13" s="12" t="s">
        <v>4</v>
      </c>
      <c r="AT13" s="12" t="s">
        <v>4</v>
      </c>
      <c r="AU13" s="12" t="s">
        <v>4</v>
      </c>
      <c r="AV13" s="12" t="s">
        <v>4</v>
      </c>
      <c r="AW13" s="12" t="s">
        <v>4</v>
      </c>
      <c r="AX13" s="12" t="s">
        <v>4</v>
      </c>
      <c r="AY13" s="12" t="s">
        <v>4</v>
      </c>
      <c r="AZ13" s="12" t="s">
        <v>4</v>
      </c>
      <c r="BA13" s="12" t="s">
        <v>4</v>
      </c>
      <c r="BB13" s="12" t="s">
        <v>4</v>
      </c>
      <c r="BC13" s="12" t="s">
        <v>4</v>
      </c>
      <c r="BD13" s="12" t="s">
        <v>4</v>
      </c>
      <c r="BE13" s="12" t="s">
        <v>4</v>
      </c>
      <c r="BF13" s="12" t="s">
        <v>4</v>
      </c>
      <c r="BG13" s="12" t="s">
        <v>4</v>
      </c>
      <c r="BH13" s="12" t="s">
        <v>4</v>
      </c>
      <c r="BI13" s="12" t="s">
        <v>4</v>
      </c>
      <c r="BJ13" s="12" t="s">
        <v>4</v>
      </c>
      <c r="BK13" s="12" t="s">
        <v>4</v>
      </c>
      <c r="BL13" s="12" t="s">
        <v>4</v>
      </c>
      <c r="BM13" s="12" t="s">
        <v>4</v>
      </c>
      <c r="BN13" s="12" t="s">
        <v>4</v>
      </c>
      <c r="BO13" s="12" t="s">
        <v>4</v>
      </c>
      <c r="BP13" s="12" t="s">
        <v>4</v>
      </c>
      <c r="BQ13" s="12" t="s">
        <v>4</v>
      </c>
    </row>
    <row r="14" spans="1:69" x14ac:dyDescent="0.3">
      <c r="A14" s="2">
        <f t="shared" si="13"/>
        <v>95</v>
      </c>
      <c r="B14" s="2">
        <v>12</v>
      </c>
      <c r="C14" s="3">
        <v>44656.708333333336</v>
      </c>
      <c r="D14" s="4">
        <v>24</v>
      </c>
      <c r="E14" s="4">
        <f t="shared" si="4"/>
        <v>264</v>
      </c>
      <c r="F14" s="5">
        <f t="shared" si="14"/>
        <v>11</v>
      </c>
      <c r="G14" s="13">
        <f t="shared" si="5"/>
        <v>42</v>
      </c>
      <c r="H14" s="13">
        <f t="shared" si="0"/>
        <v>3</v>
      </c>
      <c r="I14" s="13">
        <f t="shared" si="6"/>
        <v>0</v>
      </c>
      <c r="J14" s="13">
        <f t="shared" si="7"/>
        <v>0</v>
      </c>
      <c r="K14" s="13">
        <f t="shared" si="8"/>
        <v>0</v>
      </c>
      <c r="L14" s="13">
        <f t="shared" si="1"/>
        <v>0</v>
      </c>
      <c r="M14" s="13">
        <f t="shared" si="9"/>
        <v>0</v>
      </c>
      <c r="N14" s="5">
        <v>11</v>
      </c>
      <c r="O14" s="13">
        <f t="shared" si="2"/>
        <v>0</v>
      </c>
      <c r="P14" s="13">
        <f t="shared" si="3"/>
        <v>5</v>
      </c>
      <c r="Q14" s="13">
        <f t="shared" si="10"/>
        <v>0</v>
      </c>
      <c r="R14" s="13">
        <f t="shared" si="11"/>
        <v>0</v>
      </c>
      <c r="S14" s="13">
        <f t="shared" si="12"/>
        <v>0</v>
      </c>
      <c r="T14" s="26" t="s">
        <v>18</v>
      </c>
      <c r="U14" s="26" t="s">
        <v>18</v>
      </c>
      <c r="V14" s="26" t="s">
        <v>18</v>
      </c>
      <c r="W14" s="26" t="s">
        <v>18</v>
      </c>
      <c r="X14" s="26" t="s">
        <v>18</v>
      </c>
      <c r="Y14" s="12" t="s">
        <v>5</v>
      </c>
      <c r="Z14" s="12" t="s">
        <v>5</v>
      </c>
      <c r="AA14" s="12" t="s">
        <v>5</v>
      </c>
      <c r="AB14" s="12" t="s">
        <v>4</v>
      </c>
      <c r="AC14" s="12" t="s">
        <v>4</v>
      </c>
      <c r="AD14" s="12" t="s">
        <v>4</v>
      </c>
      <c r="AE14" s="12" t="s">
        <v>4</v>
      </c>
      <c r="AF14" s="12" t="s">
        <v>4</v>
      </c>
      <c r="AG14" s="12" t="s">
        <v>4</v>
      </c>
      <c r="AH14" s="12" t="s">
        <v>4</v>
      </c>
      <c r="AI14" s="12" t="s">
        <v>4</v>
      </c>
      <c r="AJ14" s="12" t="s">
        <v>4</v>
      </c>
      <c r="AK14" s="12" t="s">
        <v>4</v>
      </c>
      <c r="AL14" s="12" t="s">
        <v>4</v>
      </c>
      <c r="AM14" s="12" t="s">
        <v>4</v>
      </c>
      <c r="AN14" s="12" t="s">
        <v>4</v>
      </c>
      <c r="AO14" s="12" t="s">
        <v>4</v>
      </c>
      <c r="AP14" s="12" t="s">
        <v>4</v>
      </c>
      <c r="AQ14" s="12" t="s">
        <v>4</v>
      </c>
      <c r="AR14" s="12" t="s">
        <v>4</v>
      </c>
      <c r="AS14" s="12" t="s">
        <v>4</v>
      </c>
      <c r="AT14" s="12" t="s">
        <v>4</v>
      </c>
      <c r="AU14" s="12" t="s">
        <v>4</v>
      </c>
      <c r="AV14" s="12" t="s">
        <v>4</v>
      </c>
      <c r="AW14" s="12" t="s">
        <v>4</v>
      </c>
      <c r="AX14" s="12" t="s">
        <v>4</v>
      </c>
      <c r="AY14" s="12" t="s">
        <v>4</v>
      </c>
      <c r="AZ14" s="12" t="s">
        <v>4</v>
      </c>
      <c r="BA14" s="12" t="s">
        <v>4</v>
      </c>
      <c r="BB14" s="12" t="s">
        <v>4</v>
      </c>
      <c r="BC14" s="12" t="s">
        <v>4</v>
      </c>
      <c r="BD14" s="12" t="s">
        <v>4</v>
      </c>
      <c r="BE14" s="12" t="s">
        <v>4</v>
      </c>
      <c r="BF14" s="12" t="s">
        <v>4</v>
      </c>
      <c r="BG14" s="12" t="s">
        <v>4</v>
      </c>
      <c r="BH14" s="12" t="s">
        <v>4</v>
      </c>
      <c r="BI14" s="12" t="s">
        <v>4</v>
      </c>
      <c r="BJ14" s="12" t="s">
        <v>4</v>
      </c>
      <c r="BK14" s="12" t="s">
        <v>4</v>
      </c>
      <c r="BL14" s="12" t="s">
        <v>4</v>
      </c>
      <c r="BM14" s="12" t="s">
        <v>4</v>
      </c>
      <c r="BN14" s="12" t="s">
        <v>4</v>
      </c>
      <c r="BO14" s="12" t="s">
        <v>4</v>
      </c>
      <c r="BP14" s="12" t="s">
        <v>4</v>
      </c>
      <c r="BQ14" s="12" t="s">
        <v>4</v>
      </c>
    </row>
    <row r="15" spans="1:69" x14ac:dyDescent="0.3">
      <c r="A15" s="2">
        <f t="shared" si="13"/>
        <v>96</v>
      </c>
      <c r="B15" s="2">
        <v>13</v>
      </c>
      <c r="C15" s="3">
        <v>44657.708333333336</v>
      </c>
      <c r="D15" s="4">
        <v>24</v>
      </c>
      <c r="E15" s="4">
        <f t="shared" si="4"/>
        <v>288</v>
      </c>
      <c r="F15" s="5">
        <f t="shared" si="14"/>
        <v>12</v>
      </c>
      <c r="G15" s="13">
        <f t="shared" si="5"/>
        <v>41</v>
      </c>
      <c r="H15" s="13">
        <f t="shared" si="0"/>
        <v>2</v>
      </c>
      <c r="I15" s="13">
        <f t="shared" si="6"/>
        <v>0</v>
      </c>
      <c r="J15" s="13">
        <f t="shared" si="7"/>
        <v>0</v>
      </c>
      <c r="K15" s="13">
        <f>COUNTIF(T15:BQ15, "L2")</f>
        <v>0</v>
      </c>
      <c r="L15" s="13">
        <f t="shared" si="1"/>
        <v>0</v>
      </c>
      <c r="M15" s="13">
        <f t="shared" si="9"/>
        <v>0</v>
      </c>
      <c r="N15" s="5">
        <v>12</v>
      </c>
      <c r="O15" s="13">
        <f t="shared" si="2"/>
        <v>0</v>
      </c>
      <c r="P15" s="13">
        <f t="shared" si="3"/>
        <v>7</v>
      </c>
      <c r="Q15" s="13">
        <f t="shared" si="10"/>
        <v>0</v>
      </c>
      <c r="R15" s="13">
        <f t="shared" si="11"/>
        <v>0</v>
      </c>
      <c r="S15" s="13">
        <f t="shared" si="12"/>
        <v>0</v>
      </c>
      <c r="T15" s="26" t="s">
        <v>18</v>
      </c>
      <c r="U15" s="26" t="s">
        <v>18</v>
      </c>
      <c r="V15" s="26" t="s">
        <v>18</v>
      </c>
      <c r="W15" s="26" t="s">
        <v>18</v>
      </c>
      <c r="X15" s="26" t="s">
        <v>18</v>
      </c>
      <c r="Y15" s="26" t="s">
        <v>18</v>
      </c>
      <c r="Z15" s="26" t="s">
        <v>18</v>
      </c>
      <c r="AA15" s="12" t="s">
        <v>5</v>
      </c>
      <c r="AB15" s="12" t="s">
        <v>5</v>
      </c>
      <c r="AC15" s="12" t="s">
        <v>4</v>
      </c>
      <c r="AD15" s="12" t="s">
        <v>4</v>
      </c>
      <c r="AE15" s="12" t="s">
        <v>4</v>
      </c>
      <c r="AF15" s="12" t="s">
        <v>4</v>
      </c>
      <c r="AG15" s="12" t="s">
        <v>4</v>
      </c>
      <c r="AH15" s="12" t="s">
        <v>4</v>
      </c>
      <c r="AI15" s="12" t="s">
        <v>4</v>
      </c>
      <c r="AJ15" s="12" t="s">
        <v>4</v>
      </c>
      <c r="AK15" s="12" t="s">
        <v>4</v>
      </c>
      <c r="AL15" s="12" t="s">
        <v>4</v>
      </c>
      <c r="AM15" s="12" t="s">
        <v>4</v>
      </c>
      <c r="AN15" s="12" t="s">
        <v>4</v>
      </c>
      <c r="AO15" s="12" t="s">
        <v>4</v>
      </c>
      <c r="AP15" s="12" t="s">
        <v>4</v>
      </c>
      <c r="AQ15" s="12" t="s">
        <v>4</v>
      </c>
      <c r="AR15" s="12" t="s">
        <v>4</v>
      </c>
      <c r="AS15" s="12" t="s">
        <v>4</v>
      </c>
      <c r="AT15" s="12" t="s">
        <v>4</v>
      </c>
      <c r="AU15" s="12" t="s">
        <v>4</v>
      </c>
      <c r="AV15" s="12" t="s">
        <v>4</v>
      </c>
      <c r="AW15" s="12" t="s">
        <v>4</v>
      </c>
      <c r="AX15" s="12" t="s">
        <v>4</v>
      </c>
      <c r="AY15" s="12" t="s">
        <v>4</v>
      </c>
      <c r="AZ15" s="12" t="s">
        <v>4</v>
      </c>
      <c r="BA15" s="12" t="s">
        <v>4</v>
      </c>
      <c r="BB15" s="12" t="s">
        <v>4</v>
      </c>
      <c r="BC15" s="12" t="s">
        <v>4</v>
      </c>
      <c r="BD15" s="12" t="s">
        <v>4</v>
      </c>
      <c r="BE15" s="12" t="s">
        <v>4</v>
      </c>
      <c r="BF15" s="12" t="s">
        <v>4</v>
      </c>
      <c r="BG15" s="12" t="s">
        <v>4</v>
      </c>
      <c r="BH15" s="12" t="s">
        <v>4</v>
      </c>
      <c r="BI15" s="12" t="s">
        <v>4</v>
      </c>
      <c r="BJ15" s="12" t="s">
        <v>4</v>
      </c>
      <c r="BK15" s="12" t="s">
        <v>4</v>
      </c>
      <c r="BL15" s="12" t="s">
        <v>4</v>
      </c>
      <c r="BM15" s="12" t="s">
        <v>4</v>
      </c>
      <c r="BN15" s="12" t="s">
        <v>4</v>
      </c>
      <c r="BO15" s="12" t="s">
        <v>4</v>
      </c>
      <c r="BP15" s="12" t="s">
        <v>4</v>
      </c>
      <c r="BQ15" s="12" t="s">
        <v>4</v>
      </c>
    </row>
    <row r="16" spans="1:69" x14ac:dyDescent="0.3">
      <c r="A16" s="2">
        <f t="shared" si="13"/>
        <v>97</v>
      </c>
      <c r="B16" s="2">
        <v>14</v>
      </c>
      <c r="C16" s="3">
        <v>44658.708333333336</v>
      </c>
      <c r="D16" s="4">
        <v>24</v>
      </c>
      <c r="E16" s="4">
        <f t="shared" si="4"/>
        <v>312</v>
      </c>
      <c r="F16" s="5">
        <f t="shared" si="14"/>
        <v>13</v>
      </c>
      <c r="G16" s="13">
        <f t="shared" si="5"/>
        <v>41</v>
      </c>
      <c r="H16" s="13">
        <f t="shared" si="0"/>
        <v>1</v>
      </c>
      <c r="I16" s="13">
        <f t="shared" si="6"/>
        <v>0</v>
      </c>
      <c r="J16" s="13">
        <f t="shared" si="7"/>
        <v>0</v>
      </c>
      <c r="K16" s="13">
        <f t="shared" si="8"/>
        <v>0</v>
      </c>
      <c r="L16" s="13">
        <f t="shared" si="1"/>
        <v>0</v>
      </c>
      <c r="M16" s="13">
        <f t="shared" si="9"/>
        <v>0</v>
      </c>
      <c r="N16" s="5">
        <v>13</v>
      </c>
      <c r="O16" s="13">
        <f t="shared" si="2"/>
        <v>0</v>
      </c>
      <c r="P16" s="13">
        <f t="shared" si="3"/>
        <v>8</v>
      </c>
      <c r="Q16" s="13">
        <f t="shared" si="10"/>
        <v>0</v>
      </c>
      <c r="R16" s="13">
        <f t="shared" si="11"/>
        <v>0</v>
      </c>
      <c r="S16" s="13">
        <f t="shared" si="12"/>
        <v>0</v>
      </c>
      <c r="T16" s="26" t="s">
        <v>18</v>
      </c>
      <c r="U16" s="26" t="s">
        <v>18</v>
      </c>
      <c r="V16" s="26" t="s">
        <v>18</v>
      </c>
      <c r="W16" s="26" t="s">
        <v>18</v>
      </c>
      <c r="X16" s="26" t="s">
        <v>18</v>
      </c>
      <c r="Y16" s="26" t="s">
        <v>18</v>
      </c>
      <c r="Z16" s="26" t="s">
        <v>18</v>
      </c>
      <c r="AA16" s="26" t="s">
        <v>18</v>
      </c>
      <c r="AB16" s="12" t="s">
        <v>5</v>
      </c>
      <c r="AC16" s="12" t="s">
        <v>4</v>
      </c>
      <c r="AD16" s="12" t="s">
        <v>4</v>
      </c>
      <c r="AE16" s="12" t="s">
        <v>4</v>
      </c>
      <c r="AF16" s="12" t="s">
        <v>4</v>
      </c>
      <c r="AG16" s="12" t="s">
        <v>4</v>
      </c>
      <c r="AH16" s="12" t="s">
        <v>4</v>
      </c>
      <c r="AI16" s="12" t="s">
        <v>4</v>
      </c>
      <c r="AJ16" s="12" t="s">
        <v>4</v>
      </c>
      <c r="AK16" s="12" t="s">
        <v>4</v>
      </c>
      <c r="AL16" s="12" t="s">
        <v>4</v>
      </c>
      <c r="AM16" s="12" t="s">
        <v>4</v>
      </c>
      <c r="AN16" s="12" t="s">
        <v>4</v>
      </c>
      <c r="AO16" s="12" t="s">
        <v>4</v>
      </c>
      <c r="AP16" s="12" t="s">
        <v>4</v>
      </c>
      <c r="AQ16" s="12" t="s">
        <v>4</v>
      </c>
      <c r="AR16" s="12" t="s">
        <v>4</v>
      </c>
      <c r="AS16" s="12" t="s">
        <v>4</v>
      </c>
      <c r="AT16" s="12" t="s">
        <v>4</v>
      </c>
      <c r="AU16" s="12" t="s">
        <v>4</v>
      </c>
      <c r="AV16" s="12" t="s">
        <v>4</v>
      </c>
      <c r="AW16" s="12" t="s">
        <v>4</v>
      </c>
      <c r="AX16" s="12" t="s">
        <v>4</v>
      </c>
      <c r="AY16" s="12" t="s">
        <v>4</v>
      </c>
      <c r="AZ16" s="12" t="s">
        <v>4</v>
      </c>
      <c r="BA16" s="12" t="s">
        <v>4</v>
      </c>
      <c r="BB16" s="12" t="s">
        <v>4</v>
      </c>
      <c r="BC16" s="12" t="s">
        <v>4</v>
      </c>
      <c r="BD16" s="12" t="s">
        <v>4</v>
      </c>
      <c r="BE16" s="12" t="s">
        <v>4</v>
      </c>
      <c r="BF16" s="12" t="s">
        <v>4</v>
      </c>
      <c r="BG16" s="12" t="s">
        <v>4</v>
      </c>
      <c r="BH16" s="12" t="s">
        <v>4</v>
      </c>
      <c r="BI16" s="12" t="s">
        <v>4</v>
      </c>
      <c r="BJ16" s="12" t="s">
        <v>4</v>
      </c>
      <c r="BK16" s="12" t="s">
        <v>4</v>
      </c>
      <c r="BL16" s="12" t="s">
        <v>4</v>
      </c>
      <c r="BM16" s="12" t="s">
        <v>4</v>
      </c>
      <c r="BN16" s="12" t="s">
        <v>4</v>
      </c>
      <c r="BO16" s="12" t="s">
        <v>4</v>
      </c>
      <c r="BP16" s="12" t="s">
        <v>4</v>
      </c>
      <c r="BQ16" s="12" t="s">
        <v>4</v>
      </c>
    </row>
    <row r="17" spans="1:69" x14ac:dyDescent="0.3">
      <c r="A17" s="2">
        <f t="shared" si="13"/>
        <v>98</v>
      </c>
      <c r="B17" s="2">
        <v>15</v>
      </c>
      <c r="C17" s="3">
        <v>44659.708333333336</v>
      </c>
      <c r="D17" s="4">
        <v>24</v>
      </c>
      <c r="E17" s="4">
        <f t="shared" si="4"/>
        <v>336</v>
      </c>
      <c r="F17" s="5">
        <f t="shared" si="14"/>
        <v>14</v>
      </c>
      <c r="G17" s="13">
        <f t="shared" si="5"/>
        <v>38</v>
      </c>
      <c r="H17" s="13">
        <f t="shared" si="0"/>
        <v>3</v>
      </c>
      <c r="I17" s="13">
        <f t="shared" si="6"/>
        <v>0</v>
      </c>
      <c r="J17" s="13">
        <f t="shared" si="7"/>
        <v>0</v>
      </c>
      <c r="K17" s="13">
        <f t="shared" si="8"/>
        <v>0</v>
      </c>
      <c r="L17" s="13">
        <f t="shared" si="1"/>
        <v>0</v>
      </c>
      <c r="M17" s="13">
        <f t="shared" si="9"/>
        <v>0</v>
      </c>
      <c r="N17" s="5">
        <v>14</v>
      </c>
      <c r="O17" s="13">
        <f t="shared" si="2"/>
        <v>0</v>
      </c>
      <c r="P17" s="13">
        <f t="shared" si="3"/>
        <v>9</v>
      </c>
      <c r="Q17" s="13">
        <f t="shared" si="10"/>
        <v>0</v>
      </c>
      <c r="R17" s="13">
        <f t="shared" si="11"/>
        <v>0</v>
      </c>
      <c r="S17" s="13">
        <f t="shared" si="12"/>
        <v>0</v>
      </c>
      <c r="T17" s="26" t="s">
        <v>18</v>
      </c>
      <c r="U17" s="26" t="s">
        <v>18</v>
      </c>
      <c r="V17" s="26" t="s">
        <v>18</v>
      </c>
      <c r="W17" s="26" t="s">
        <v>18</v>
      </c>
      <c r="X17" s="26" t="s">
        <v>18</v>
      </c>
      <c r="Y17" s="26" t="s">
        <v>18</v>
      </c>
      <c r="Z17" s="26" t="s">
        <v>18</v>
      </c>
      <c r="AA17" s="26" t="s">
        <v>18</v>
      </c>
      <c r="AB17" s="26" t="s">
        <v>18</v>
      </c>
      <c r="AC17" s="12" t="s">
        <v>5</v>
      </c>
      <c r="AD17" s="12" t="s">
        <v>5</v>
      </c>
      <c r="AE17" s="12" t="s">
        <v>5</v>
      </c>
      <c r="AF17" s="12" t="s">
        <v>4</v>
      </c>
      <c r="AG17" s="12" t="s">
        <v>4</v>
      </c>
      <c r="AH17" s="12" t="s">
        <v>4</v>
      </c>
      <c r="AI17" s="12" t="s">
        <v>4</v>
      </c>
      <c r="AJ17" s="12" t="s">
        <v>4</v>
      </c>
      <c r="AK17" s="12" t="s">
        <v>4</v>
      </c>
      <c r="AL17" s="12" t="s">
        <v>4</v>
      </c>
      <c r="AM17" s="12" t="s">
        <v>4</v>
      </c>
      <c r="AN17" s="12" t="s">
        <v>4</v>
      </c>
      <c r="AO17" s="12" t="s">
        <v>4</v>
      </c>
      <c r="AP17" s="12" t="s">
        <v>4</v>
      </c>
      <c r="AQ17" s="12" t="s">
        <v>4</v>
      </c>
      <c r="AR17" s="12" t="s">
        <v>4</v>
      </c>
      <c r="AS17" s="12" t="s">
        <v>4</v>
      </c>
      <c r="AT17" s="12" t="s">
        <v>4</v>
      </c>
      <c r="AU17" s="12" t="s">
        <v>4</v>
      </c>
      <c r="AV17" s="12" t="s">
        <v>4</v>
      </c>
      <c r="AW17" s="12" t="s">
        <v>4</v>
      </c>
      <c r="AX17" s="12" t="s">
        <v>4</v>
      </c>
      <c r="AY17" s="12" t="s">
        <v>4</v>
      </c>
      <c r="AZ17" s="12" t="s">
        <v>4</v>
      </c>
      <c r="BA17" s="12" t="s">
        <v>4</v>
      </c>
      <c r="BB17" s="12" t="s">
        <v>4</v>
      </c>
      <c r="BC17" s="12" t="s">
        <v>4</v>
      </c>
      <c r="BD17" s="12" t="s">
        <v>4</v>
      </c>
      <c r="BE17" s="12" t="s">
        <v>4</v>
      </c>
      <c r="BF17" s="12" t="s">
        <v>4</v>
      </c>
      <c r="BG17" s="12" t="s">
        <v>4</v>
      </c>
      <c r="BH17" s="12" t="s">
        <v>4</v>
      </c>
      <c r="BI17" s="12" t="s">
        <v>4</v>
      </c>
      <c r="BJ17" s="12" t="s">
        <v>4</v>
      </c>
      <c r="BK17" s="12" t="s">
        <v>4</v>
      </c>
      <c r="BL17" s="12" t="s">
        <v>4</v>
      </c>
      <c r="BM17" s="12" t="s">
        <v>4</v>
      </c>
      <c r="BN17" s="12" t="s">
        <v>4</v>
      </c>
      <c r="BO17" s="12" t="s">
        <v>4</v>
      </c>
      <c r="BP17" s="12" t="s">
        <v>4</v>
      </c>
      <c r="BQ17" s="12" t="s">
        <v>4</v>
      </c>
    </row>
    <row r="18" spans="1:69" x14ac:dyDescent="0.3">
      <c r="A18" s="2">
        <f t="shared" si="13"/>
        <v>99</v>
      </c>
      <c r="B18" s="2">
        <v>16</v>
      </c>
      <c r="C18" s="3">
        <v>44660.708333333336</v>
      </c>
      <c r="D18" s="4">
        <v>24</v>
      </c>
      <c r="E18" s="4">
        <f t="shared" si="4"/>
        <v>360</v>
      </c>
      <c r="F18" s="6">
        <f>E18/24</f>
        <v>15</v>
      </c>
      <c r="G18" s="13">
        <f t="shared" si="5"/>
        <v>0</v>
      </c>
      <c r="H18" s="13">
        <f t="shared" si="0"/>
        <v>2</v>
      </c>
      <c r="I18" s="13">
        <f t="shared" si="6"/>
        <v>0</v>
      </c>
      <c r="J18" s="13">
        <f t="shared" si="7"/>
        <v>0</v>
      </c>
      <c r="K18" s="13">
        <f t="shared" si="8"/>
        <v>0</v>
      </c>
      <c r="L18" s="13">
        <f t="shared" si="1"/>
        <v>0</v>
      </c>
      <c r="M18" s="13">
        <f t="shared" si="9"/>
        <v>0</v>
      </c>
      <c r="N18" s="6">
        <v>15</v>
      </c>
      <c r="O18" s="13">
        <f>COUNTIF(T18:BQ18, "E_D")</f>
        <v>38</v>
      </c>
      <c r="P18" s="13">
        <f t="shared" si="3"/>
        <v>10</v>
      </c>
      <c r="Q18" s="13">
        <f t="shared" si="10"/>
        <v>0</v>
      </c>
      <c r="R18" s="13">
        <f t="shared" si="11"/>
        <v>0</v>
      </c>
      <c r="S18" s="13">
        <f t="shared" si="12"/>
        <v>0</v>
      </c>
      <c r="T18" s="26" t="s">
        <v>18</v>
      </c>
      <c r="U18" s="26" t="s">
        <v>18</v>
      </c>
      <c r="V18" s="26" t="s">
        <v>18</v>
      </c>
      <c r="W18" s="26" t="s">
        <v>18</v>
      </c>
      <c r="X18" s="26" t="s">
        <v>18</v>
      </c>
      <c r="Y18" s="26" t="s">
        <v>18</v>
      </c>
      <c r="Z18" s="26" t="s">
        <v>18</v>
      </c>
      <c r="AA18" s="26" t="s">
        <v>18</v>
      </c>
      <c r="AB18" s="26" t="s">
        <v>18</v>
      </c>
      <c r="AC18" s="26" t="s">
        <v>18</v>
      </c>
      <c r="AD18" s="12" t="s">
        <v>5</v>
      </c>
      <c r="AE18" s="12" t="s">
        <v>5</v>
      </c>
      <c r="AF18" s="26" t="s">
        <v>17</v>
      </c>
      <c r="AG18" s="26" t="s">
        <v>17</v>
      </c>
      <c r="AH18" s="26" t="s">
        <v>17</v>
      </c>
      <c r="AI18" s="26" t="s">
        <v>17</v>
      </c>
      <c r="AJ18" s="26" t="s">
        <v>17</v>
      </c>
      <c r="AK18" s="26" t="s">
        <v>17</v>
      </c>
      <c r="AL18" s="26" t="s">
        <v>17</v>
      </c>
      <c r="AM18" s="26" t="s">
        <v>17</v>
      </c>
      <c r="AN18" s="26" t="s">
        <v>17</v>
      </c>
      <c r="AO18" s="26" t="s">
        <v>17</v>
      </c>
      <c r="AP18" s="26" t="s">
        <v>17</v>
      </c>
      <c r="AQ18" s="26" t="s">
        <v>17</v>
      </c>
      <c r="AR18" s="26" t="s">
        <v>17</v>
      </c>
      <c r="AS18" s="26" t="s">
        <v>17</v>
      </c>
      <c r="AT18" s="26" t="s">
        <v>17</v>
      </c>
      <c r="AU18" s="26" t="s">
        <v>17</v>
      </c>
      <c r="AV18" s="26" t="s">
        <v>17</v>
      </c>
      <c r="AW18" s="26" t="s">
        <v>17</v>
      </c>
      <c r="AX18" s="26" t="s">
        <v>17</v>
      </c>
      <c r="AY18" s="26" t="s">
        <v>17</v>
      </c>
      <c r="AZ18" s="26" t="s">
        <v>17</v>
      </c>
      <c r="BA18" s="26" t="s">
        <v>17</v>
      </c>
      <c r="BB18" s="26" t="s">
        <v>17</v>
      </c>
      <c r="BC18" s="26" t="s">
        <v>17</v>
      </c>
      <c r="BD18" s="26" t="s">
        <v>17</v>
      </c>
      <c r="BE18" s="26" t="s">
        <v>17</v>
      </c>
      <c r="BF18" s="26" t="s">
        <v>17</v>
      </c>
      <c r="BG18" s="26" t="s">
        <v>17</v>
      </c>
      <c r="BH18" s="26" t="s">
        <v>17</v>
      </c>
      <c r="BI18" s="26" t="s">
        <v>17</v>
      </c>
      <c r="BJ18" s="26" t="s">
        <v>17</v>
      </c>
      <c r="BK18" s="26" t="s">
        <v>17</v>
      </c>
      <c r="BL18" s="26" t="s">
        <v>17</v>
      </c>
      <c r="BM18" s="26" t="s">
        <v>17</v>
      </c>
      <c r="BN18" s="26" t="s">
        <v>17</v>
      </c>
      <c r="BO18" s="26" t="s">
        <v>17</v>
      </c>
      <c r="BP18" s="26" t="s">
        <v>17</v>
      </c>
      <c r="BQ18" s="26" t="s">
        <v>17</v>
      </c>
    </row>
    <row r="19" spans="1:69" x14ac:dyDescent="0.3">
      <c r="A19" s="2">
        <f>A18+1</f>
        <v>100</v>
      </c>
      <c r="B19" s="2">
        <v>17</v>
      </c>
      <c r="C19" s="3">
        <v>44661.708333333336</v>
      </c>
      <c r="D19" s="4">
        <v>24</v>
      </c>
      <c r="E19" s="4">
        <f t="shared" si="4"/>
        <v>384</v>
      </c>
      <c r="F19" s="6">
        <f t="shared" si="14"/>
        <v>16</v>
      </c>
      <c r="G19" s="13">
        <f t="shared" si="5"/>
        <v>0</v>
      </c>
      <c r="H19" s="13">
        <f t="shared" si="0"/>
        <v>2</v>
      </c>
      <c r="I19" s="13">
        <f t="shared" si="6"/>
        <v>0</v>
      </c>
      <c r="J19" s="13">
        <f t="shared" si="7"/>
        <v>0</v>
      </c>
      <c r="K19" s="13">
        <f t="shared" si="8"/>
        <v>0</v>
      </c>
      <c r="L19" s="13">
        <f t="shared" si="1"/>
        <v>0</v>
      </c>
      <c r="M19" s="13">
        <f t="shared" si="9"/>
        <v>0</v>
      </c>
      <c r="N19" s="6">
        <v>16</v>
      </c>
      <c r="O19" s="13">
        <f t="shared" si="2"/>
        <v>38</v>
      </c>
      <c r="P19" s="13">
        <f t="shared" si="3"/>
        <v>10</v>
      </c>
      <c r="Q19" s="13">
        <f t="shared" si="10"/>
        <v>0</v>
      </c>
      <c r="R19" s="13">
        <f t="shared" si="11"/>
        <v>0</v>
      </c>
      <c r="S19" s="13">
        <f t="shared" si="12"/>
        <v>0</v>
      </c>
      <c r="T19" s="26" t="s">
        <v>18</v>
      </c>
      <c r="U19" s="26" t="s">
        <v>18</v>
      </c>
      <c r="V19" s="26" t="s">
        <v>18</v>
      </c>
      <c r="W19" s="26" t="s">
        <v>18</v>
      </c>
      <c r="X19" s="26" t="s">
        <v>18</v>
      </c>
      <c r="Y19" s="26" t="s">
        <v>18</v>
      </c>
      <c r="Z19" s="26" t="s">
        <v>18</v>
      </c>
      <c r="AA19" s="26" t="s">
        <v>18</v>
      </c>
      <c r="AB19" s="26" t="s">
        <v>18</v>
      </c>
      <c r="AC19" s="26" t="s">
        <v>18</v>
      </c>
      <c r="AD19" s="12" t="s">
        <v>5</v>
      </c>
      <c r="AE19" s="12" t="s">
        <v>5</v>
      </c>
      <c r="AF19" s="26" t="s">
        <v>17</v>
      </c>
      <c r="AG19" s="26" t="s">
        <v>17</v>
      </c>
      <c r="AH19" s="26" t="s">
        <v>17</v>
      </c>
      <c r="AI19" s="26" t="s">
        <v>17</v>
      </c>
      <c r="AJ19" s="26" t="s">
        <v>17</v>
      </c>
      <c r="AK19" s="26" t="s">
        <v>17</v>
      </c>
      <c r="AL19" s="26" t="s">
        <v>17</v>
      </c>
      <c r="AM19" s="26" t="s">
        <v>17</v>
      </c>
      <c r="AN19" s="26" t="s">
        <v>17</v>
      </c>
      <c r="AO19" s="26" t="s">
        <v>17</v>
      </c>
      <c r="AP19" s="26" t="s">
        <v>17</v>
      </c>
      <c r="AQ19" s="26" t="s">
        <v>17</v>
      </c>
      <c r="AR19" s="26" t="s">
        <v>17</v>
      </c>
      <c r="AS19" s="26" t="s">
        <v>17</v>
      </c>
      <c r="AT19" s="26" t="s">
        <v>17</v>
      </c>
      <c r="AU19" s="26" t="s">
        <v>17</v>
      </c>
      <c r="AV19" s="26" t="s">
        <v>17</v>
      </c>
      <c r="AW19" s="26" t="s">
        <v>17</v>
      </c>
      <c r="AX19" s="26" t="s">
        <v>17</v>
      </c>
      <c r="AY19" s="26" t="s">
        <v>17</v>
      </c>
      <c r="AZ19" s="26" t="s">
        <v>17</v>
      </c>
      <c r="BA19" s="26" t="s">
        <v>17</v>
      </c>
      <c r="BB19" s="26" t="s">
        <v>17</v>
      </c>
      <c r="BC19" s="26" t="s">
        <v>17</v>
      </c>
      <c r="BD19" s="26" t="s">
        <v>17</v>
      </c>
      <c r="BE19" s="26" t="s">
        <v>17</v>
      </c>
      <c r="BF19" s="26" t="s">
        <v>17</v>
      </c>
      <c r="BG19" s="26" t="s">
        <v>17</v>
      </c>
      <c r="BH19" s="26" t="s">
        <v>17</v>
      </c>
      <c r="BI19" s="26" t="s">
        <v>17</v>
      </c>
      <c r="BJ19" s="26" t="s">
        <v>17</v>
      </c>
      <c r="BK19" s="26" t="s">
        <v>17</v>
      </c>
      <c r="BL19" s="26" t="s">
        <v>17</v>
      </c>
      <c r="BM19" s="26" t="s">
        <v>17</v>
      </c>
      <c r="BN19" s="26" t="s">
        <v>17</v>
      </c>
      <c r="BO19" s="26" t="s">
        <v>17</v>
      </c>
      <c r="BP19" s="26" t="s">
        <v>17</v>
      </c>
      <c r="BQ19" s="26" t="s">
        <v>17</v>
      </c>
    </row>
    <row r="20" spans="1:69" x14ac:dyDescent="0.3">
      <c r="A20" s="2">
        <f t="shared" si="13"/>
        <v>101</v>
      </c>
      <c r="B20" s="2">
        <v>18</v>
      </c>
      <c r="C20" s="3">
        <v>44662.708333333336</v>
      </c>
      <c r="D20" s="4">
        <v>24</v>
      </c>
      <c r="E20" s="4">
        <f t="shared" si="4"/>
        <v>408</v>
      </c>
      <c r="F20" s="6">
        <f t="shared" si="14"/>
        <v>17</v>
      </c>
      <c r="G20" s="13">
        <f t="shared" si="5"/>
        <v>0</v>
      </c>
      <c r="H20" s="13">
        <f t="shared" si="0"/>
        <v>1</v>
      </c>
      <c r="I20" s="13">
        <f t="shared" si="6"/>
        <v>0</v>
      </c>
      <c r="J20" s="13">
        <f t="shared" si="7"/>
        <v>0</v>
      </c>
      <c r="K20" s="13">
        <f t="shared" si="8"/>
        <v>0</v>
      </c>
      <c r="L20" s="13">
        <f t="shared" si="1"/>
        <v>0</v>
      </c>
      <c r="M20" s="13">
        <f t="shared" si="9"/>
        <v>0</v>
      </c>
      <c r="N20" s="6">
        <v>17</v>
      </c>
      <c r="O20" s="13">
        <f t="shared" si="2"/>
        <v>38</v>
      </c>
      <c r="P20" s="13">
        <f t="shared" si="3"/>
        <v>11</v>
      </c>
      <c r="Q20" s="13">
        <f t="shared" si="10"/>
        <v>0</v>
      </c>
      <c r="R20" s="13">
        <f t="shared" si="11"/>
        <v>0</v>
      </c>
      <c r="S20" s="13">
        <f t="shared" si="12"/>
        <v>0</v>
      </c>
      <c r="T20" s="26" t="s">
        <v>18</v>
      </c>
      <c r="U20" s="26" t="s">
        <v>18</v>
      </c>
      <c r="V20" s="26" t="s">
        <v>18</v>
      </c>
      <c r="W20" s="26" t="s">
        <v>18</v>
      </c>
      <c r="X20" s="26" t="s">
        <v>18</v>
      </c>
      <c r="Y20" s="26" t="s">
        <v>18</v>
      </c>
      <c r="Z20" s="26" t="s">
        <v>18</v>
      </c>
      <c r="AA20" s="26" t="s">
        <v>18</v>
      </c>
      <c r="AB20" s="26" t="s">
        <v>18</v>
      </c>
      <c r="AC20" s="26" t="s">
        <v>18</v>
      </c>
      <c r="AD20" s="26" t="s">
        <v>18</v>
      </c>
      <c r="AE20" s="12" t="s">
        <v>5</v>
      </c>
      <c r="AF20" s="26" t="s">
        <v>17</v>
      </c>
      <c r="AG20" s="26" t="s">
        <v>17</v>
      </c>
      <c r="AH20" s="26" t="s">
        <v>17</v>
      </c>
      <c r="AI20" s="26" t="s">
        <v>17</v>
      </c>
      <c r="AJ20" s="26" t="s">
        <v>17</v>
      </c>
      <c r="AK20" s="26" t="s">
        <v>17</v>
      </c>
      <c r="AL20" s="26" t="s">
        <v>17</v>
      </c>
      <c r="AM20" s="26" t="s">
        <v>17</v>
      </c>
      <c r="AN20" s="26" t="s">
        <v>17</v>
      </c>
      <c r="AO20" s="26" t="s">
        <v>17</v>
      </c>
      <c r="AP20" s="26" t="s">
        <v>17</v>
      </c>
      <c r="AQ20" s="26" t="s">
        <v>17</v>
      </c>
      <c r="AR20" s="26" t="s">
        <v>17</v>
      </c>
      <c r="AS20" s="26" t="s">
        <v>17</v>
      </c>
      <c r="AT20" s="26" t="s">
        <v>17</v>
      </c>
      <c r="AU20" s="26" t="s">
        <v>17</v>
      </c>
      <c r="AV20" s="26" t="s">
        <v>17</v>
      </c>
      <c r="AW20" s="26" t="s">
        <v>17</v>
      </c>
      <c r="AX20" s="26" t="s">
        <v>17</v>
      </c>
      <c r="AY20" s="26" t="s">
        <v>17</v>
      </c>
      <c r="AZ20" s="26" t="s">
        <v>17</v>
      </c>
      <c r="BA20" s="26" t="s">
        <v>17</v>
      </c>
      <c r="BB20" s="26" t="s">
        <v>17</v>
      </c>
      <c r="BC20" s="26" t="s">
        <v>17</v>
      </c>
      <c r="BD20" s="26" t="s">
        <v>17</v>
      </c>
      <c r="BE20" s="26" t="s">
        <v>17</v>
      </c>
      <c r="BF20" s="26" t="s">
        <v>17</v>
      </c>
      <c r="BG20" s="26" t="s">
        <v>17</v>
      </c>
      <c r="BH20" s="26" t="s">
        <v>17</v>
      </c>
      <c r="BI20" s="26" t="s">
        <v>17</v>
      </c>
      <c r="BJ20" s="26" t="s">
        <v>17</v>
      </c>
      <c r="BK20" s="26" t="s">
        <v>17</v>
      </c>
      <c r="BL20" s="26" t="s">
        <v>17</v>
      </c>
      <c r="BM20" s="26" t="s">
        <v>17</v>
      </c>
      <c r="BN20" s="26" t="s">
        <v>17</v>
      </c>
      <c r="BO20" s="26" t="s">
        <v>17</v>
      </c>
      <c r="BP20" s="26" t="s">
        <v>17</v>
      </c>
      <c r="BQ20" s="26" t="s">
        <v>17</v>
      </c>
    </row>
    <row r="21" spans="1:69" x14ac:dyDescent="0.3">
      <c r="A21" s="2">
        <f>A20+1</f>
        <v>102</v>
      </c>
      <c r="B21" s="2">
        <v>19</v>
      </c>
      <c r="C21" s="3">
        <v>44663.708333333336</v>
      </c>
      <c r="D21" s="4">
        <v>24</v>
      </c>
      <c r="E21" s="4">
        <f t="shared" si="4"/>
        <v>432</v>
      </c>
      <c r="F21" s="6">
        <f>E21/24</f>
        <v>18</v>
      </c>
      <c r="G21" s="13">
        <f t="shared" si="5"/>
        <v>0</v>
      </c>
      <c r="H21" s="13">
        <f t="shared" si="0"/>
        <v>0</v>
      </c>
      <c r="I21" s="13">
        <f t="shared" si="6"/>
        <v>0</v>
      </c>
      <c r="J21" s="13">
        <f t="shared" si="7"/>
        <v>0</v>
      </c>
      <c r="K21" s="13">
        <f t="shared" si="8"/>
        <v>0</v>
      </c>
      <c r="L21" s="13">
        <f t="shared" si="1"/>
        <v>0</v>
      </c>
      <c r="M21" s="13">
        <f t="shared" si="9"/>
        <v>0</v>
      </c>
      <c r="N21" s="6">
        <v>18</v>
      </c>
      <c r="O21" s="13">
        <f t="shared" si="2"/>
        <v>38</v>
      </c>
      <c r="P21" s="13">
        <f t="shared" si="3"/>
        <v>12</v>
      </c>
      <c r="Q21" s="13">
        <f t="shared" si="10"/>
        <v>0</v>
      </c>
      <c r="R21" s="13">
        <f t="shared" si="11"/>
        <v>0</v>
      </c>
      <c r="S21" s="13">
        <f t="shared" si="12"/>
        <v>0</v>
      </c>
      <c r="T21" s="26" t="s">
        <v>18</v>
      </c>
      <c r="U21" s="26" t="s">
        <v>18</v>
      </c>
      <c r="V21" s="26" t="s">
        <v>18</v>
      </c>
      <c r="W21" s="26" t="s">
        <v>18</v>
      </c>
      <c r="X21" s="26" t="s">
        <v>18</v>
      </c>
      <c r="Y21" s="26" t="s">
        <v>18</v>
      </c>
      <c r="Z21" s="26" t="s">
        <v>18</v>
      </c>
      <c r="AA21" s="26" t="s">
        <v>18</v>
      </c>
      <c r="AB21" s="26" t="s">
        <v>18</v>
      </c>
      <c r="AC21" s="26" t="s">
        <v>18</v>
      </c>
      <c r="AD21" s="26" t="s">
        <v>18</v>
      </c>
      <c r="AE21" s="26" t="s">
        <v>18</v>
      </c>
      <c r="AF21" s="26" t="s">
        <v>17</v>
      </c>
      <c r="AG21" s="26" t="s">
        <v>17</v>
      </c>
      <c r="AH21" s="26" t="s">
        <v>17</v>
      </c>
      <c r="AI21" s="26" t="s">
        <v>17</v>
      </c>
      <c r="AJ21" s="26" t="s">
        <v>17</v>
      </c>
      <c r="AK21" s="26" t="s">
        <v>17</v>
      </c>
      <c r="AL21" s="26" t="s">
        <v>17</v>
      </c>
      <c r="AM21" s="26" t="s">
        <v>17</v>
      </c>
      <c r="AN21" s="26" t="s">
        <v>17</v>
      </c>
      <c r="AO21" s="26" t="s">
        <v>17</v>
      </c>
      <c r="AP21" s="26" t="s">
        <v>17</v>
      </c>
      <c r="AQ21" s="26" t="s">
        <v>17</v>
      </c>
      <c r="AR21" s="26" t="s">
        <v>17</v>
      </c>
      <c r="AS21" s="26" t="s">
        <v>17</v>
      </c>
      <c r="AT21" s="26" t="s">
        <v>17</v>
      </c>
      <c r="AU21" s="26" t="s">
        <v>17</v>
      </c>
      <c r="AV21" s="26" t="s">
        <v>17</v>
      </c>
      <c r="AW21" s="26" t="s">
        <v>17</v>
      </c>
      <c r="AX21" s="26" t="s">
        <v>17</v>
      </c>
      <c r="AY21" s="26" t="s">
        <v>17</v>
      </c>
      <c r="AZ21" s="26" t="s">
        <v>17</v>
      </c>
      <c r="BA21" s="26" t="s">
        <v>17</v>
      </c>
      <c r="BB21" s="26" t="s">
        <v>17</v>
      </c>
      <c r="BC21" s="26" t="s">
        <v>17</v>
      </c>
      <c r="BD21" s="26" t="s">
        <v>17</v>
      </c>
      <c r="BE21" s="26" t="s">
        <v>17</v>
      </c>
      <c r="BF21" s="26" t="s">
        <v>17</v>
      </c>
      <c r="BG21" s="26" t="s">
        <v>17</v>
      </c>
      <c r="BH21" s="26" t="s">
        <v>17</v>
      </c>
      <c r="BI21" s="26" t="s">
        <v>17</v>
      </c>
      <c r="BJ21" s="26" t="s">
        <v>17</v>
      </c>
      <c r="BK21" s="26" t="s">
        <v>17</v>
      </c>
      <c r="BL21" s="26" t="s">
        <v>17</v>
      </c>
      <c r="BM21" s="26" t="s">
        <v>17</v>
      </c>
      <c r="BN21" s="26" t="s">
        <v>17</v>
      </c>
      <c r="BO21" s="26" t="s">
        <v>17</v>
      </c>
      <c r="BP21" s="26" t="s">
        <v>17</v>
      </c>
      <c r="BQ21" s="26" t="s">
        <v>17</v>
      </c>
    </row>
    <row r="23" spans="1:69" x14ac:dyDescent="0.3">
      <c r="F23" s="5"/>
      <c r="G23" s="13"/>
      <c r="H23" s="13"/>
      <c r="I23" s="13"/>
      <c r="J23" s="13"/>
      <c r="K23" s="13"/>
      <c r="N23" s="11" t="s">
        <v>3</v>
      </c>
      <c r="O23" s="14" t="s">
        <v>9</v>
      </c>
      <c r="P23" s="15" t="s">
        <v>5</v>
      </c>
      <c r="Q23" s="16" t="s">
        <v>8</v>
      </c>
      <c r="R23" s="17" t="s">
        <v>10</v>
      </c>
      <c r="S23" s="18" t="s">
        <v>11</v>
      </c>
    </row>
    <row r="24" spans="1:69" ht="14.4" customHeight="1" x14ac:dyDescent="0.3">
      <c r="F24" s="5"/>
      <c r="G24" s="13"/>
      <c r="H24" s="13"/>
      <c r="I24" s="13"/>
      <c r="J24" s="13"/>
      <c r="K24" s="13"/>
      <c r="N24" s="5">
        <v>0</v>
      </c>
      <c r="O24" s="13">
        <f>O4-O3</f>
        <v>0</v>
      </c>
      <c r="P24" s="13">
        <f>P4-P3</f>
        <v>0</v>
      </c>
      <c r="Q24" s="13">
        <f t="shared" ref="Q24:S24" si="15">Q4-Q3</f>
        <v>0</v>
      </c>
      <c r="R24" s="13">
        <f t="shared" si="15"/>
        <v>0</v>
      </c>
      <c r="S24" s="13">
        <f t="shared" si="15"/>
        <v>0</v>
      </c>
    </row>
    <row r="25" spans="1:69" ht="14.4" customHeight="1" x14ac:dyDescent="0.3">
      <c r="F25" s="5"/>
      <c r="G25" s="13"/>
      <c r="H25" s="13"/>
      <c r="I25" s="13"/>
      <c r="J25" s="13"/>
      <c r="K25" s="13"/>
      <c r="N25" s="5">
        <v>1</v>
      </c>
      <c r="O25" s="13">
        <f t="shared" ref="O25:O41" si="16">O5-O4</f>
        <v>0</v>
      </c>
      <c r="P25" s="13">
        <f t="shared" ref="P25:S25" si="17">P5-P4</f>
        <v>0</v>
      </c>
      <c r="Q25" s="13">
        <f t="shared" si="17"/>
        <v>0</v>
      </c>
      <c r="R25" s="13">
        <f t="shared" si="17"/>
        <v>0</v>
      </c>
      <c r="S25" s="13">
        <f t="shared" si="17"/>
        <v>0</v>
      </c>
    </row>
    <row r="26" spans="1:69" x14ac:dyDescent="0.3">
      <c r="F26" s="5"/>
      <c r="G26" s="13"/>
      <c r="H26" s="13"/>
      <c r="I26" s="13"/>
      <c r="J26" s="13"/>
      <c r="K26" s="13"/>
      <c r="N26" s="5">
        <v>2</v>
      </c>
      <c r="O26" s="13">
        <f t="shared" si="16"/>
        <v>0</v>
      </c>
      <c r="P26" s="13">
        <f t="shared" ref="P26:S26" si="18">P6-P5</f>
        <v>0</v>
      </c>
      <c r="Q26" s="13">
        <f t="shared" si="18"/>
        <v>0</v>
      </c>
      <c r="R26" s="13">
        <f t="shared" si="18"/>
        <v>0</v>
      </c>
      <c r="S26" s="13">
        <f t="shared" si="18"/>
        <v>0</v>
      </c>
    </row>
    <row r="27" spans="1:69" x14ac:dyDescent="0.3">
      <c r="F27" s="5"/>
      <c r="G27" s="13"/>
      <c r="H27" s="13"/>
      <c r="I27" s="13"/>
      <c r="J27" s="13"/>
      <c r="K27" s="13"/>
      <c r="N27" s="5">
        <v>3</v>
      </c>
      <c r="O27" s="13">
        <f t="shared" si="16"/>
        <v>0</v>
      </c>
      <c r="P27" s="13">
        <f t="shared" ref="P27:S27" si="19">P7-P6</f>
        <v>0</v>
      </c>
      <c r="Q27" s="13">
        <f t="shared" si="19"/>
        <v>0</v>
      </c>
      <c r="R27" s="13">
        <f t="shared" si="19"/>
        <v>0</v>
      </c>
      <c r="S27" s="13">
        <f t="shared" si="19"/>
        <v>0</v>
      </c>
    </row>
    <row r="28" spans="1:69" x14ac:dyDescent="0.3">
      <c r="F28" s="5"/>
      <c r="G28" s="13"/>
      <c r="H28" s="13"/>
      <c r="I28" s="13"/>
      <c r="J28" s="13"/>
      <c r="K28" s="13"/>
      <c r="N28" s="5">
        <v>4</v>
      </c>
      <c r="O28" s="13">
        <f t="shared" si="16"/>
        <v>0</v>
      </c>
      <c r="P28" s="13">
        <f t="shared" ref="P28:S28" si="20">P8-P7</f>
        <v>0</v>
      </c>
      <c r="Q28" s="13">
        <f t="shared" si="20"/>
        <v>0</v>
      </c>
      <c r="R28" s="13">
        <f t="shared" si="20"/>
        <v>0</v>
      </c>
      <c r="S28" s="13">
        <f t="shared" si="20"/>
        <v>0</v>
      </c>
    </row>
    <row r="29" spans="1:69" x14ac:dyDescent="0.3">
      <c r="F29" s="5"/>
      <c r="G29" s="13"/>
      <c r="H29" s="13"/>
      <c r="I29" s="13"/>
      <c r="J29" s="13"/>
      <c r="K29" s="13"/>
      <c r="N29" s="5">
        <v>5</v>
      </c>
      <c r="O29" s="13">
        <f t="shared" si="16"/>
        <v>0</v>
      </c>
      <c r="P29" s="13">
        <f t="shared" ref="P29:S29" si="21">P9-P8</f>
        <v>0</v>
      </c>
      <c r="Q29" s="13">
        <f t="shared" si="21"/>
        <v>0</v>
      </c>
      <c r="R29" s="13">
        <f t="shared" si="21"/>
        <v>0</v>
      </c>
      <c r="S29" s="13">
        <f t="shared" si="21"/>
        <v>0</v>
      </c>
    </row>
    <row r="30" spans="1:69" x14ac:dyDescent="0.3">
      <c r="F30" s="5"/>
      <c r="G30" s="13"/>
      <c r="H30" s="13"/>
      <c r="I30" s="13"/>
      <c r="J30" s="13"/>
      <c r="K30" s="13"/>
      <c r="N30" s="5">
        <v>6</v>
      </c>
      <c r="O30" s="13">
        <f t="shared" si="16"/>
        <v>0</v>
      </c>
      <c r="P30" s="13">
        <f>P10-P9</f>
        <v>2</v>
      </c>
      <c r="Q30" s="13">
        <f t="shared" ref="Q30:S30" si="22">Q10-Q9</f>
        <v>0</v>
      </c>
      <c r="R30" s="13">
        <f t="shared" si="22"/>
        <v>0</v>
      </c>
      <c r="S30" s="13">
        <f t="shared" si="22"/>
        <v>0</v>
      </c>
    </row>
    <row r="31" spans="1:69" x14ac:dyDescent="0.3">
      <c r="F31" s="5"/>
      <c r="G31" s="13"/>
      <c r="H31" s="13"/>
      <c r="I31" s="13"/>
      <c r="J31" s="13"/>
      <c r="K31" s="13"/>
      <c r="N31" s="5">
        <v>7</v>
      </c>
      <c r="O31" s="13">
        <f t="shared" si="16"/>
        <v>0</v>
      </c>
      <c r="P31" s="13">
        <f t="shared" ref="P31:S31" si="23">P11-P10</f>
        <v>1</v>
      </c>
      <c r="Q31" s="13">
        <f t="shared" si="23"/>
        <v>0</v>
      </c>
      <c r="R31" s="13">
        <f t="shared" si="23"/>
        <v>0</v>
      </c>
      <c r="S31" s="13">
        <f t="shared" si="23"/>
        <v>0</v>
      </c>
    </row>
    <row r="32" spans="1:69" x14ac:dyDescent="0.3">
      <c r="F32" s="5"/>
      <c r="G32" s="13"/>
      <c r="H32" s="13"/>
      <c r="I32" s="13"/>
      <c r="J32" s="13"/>
      <c r="K32" s="13"/>
      <c r="N32" s="5">
        <v>8</v>
      </c>
      <c r="O32" s="13">
        <f t="shared" si="16"/>
        <v>0</v>
      </c>
      <c r="P32" s="13">
        <f t="shared" ref="P32:S32" si="24">P12-P11</f>
        <v>1</v>
      </c>
      <c r="Q32" s="13">
        <f t="shared" si="24"/>
        <v>0</v>
      </c>
      <c r="R32" s="13">
        <f t="shared" si="24"/>
        <v>0</v>
      </c>
      <c r="S32" s="13">
        <f t="shared" si="24"/>
        <v>0</v>
      </c>
    </row>
    <row r="33" spans="6:19" x14ac:dyDescent="0.3">
      <c r="F33" s="5"/>
      <c r="G33" s="13"/>
      <c r="H33" s="13"/>
      <c r="I33" s="13"/>
      <c r="J33" s="13"/>
      <c r="K33" s="13"/>
      <c r="N33" s="5">
        <v>9</v>
      </c>
      <c r="O33" s="13">
        <f t="shared" si="16"/>
        <v>0</v>
      </c>
      <c r="P33" s="13">
        <f t="shared" ref="P33:S33" si="25">P13-P12</f>
        <v>1</v>
      </c>
      <c r="Q33" s="13">
        <f t="shared" si="25"/>
        <v>0</v>
      </c>
      <c r="R33" s="13">
        <f t="shared" si="25"/>
        <v>0</v>
      </c>
      <c r="S33" s="13">
        <f t="shared" si="25"/>
        <v>0</v>
      </c>
    </row>
    <row r="34" spans="6:19" x14ac:dyDescent="0.3">
      <c r="F34" s="5"/>
      <c r="G34" s="13"/>
      <c r="H34" s="13"/>
      <c r="I34" s="13"/>
      <c r="J34" s="13"/>
      <c r="K34" s="13"/>
      <c r="N34" s="5">
        <v>10</v>
      </c>
      <c r="O34" s="13">
        <f t="shared" si="16"/>
        <v>0</v>
      </c>
      <c r="P34" s="13">
        <f t="shared" ref="P34:S34" si="26">P14-P13</f>
        <v>0</v>
      </c>
      <c r="Q34" s="13">
        <f t="shared" si="26"/>
        <v>0</v>
      </c>
      <c r="R34" s="13">
        <f t="shared" si="26"/>
        <v>0</v>
      </c>
      <c r="S34" s="13">
        <f t="shared" si="26"/>
        <v>0</v>
      </c>
    </row>
    <row r="35" spans="6:19" x14ac:dyDescent="0.3">
      <c r="F35" s="5"/>
      <c r="G35" s="13"/>
      <c r="H35" s="13"/>
      <c r="I35" s="13"/>
      <c r="J35" s="13"/>
      <c r="K35" s="13"/>
      <c r="N35" s="5">
        <v>11</v>
      </c>
      <c r="O35" s="13">
        <f t="shared" si="16"/>
        <v>0</v>
      </c>
      <c r="P35" s="13">
        <f t="shared" ref="P35:S35" si="27">P15-P14</f>
        <v>2</v>
      </c>
      <c r="Q35" s="13">
        <f t="shared" si="27"/>
        <v>0</v>
      </c>
      <c r="R35" s="13">
        <f t="shared" si="27"/>
        <v>0</v>
      </c>
      <c r="S35" s="13">
        <f t="shared" si="27"/>
        <v>0</v>
      </c>
    </row>
    <row r="36" spans="6:19" x14ac:dyDescent="0.3">
      <c r="F36" s="5"/>
      <c r="G36" s="13"/>
      <c r="H36" s="13"/>
      <c r="I36" s="13"/>
      <c r="J36" s="13"/>
      <c r="K36" s="13"/>
      <c r="N36" s="5">
        <v>12</v>
      </c>
      <c r="O36" s="13">
        <f t="shared" si="16"/>
        <v>0</v>
      </c>
      <c r="P36" s="13">
        <f t="shared" ref="P36:S36" si="28">P16-P15</f>
        <v>1</v>
      </c>
      <c r="Q36" s="13">
        <f t="shared" si="28"/>
        <v>0</v>
      </c>
      <c r="R36" s="13">
        <f t="shared" si="28"/>
        <v>0</v>
      </c>
      <c r="S36" s="13">
        <f t="shared" si="28"/>
        <v>0</v>
      </c>
    </row>
    <row r="37" spans="6:19" x14ac:dyDescent="0.3">
      <c r="F37" s="5"/>
      <c r="G37" s="13"/>
      <c r="H37" s="13"/>
      <c r="I37" s="13"/>
      <c r="J37" s="13"/>
      <c r="K37" s="13"/>
      <c r="N37" s="5">
        <v>13</v>
      </c>
      <c r="O37" s="13">
        <f t="shared" si="16"/>
        <v>0</v>
      </c>
      <c r="P37" s="13">
        <f t="shared" ref="P37:S37" si="29">P17-P16</f>
        <v>1</v>
      </c>
      <c r="Q37" s="13">
        <f t="shared" si="29"/>
        <v>0</v>
      </c>
      <c r="R37" s="13">
        <f t="shared" si="29"/>
        <v>0</v>
      </c>
      <c r="S37" s="13">
        <f t="shared" si="29"/>
        <v>0</v>
      </c>
    </row>
    <row r="38" spans="6:19" x14ac:dyDescent="0.3">
      <c r="F38" s="5"/>
      <c r="G38" s="13"/>
      <c r="H38" s="13"/>
      <c r="I38" s="13"/>
      <c r="J38" s="13"/>
      <c r="K38" s="13"/>
      <c r="N38" s="5">
        <v>14</v>
      </c>
      <c r="O38" s="13">
        <f>O18-O17</f>
        <v>38</v>
      </c>
      <c r="P38" s="13">
        <f t="shared" ref="P38:S38" si="30">P18-P17</f>
        <v>1</v>
      </c>
      <c r="Q38" s="13">
        <f t="shared" si="30"/>
        <v>0</v>
      </c>
      <c r="R38" s="13">
        <f t="shared" si="30"/>
        <v>0</v>
      </c>
      <c r="S38" s="13">
        <f t="shared" si="30"/>
        <v>0</v>
      </c>
    </row>
    <row r="39" spans="6:19" x14ac:dyDescent="0.3">
      <c r="F39" s="6"/>
      <c r="G39" s="13"/>
      <c r="H39" s="13"/>
      <c r="I39" s="13"/>
      <c r="J39" s="13"/>
      <c r="K39" s="13"/>
      <c r="N39" s="6">
        <v>15</v>
      </c>
      <c r="O39" s="13">
        <f t="shared" si="16"/>
        <v>0</v>
      </c>
      <c r="P39" s="13">
        <f t="shared" ref="P39:S39" si="31">P19-P18</f>
        <v>0</v>
      </c>
      <c r="Q39" s="13">
        <f t="shared" si="31"/>
        <v>0</v>
      </c>
      <c r="R39" s="13">
        <f t="shared" si="31"/>
        <v>0</v>
      </c>
      <c r="S39" s="13">
        <f t="shared" si="31"/>
        <v>0</v>
      </c>
    </row>
    <row r="40" spans="6:19" x14ac:dyDescent="0.3">
      <c r="F40" s="6"/>
      <c r="G40" s="13"/>
      <c r="H40" s="13"/>
      <c r="I40" s="13"/>
      <c r="J40" s="13"/>
      <c r="K40" s="13"/>
      <c r="N40" s="6">
        <v>16</v>
      </c>
      <c r="O40" s="13">
        <f t="shared" si="16"/>
        <v>0</v>
      </c>
      <c r="P40" s="13">
        <f t="shared" ref="P40:S40" si="32">P20-P19</f>
        <v>1</v>
      </c>
      <c r="Q40" s="13">
        <f t="shared" si="32"/>
        <v>0</v>
      </c>
      <c r="R40" s="13">
        <f t="shared" si="32"/>
        <v>0</v>
      </c>
      <c r="S40" s="13">
        <f t="shared" si="32"/>
        <v>0</v>
      </c>
    </row>
    <row r="41" spans="6:19" x14ac:dyDescent="0.3">
      <c r="F41" s="6"/>
      <c r="G41" s="13"/>
      <c r="H41" s="13"/>
      <c r="I41" s="13"/>
      <c r="J41" s="13"/>
      <c r="K41" s="13"/>
      <c r="N41" s="6">
        <v>17</v>
      </c>
      <c r="O41" s="13">
        <f t="shared" si="16"/>
        <v>0</v>
      </c>
      <c r="P41" s="13">
        <f t="shared" ref="P41:S41" si="33">P21-P20</f>
        <v>1</v>
      </c>
      <c r="Q41" s="13">
        <f t="shared" si="33"/>
        <v>0</v>
      </c>
      <c r="R41" s="13">
        <f t="shared" si="33"/>
        <v>0</v>
      </c>
      <c r="S41" s="13">
        <f t="shared" si="33"/>
        <v>0</v>
      </c>
    </row>
    <row r="42" spans="6:19" x14ac:dyDescent="0.3">
      <c r="F42" s="6"/>
      <c r="G42" s="13"/>
      <c r="H42" s="13"/>
      <c r="I42" s="13"/>
      <c r="J42" s="13"/>
      <c r="K42" s="13"/>
      <c r="N42" s="6">
        <v>18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4" spans="6:19" x14ac:dyDescent="0.3">
      <c r="N44" s="5"/>
      <c r="P44" s="1"/>
      <c r="Q44" s="1"/>
      <c r="R44" s="1"/>
      <c r="S44" s="1"/>
    </row>
    <row r="45" spans="6:19" x14ac:dyDescent="0.3">
      <c r="N45" s="5"/>
      <c r="O45" s="52" t="s">
        <v>35</v>
      </c>
      <c r="P45" s="1"/>
      <c r="Q45" s="1"/>
      <c r="R45" s="1"/>
      <c r="S45" s="1"/>
    </row>
    <row r="46" spans="6:19" x14ac:dyDescent="0.3">
      <c r="N46" s="11" t="s">
        <v>3</v>
      </c>
      <c r="O46" s="14" t="s">
        <v>9</v>
      </c>
      <c r="P46" s="15" t="s">
        <v>5</v>
      </c>
      <c r="Q46" s="16" t="s">
        <v>8</v>
      </c>
      <c r="R46" s="17" t="s">
        <v>10</v>
      </c>
      <c r="S46" s="18" t="s">
        <v>11</v>
      </c>
    </row>
    <row r="47" spans="6:19" x14ac:dyDescent="0.3">
      <c r="N47" s="5">
        <v>0</v>
      </c>
      <c r="O47" s="1">
        <f t="shared" ref="O47:S56" si="34">O3+O24</f>
        <v>0</v>
      </c>
      <c r="P47" s="1">
        <f t="shared" si="34"/>
        <v>0</v>
      </c>
      <c r="Q47" s="1">
        <f t="shared" si="34"/>
        <v>0</v>
      </c>
      <c r="R47" s="1">
        <f t="shared" si="34"/>
        <v>0</v>
      </c>
      <c r="S47" s="1">
        <f t="shared" si="34"/>
        <v>0</v>
      </c>
    </row>
    <row r="48" spans="6:19" x14ac:dyDescent="0.3">
      <c r="N48" s="5">
        <v>1</v>
      </c>
      <c r="O48" s="1">
        <f t="shared" si="34"/>
        <v>0</v>
      </c>
      <c r="P48" s="1">
        <f t="shared" si="34"/>
        <v>0</v>
      </c>
      <c r="Q48" s="1">
        <f t="shared" si="34"/>
        <v>0</v>
      </c>
      <c r="R48" s="1">
        <f t="shared" si="34"/>
        <v>0</v>
      </c>
      <c r="S48" s="1">
        <f t="shared" si="34"/>
        <v>0</v>
      </c>
    </row>
    <row r="49" spans="14:19" x14ac:dyDescent="0.3">
      <c r="N49" s="5">
        <v>2</v>
      </c>
      <c r="O49" s="1">
        <f t="shared" si="34"/>
        <v>0</v>
      </c>
      <c r="P49" s="1">
        <f t="shared" si="34"/>
        <v>0</v>
      </c>
      <c r="Q49" s="1">
        <f t="shared" si="34"/>
        <v>0</v>
      </c>
      <c r="R49" s="1">
        <f t="shared" si="34"/>
        <v>0</v>
      </c>
      <c r="S49" s="1">
        <f t="shared" si="34"/>
        <v>0</v>
      </c>
    </row>
    <row r="50" spans="14:19" x14ac:dyDescent="0.3">
      <c r="N50" s="5">
        <v>3</v>
      </c>
      <c r="O50" s="1">
        <f t="shared" si="34"/>
        <v>0</v>
      </c>
      <c r="P50" s="1">
        <f t="shared" si="34"/>
        <v>0</v>
      </c>
      <c r="Q50" s="1">
        <f t="shared" si="34"/>
        <v>0</v>
      </c>
      <c r="R50" s="1">
        <f t="shared" si="34"/>
        <v>0</v>
      </c>
      <c r="S50" s="1">
        <f t="shared" si="34"/>
        <v>0</v>
      </c>
    </row>
    <row r="51" spans="14:19" x14ac:dyDescent="0.3">
      <c r="N51" s="5">
        <v>4</v>
      </c>
      <c r="O51" s="1">
        <f t="shared" si="34"/>
        <v>0</v>
      </c>
      <c r="P51" s="1">
        <f t="shared" si="34"/>
        <v>0</v>
      </c>
      <c r="Q51" s="1">
        <f t="shared" si="34"/>
        <v>0</v>
      </c>
      <c r="R51" s="1">
        <f t="shared" si="34"/>
        <v>0</v>
      </c>
      <c r="S51" s="1">
        <f t="shared" si="34"/>
        <v>0</v>
      </c>
    </row>
    <row r="52" spans="14:19" x14ac:dyDescent="0.3">
      <c r="N52" s="5">
        <v>5</v>
      </c>
      <c r="O52" s="1">
        <f t="shared" si="34"/>
        <v>0</v>
      </c>
      <c r="P52" s="1">
        <f t="shared" si="34"/>
        <v>0</v>
      </c>
      <c r="Q52" s="1">
        <f t="shared" si="34"/>
        <v>0</v>
      </c>
      <c r="R52" s="1">
        <f t="shared" si="34"/>
        <v>0</v>
      </c>
      <c r="S52" s="1">
        <f t="shared" si="34"/>
        <v>0</v>
      </c>
    </row>
    <row r="53" spans="14:19" x14ac:dyDescent="0.3">
      <c r="N53" s="5">
        <v>6</v>
      </c>
      <c r="O53" s="1">
        <f t="shared" si="34"/>
        <v>0</v>
      </c>
      <c r="P53" s="1">
        <f t="shared" si="34"/>
        <v>2</v>
      </c>
      <c r="Q53" s="1">
        <f t="shared" si="34"/>
        <v>0</v>
      </c>
      <c r="R53" s="1">
        <f t="shared" si="34"/>
        <v>0</v>
      </c>
      <c r="S53" s="1">
        <f t="shared" si="34"/>
        <v>0</v>
      </c>
    </row>
    <row r="54" spans="14:19" x14ac:dyDescent="0.3">
      <c r="N54" s="5">
        <v>7</v>
      </c>
      <c r="O54" s="1">
        <f t="shared" si="34"/>
        <v>0</v>
      </c>
      <c r="P54" s="1">
        <f t="shared" si="34"/>
        <v>3</v>
      </c>
      <c r="Q54" s="1">
        <f t="shared" si="34"/>
        <v>0</v>
      </c>
      <c r="R54" s="1">
        <f t="shared" si="34"/>
        <v>0</v>
      </c>
      <c r="S54" s="1">
        <f t="shared" si="34"/>
        <v>0</v>
      </c>
    </row>
    <row r="55" spans="14:19" x14ac:dyDescent="0.3">
      <c r="N55" s="5">
        <v>8</v>
      </c>
      <c r="O55" s="1">
        <f t="shared" si="34"/>
        <v>0</v>
      </c>
      <c r="P55" s="1">
        <f t="shared" si="34"/>
        <v>4</v>
      </c>
      <c r="Q55" s="1">
        <f t="shared" si="34"/>
        <v>0</v>
      </c>
      <c r="R55" s="1">
        <f t="shared" si="34"/>
        <v>0</v>
      </c>
      <c r="S55" s="1">
        <f t="shared" si="34"/>
        <v>0</v>
      </c>
    </row>
    <row r="56" spans="14:19" x14ac:dyDescent="0.3">
      <c r="N56" s="5">
        <v>9</v>
      </c>
      <c r="O56" s="1">
        <f t="shared" si="34"/>
        <v>0</v>
      </c>
      <c r="P56" s="1">
        <f t="shared" si="34"/>
        <v>5</v>
      </c>
      <c r="Q56" s="1">
        <f t="shared" si="34"/>
        <v>0</v>
      </c>
      <c r="R56" s="1">
        <f t="shared" si="34"/>
        <v>0</v>
      </c>
      <c r="S56" s="1">
        <f t="shared" si="34"/>
        <v>0</v>
      </c>
    </row>
    <row r="57" spans="14:19" x14ac:dyDescent="0.3">
      <c r="N57" s="5">
        <v>10</v>
      </c>
      <c r="O57" s="1">
        <f t="shared" ref="O57:S65" si="35">O13+O34</f>
        <v>0</v>
      </c>
      <c r="P57" s="1">
        <f t="shared" si="35"/>
        <v>5</v>
      </c>
      <c r="Q57" s="1">
        <f t="shared" si="35"/>
        <v>0</v>
      </c>
      <c r="R57" s="1">
        <f t="shared" si="35"/>
        <v>0</v>
      </c>
      <c r="S57" s="1">
        <f t="shared" si="35"/>
        <v>0</v>
      </c>
    </row>
    <row r="58" spans="14:19" x14ac:dyDescent="0.3">
      <c r="N58" s="5">
        <v>11</v>
      </c>
      <c r="O58" s="1">
        <f t="shared" si="35"/>
        <v>0</v>
      </c>
      <c r="P58" s="1">
        <f t="shared" si="35"/>
        <v>7</v>
      </c>
      <c r="Q58" s="1">
        <f t="shared" si="35"/>
        <v>0</v>
      </c>
      <c r="R58" s="1">
        <f t="shared" si="35"/>
        <v>0</v>
      </c>
      <c r="S58" s="1">
        <f t="shared" si="35"/>
        <v>0</v>
      </c>
    </row>
    <row r="59" spans="14:19" x14ac:dyDescent="0.3">
      <c r="N59" s="5">
        <v>12</v>
      </c>
      <c r="O59" s="1">
        <f t="shared" si="35"/>
        <v>0</v>
      </c>
      <c r="P59" s="1">
        <f t="shared" si="35"/>
        <v>8</v>
      </c>
      <c r="Q59" s="1">
        <f t="shared" si="35"/>
        <v>0</v>
      </c>
      <c r="R59" s="1">
        <f t="shared" si="35"/>
        <v>0</v>
      </c>
      <c r="S59" s="1">
        <f t="shared" si="35"/>
        <v>0</v>
      </c>
    </row>
    <row r="60" spans="14:19" x14ac:dyDescent="0.3">
      <c r="N60" s="5">
        <v>13</v>
      </c>
      <c r="O60" s="1">
        <f t="shared" si="35"/>
        <v>0</v>
      </c>
      <c r="P60" s="1">
        <f t="shared" si="35"/>
        <v>9</v>
      </c>
      <c r="Q60" s="1">
        <f t="shared" si="35"/>
        <v>0</v>
      </c>
      <c r="R60" s="1">
        <f t="shared" si="35"/>
        <v>0</v>
      </c>
      <c r="S60" s="1">
        <f t="shared" si="35"/>
        <v>0</v>
      </c>
    </row>
    <row r="61" spans="14:19" x14ac:dyDescent="0.3">
      <c r="N61" s="5">
        <v>14</v>
      </c>
      <c r="O61" s="1">
        <f>O17+O38</f>
        <v>38</v>
      </c>
      <c r="P61" s="1">
        <f t="shared" si="35"/>
        <v>10</v>
      </c>
      <c r="Q61" s="1">
        <f t="shared" si="35"/>
        <v>0</v>
      </c>
      <c r="R61" s="1">
        <f t="shared" si="35"/>
        <v>0</v>
      </c>
      <c r="S61" s="1">
        <f t="shared" si="35"/>
        <v>0</v>
      </c>
    </row>
    <row r="62" spans="14:19" x14ac:dyDescent="0.3">
      <c r="N62" s="6">
        <v>15</v>
      </c>
      <c r="O62" s="1">
        <f t="shared" si="35"/>
        <v>38</v>
      </c>
      <c r="P62" s="1">
        <f t="shared" si="35"/>
        <v>10</v>
      </c>
      <c r="Q62" s="1">
        <f t="shared" si="35"/>
        <v>0</v>
      </c>
      <c r="R62" s="1">
        <f t="shared" si="35"/>
        <v>0</v>
      </c>
      <c r="S62" s="1">
        <f t="shared" si="35"/>
        <v>0</v>
      </c>
    </row>
    <row r="63" spans="14:19" x14ac:dyDescent="0.3">
      <c r="N63" s="6">
        <v>16</v>
      </c>
      <c r="O63" s="1">
        <f t="shared" si="35"/>
        <v>38</v>
      </c>
      <c r="P63" s="1">
        <f t="shared" si="35"/>
        <v>11</v>
      </c>
      <c r="Q63" s="1">
        <f t="shared" si="35"/>
        <v>0</v>
      </c>
      <c r="R63" s="1">
        <f t="shared" si="35"/>
        <v>0</v>
      </c>
      <c r="S63" s="1">
        <f t="shared" si="35"/>
        <v>0</v>
      </c>
    </row>
    <row r="64" spans="14:19" x14ac:dyDescent="0.3">
      <c r="N64" s="6">
        <v>17</v>
      </c>
      <c r="O64" s="1">
        <f t="shared" si="35"/>
        <v>38</v>
      </c>
      <c r="P64" s="1">
        <f t="shared" si="35"/>
        <v>12</v>
      </c>
      <c r="Q64" s="1">
        <f t="shared" si="35"/>
        <v>0</v>
      </c>
      <c r="R64" s="1">
        <f t="shared" si="35"/>
        <v>0</v>
      </c>
      <c r="S64" s="1">
        <f t="shared" si="35"/>
        <v>0</v>
      </c>
    </row>
    <row r="65" spans="14:19" x14ac:dyDescent="0.3">
      <c r="N65" s="6">
        <v>18</v>
      </c>
      <c r="O65" s="1">
        <f t="shared" si="35"/>
        <v>38</v>
      </c>
      <c r="P65" s="1">
        <f t="shared" si="35"/>
        <v>12</v>
      </c>
      <c r="Q65" s="1">
        <f t="shared" si="35"/>
        <v>0</v>
      </c>
      <c r="R65" s="1">
        <f t="shared" si="35"/>
        <v>0</v>
      </c>
      <c r="S65" s="1">
        <f t="shared" si="35"/>
        <v>0</v>
      </c>
    </row>
  </sheetData>
  <mergeCells count="2">
    <mergeCell ref="O1:S1"/>
    <mergeCell ref="T1:BQ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9272-B292-445E-B1FB-BD87BC102465}">
  <dimension ref="A1:BU166"/>
  <sheetViews>
    <sheetView topLeftCell="A107" zoomScale="70" zoomScaleNormal="70" workbookViewId="0">
      <selection activeCell="O3" sqref="O3:U142"/>
    </sheetView>
  </sheetViews>
  <sheetFormatPr defaultRowHeight="14.4" x14ac:dyDescent="0.3"/>
  <cols>
    <col min="3" max="3" width="14.21875" bestFit="1" customWidth="1"/>
    <col min="5" max="5" width="20.77734375" bestFit="1" customWidth="1"/>
    <col min="6" max="6" width="10" style="40" bestFit="1" customWidth="1"/>
    <col min="12" max="12" width="8.88671875" style="86"/>
    <col min="14" max="14" width="2.109375" customWidth="1"/>
    <col min="22" max="22" width="3.109375" style="86" customWidth="1"/>
    <col min="23" max="23" width="3.77734375" style="86" customWidth="1"/>
  </cols>
  <sheetData>
    <row r="1" spans="1:73" ht="14.4" customHeight="1" x14ac:dyDescent="0.3">
      <c r="A1" s="1"/>
      <c r="B1" s="1"/>
      <c r="C1" s="1"/>
      <c r="D1" s="1"/>
      <c r="E1" s="1"/>
      <c r="F1" s="7"/>
      <c r="G1" s="47" t="s">
        <v>15</v>
      </c>
      <c r="H1" s="41"/>
      <c r="I1" s="41"/>
      <c r="J1" s="41"/>
      <c r="K1" s="41"/>
      <c r="L1" s="41"/>
      <c r="M1" s="41"/>
      <c r="N1" s="28"/>
      <c r="O1" s="71" t="s">
        <v>16</v>
      </c>
      <c r="P1" s="71"/>
      <c r="Q1" s="71"/>
      <c r="R1" s="71"/>
      <c r="S1" s="71"/>
      <c r="T1" s="71"/>
      <c r="U1" s="71"/>
      <c r="V1" s="28"/>
      <c r="X1" s="92" t="s">
        <v>12</v>
      </c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</row>
    <row r="2" spans="1:73" ht="14.4" customHeight="1" x14ac:dyDescent="0.3">
      <c r="A2" s="8" t="s">
        <v>0</v>
      </c>
      <c r="B2" s="9" t="s">
        <v>6</v>
      </c>
      <c r="C2" s="10" t="s">
        <v>19</v>
      </c>
      <c r="D2" s="10" t="s">
        <v>20</v>
      </c>
      <c r="E2" s="10" t="s">
        <v>21</v>
      </c>
      <c r="F2" s="11" t="s">
        <v>3</v>
      </c>
      <c r="G2" s="22" t="s">
        <v>9</v>
      </c>
      <c r="H2" s="23" t="s">
        <v>5</v>
      </c>
      <c r="I2" s="16" t="s">
        <v>8</v>
      </c>
      <c r="J2" s="17" t="s">
        <v>10</v>
      </c>
      <c r="K2" s="18" t="s">
        <v>11</v>
      </c>
      <c r="L2" s="87" t="s">
        <v>13</v>
      </c>
      <c r="M2" s="88" t="s">
        <v>14</v>
      </c>
      <c r="N2" s="28"/>
      <c r="O2" s="22" t="s">
        <v>9</v>
      </c>
      <c r="P2" s="23" t="s">
        <v>5</v>
      </c>
      <c r="Q2" s="16" t="s">
        <v>8</v>
      </c>
      <c r="R2" s="17" t="s">
        <v>10</v>
      </c>
      <c r="S2" s="18" t="s">
        <v>11</v>
      </c>
      <c r="T2" s="27" t="s">
        <v>13</v>
      </c>
      <c r="U2" s="88" t="s">
        <v>14</v>
      </c>
      <c r="V2" s="28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</row>
    <row r="3" spans="1:73" x14ac:dyDescent="0.3">
      <c r="A3" s="2">
        <v>84</v>
      </c>
      <c r="B3" s="12">
        <v>1</v>
      </c>
      <c r="C3" s="24">
        <v>44645.708333333336</v>
      </c>
      <c r="D3" s="4">
        <v>0</v>
      </c>
      <c r="E3" s="4">
        <v>0</v>
      </c>
      <c r="F3" s="5">
        <v>0</v>
      </c>
      <c r="G3">
        <f>COUNTIF($X3:$BU3, "E")</f>
        <v>50</v>
      </c>
      <c r="H3">
        <f>COUNTIF($X3:$BU3, "L1")</f>
        <v>0</v>
      </c>
      <c r="I3">
        <f>COUNTIF($X3:$BU3, "L2")</f>
        <v>0</v>
      </c>
      <c r="J3">
        <f>COUNTIF($X3:$BU3, "L3")</f>
        <v>0</v>
      </c>
      <c r="K3">
        <f>COUNTIF($X3:$BU3, "P")</f>
        <v>0</v>
      </c>
      <c r="L3" s="86">
        <f>COUNTIF($X3:$BU3, "AM")</f>
        <v>0</v>
      </c>
      <c r="M3" s="86">
        <f>COUNTIF($X3:$BU3, "AF")</f>
        <v>0</v>
      </c>
      <c r="N3" s="28"/>
      <c r="O3">
        <f>COUNTIF($X3:$BU3, "E_D")</f>
        <v>0</v>
      </c>
      <c r="P3">
        <f>COUNTIF($X3:$BU3, "L1_D")</f>
        <v>0</v>
      </c>
      <c r="Q3">
        <f>COUNTIF($X3:$BU3, "L2_D")</f>
        <v>0</v>
      </c>
      <c r="R3">
        <f>COUNTIF($X3:$BU3, "L3_D")</f>
        <v>0</v>
      </c>
      <c r="S3">
        <f>COUNTIF($X3:$BU3, "P_D")</f>
        <v>0</v>
      </c>
      <c r="T3">
        <f>COUNTIF($X3:$BU3, "AM_D")</f>
        <v>0</v>
      </c>
      <c r="U3">
        <f>COUNTIF($X3:$BU3, "AF_D")</f>
        <v>0</v>
      </c>
      <c r="V3" s="28"/>
      <c r="X3" s="29" t="s">
        <v>4</v>
      </c>
      <c r="Y3" s="29" t="s">
        <v>4</v>
      </c>
      <c r="Z3" s="29" t="s">
        <v>4</v>
      </c>
      <c r="AA3" s="29" t="s">
        <v>4</v>
      </c>
      <c r="AB3" s="29" t="s">
        <v>4</v>
      </c>
      <c r="AC3" s="29" t="s">
        <v>4</v>
      </c>
      <c r="AD3" s="29" t="s">
        <v>4</v>
      </c>
      <c r="AE3" s="29" t="s">
        <v>4</v>
      </c>
      <c r="AF3" s="29" t="s">
        <v>4</v>
      </c>
      <c r="AG3" s="29" t="s">
        <v>4</v>
      </c>
      <c r="AH3" s="29" t="s">
        <v>4</v>
      </c>
      <c r="AI3" s="29" t="s">
        <v>4</v>
      </c>
      <c r="AJ3" s="29" t="s">
        <v>4</v>
      </c>
      <c r="AK3" s="29" t="s">
        <v>4</v>
      </c>
      <c r="AL3" s="29" t="s">
        <v>4</v>
      </c>
      <c r="AM3" s="29" t="s">
        <v>4</v>
      </c>
      <c r="AN3" s="29" t="s">
        <v>4</v>
      </c>
      <c r="AO3" s="29" t="s">
        <v>4</v>
      </c>
      <c r="AP3" s="29" t="s">
        <v>4</v>
      </c>
      <c r="AQ3" s="29" t="s">
        <v>4</v>
      </c>
      <c r="AR3" s="29" t="s">
        <v>4</v>
      </c>
      <c r="AS3" s="29" t="s">
        <v>4</v>
      </c>
      <c r="AT3" s="29" t="s">
        <v>4</v>
      </c>
      <c r="AU3" s="29" t="s">
        <v>4</v>
      </c>
      <c r="AV3" s="29" t="s">
        <v>4</v>
      </c>
      <c r="AW3" s="29" t="s">
        <v>4</v>
      </c>
      <c r="AX3" s="29" t="s">
        <v>4</v>
      </c>
      <c r="AY3" s="29" t="s">
        <v>4</v>
      </c>
      <c r="AZ3" s="29" t="s">
        <v>4</v>
      </c>
      <c r="BA3" s="29" t="s">
        <v>4</v>
      </c>
      <c r="BB3" s="29" t="s">
        <v>4</v>
      </c>
      <c r="BC3" s="29" t="s">
        <v>4</v>
      </c>
      <c r="BD3" s="29" t="s">
        <v>4</v>
      </c>
      <c r="BE3" s="29" t="s">
        <v>4</v>
      </c>
      <c r="BF3" s="29" t="s">
        <v>4</v>
      </c>
      <c r="BG3" s="29" t="s">
        <v>4</v>
      </c>
      <c r="BH3" s="29" t="s">
        <v>4</v>
      </c>
      <c r="BI3" s="29" t="s">
        <v>4</v>
      </c>
      <c r="BJ3" s="29" t="s">
        <v>4</v>
      </c>
      <c r="BK3" s="29" t="s">
        <v>4</v>
      </c>
      <c r="BL3" s="29" t="s">
        <v>4</v>
      </c>
      <c r="BM3" s="26" t="s">
        <v>4</v>
      </c>
      <c r="BN3" s="26" t="s">
        <v>4</v>
      </c>
      <c r="BO3" s="29" t="s">
        <v>4</v>
      </c>
      <c r="BP3" s="29" t="s">
        <v>4</v>
      </c>
      <c r="BQ3" s="29" t="s">
        <v>4</v>
      </c>
      <c r="BR3" s="29" t="s">
        <v>4</v>
      </c>
      <c r="BS3" s="29" t="s">
        <v>4</v>
      </c>
      <c r="BT3" s="29" t="s">
        <v>4</v>
      </c>
      <c r="BU3" s="29" t="s">
        <v>4</v>
      </c>
    </row>
    <row r="4" spans="1:73" x14ac:dyDescent="0.3">
      <c r="A4" s="2">
        <f>A3+1</f>
        <v>85</v>
      </c>
      <c r="B4" s="12">
        <f>B3+1</f>
        <v>2</v>
      </c>
      <c r="C4" s="24">
        <v>44646.708333333336</v>
      </c>
      <c r="D4" s="4">
        <v>24</v>
      </c>
      <c r="E4" s="4">
        <f t="shared" ref="E4:E35" si="0">E3+D4</f>
        <v>24</v>
      </c>
      <c r="F4" s="5">
        <f>E4/24</f>
        <v>1</v>
      </c>
      <c r="G4">
        <f>COUNTIF($X4:$BU4, "E")</f>
        <v>50</v>
      </c>
      <c r="H4">
        <f t="shared" ref="H4:H67" si="1">COUNTIF($X4:$BU4, "L1")</f>
        <v>0</v>
      </c>
      <c r="I4">
        <f t="shared" ref="I4:I67" si="2">COUNTIF($X4:$BU4, "L2")</f>
        <v>0</v>
      </c>
      <c r="J4">
        <f t="shared" ref="J4:J67" si="3">COUNTIF($X4:$BU4, "L3")</f>
        <v>0</v>
      </c>
      <c r="K4">
        <f t="shared" ref="K4:K67" si="4">COUNTIF($X4:$BU4, "P")</f>
        <v>0</v>
      </c>
      <c r="L4" s="86">
        <f>COUNTIF($X4:$BU4, "AM")</f>
        <v>0</v>
      </c>
      <c r="M4" s="86">
        <f>COUNTIF($X4:$BU4, "AF")</f>
        <v>0</v>
      </c>
      <c r="N4" s="28"/>
      <c r="O4">
        <f t="shared" ref="O4:O54" si="5">COUNTIF($X4:$BU4, "E_D")</f>
        <v>0</v>
      </c>
      <c r="P4">
        <f>COUNTIF($X4:$BU4, "L1_D")</f>
        <v>0</v>
      </c>
      <c r="Q4">
        <f t="shared" ref="Q4:Q67" si="6">COUNTIF($X4:$BU4, "L2_D")</f>
        <v>0</v>
      </c>
      <c r="R4">
        <f t="shared" ref="R4:R67" si="7">COUNTIF($X4:$BU4, "L3_D")</f>
        <v>0</v>
      </c>
      <c r="S4">
        <f t="shared" ref="S4:U56" si="8">COUNTIF($X4:$BU4, "P_D")</f>
        <v>0</v>
      </c>
      <c r="T4">
        <f t="shared" ref="T4:T67" si="9">COUNTIF($X4:$BU4, "AM_D")</f>
        <v>0</v>
      </c>
      <c r="U4">
        <f t="shared" ref="U4:U67" si="10">COUNTIF($X4:$BU4, "AF_D")</f>
        <v>0</v>
      </c>
      <c r="V4" s="28"/>
      <c r="X4" s="29" t="s">
        <v>4</v>
      </c>
      <c r="Y4" s="29" t="s">
        <v>4</v>
      </c>
      <c r="Z4" s="29" t="s">
        <v>4</v>
      </c>
      <c r="AA4" s="29" t="s">
        <v>4</v>
      </c>
      <c r="AB4" s="29" t="s">
        <v>4</v>
      </c>
      <c r="AC4" s="29" t="s">
        <v>4</v>
      </c>
      <c r="AD4" s="29" t="s">
        <v>4</v>
      </c>
      <c r="AE4" s="29" t="s">
        <v>4</v>
      </c>
      <c r="AF4" s="29" t="s">
        <v>4</v>
      </c>
      <c r="AG4" s="29" t="s">
        <v>4</v>
      </c>
      <c r="AH4" s="29" t="s">
        <v>4</v>
      </c>
      <c r="AI4" s="29" t="s">
        <v>4</v>
      </c>
      <c r="AJ4" s="29" t="s">
        <v>4</v>
      </c>
      <c r="AK4" s="29" t="s">
        <v>4</v>
      </c>
      <c r="AL4" s="29" t="s">
        <v>4</v>
      </c>
      <c r="AM4" s="29" t="s">
        <v>4</v>
      </c>
      <c r="AN4" s="29" t="s">
        <v>4</v>
      </c>
      <c r="AO4" s="29" t="s">
        <v>4</v>
      </c>
      <c r="AP4" s="29" t="s">
        <v>4</v>
      </c>
      <c r="AQ4" s="29" t="s">
        <v>4</v>
      </c>
      <c r="AR4" s="29" t="s">
        <v>4</v>
      </c>
      <c r="AS4" s="29" t="s">
        <v>4</v>
      </c>
      <c r="AT4" s="29" t="s">
        <v>4</v>
      </c>
      <c r="AU4" s="29" t="s">
        <v>4</v>
      </c>
      <c r="AV4" s="29" t="s">
        <v>4</v>
      </c>
      <c r="AW4" s="29" t="s">
        <v>4</v>
      </c>
      <c r="AX4" s="29" t="s">
        <v>4</v>
      </c>
      <c r="AY4" s="29" t="s">
        <v>4</v>
      </c>
      <c r="AZ4" s="29" t="s">
        <v>4</v>
      </c>
      <c r="BA4" s="29" t="s">
        <v>4</v>
      </c>
      <c r="BB4" s="29" t="s">
        <v>4</v>
      </c>
      <c r="BC4" s="29" t="s">
        <v>4</v>
      </c>
      <c r="BD4" s="29" t="s">
        <v>4</v>
      </c>
      <c r="BE4" s="29" t="s">
        <v>4</v>
      </c>
      <c r="BF4" s="29" t="s">
        <v>4</v>
      </c>
      <c r="BG4" s="29" t="s">
        <v>4</v>
      </c>
      <c r="BH4" s="29" t="s">
        <v>4</v>
      </c>
      <c r="BI4" s="29" t="s">
        <v>4</v>
      </c>
      <c r="BJ4" s="29" t="s">
        <v>4</v>
      </c>
      <c r="BK4" s="29" t="s">
        <v>4</v>
      </c>
      <c r="BL4" s="29" t="s">
        <v>4</v>
      </c>
      <c r="BM4" s="26" t="s">
        <v>4</v>
      </c>
      <c r="BN4" s="26" t="s">
        <v>4</v>
      </c>
      <c r="BO4" s="29" t="s">
        <v>4</v>
      </c>
      <c r="BP4" s="29" t="s">
        <v>4</v>
      </c>
      <c r="BQ4" s="29" t="s">
        <v>4</v>
      </c>
      <c r="BR4" s="29" t="s">
        <v>4</v>
      </c>
      <c r="BS4" s="29" t="s">
        <v>4</v>
      </c>
      <c r="BT4" s="29" t="s">
        <v>4</v>
      </c>
      <c r="BU4" s="29" t="s">
        <v>4</v>
      </c>
    </row>
    <row r="5" spans="1:73" x14ac:dyDescent="0.3">
      <c r="A5" s="2">
        <f t="shared" ref="A5:B20" si="11">A4+1</f>
        <v>86</v>
      </c>
      <c r="B5" s="12">
        <f t="shared" si="11"/>
        <v>3</v>
      </c>
      <c r="C5" s="24">
        <v>44647.708333333336</v>
      </c>
      <c r="D5" s="4">
        <v>24</v>
      </c>
      <c r="E5" s="4">
        <f t="shared" si="0"/>
        <v>48</v>
      </c>
      <c r="F5" s="5">
        <f t="shared" ref="F4:F35" si="12">E5/24</f>
        <v>2</v>
      </c>
      <c r="G5">
        <f t="shared" ref="G5:G68" si="13">COUNTIF($X5:$BU5, "E")</f>
        <v>50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0</v>
      </c>
      <c r="L5" s="86">
        <f>COUNTIF($X5:$BU5, "AM")</f>
        <v>0</v>
      </c>
      <c r="M5" s="86">
        <f>COUNTIF($X5:$BU5, "AF")</f>
        <v>0</v>
      </c>
      <c r="N5" s="28"/>
      <c r="O5">
        <f t="shared" si="5"/>
        <v>0</v>
      </c>
      <c r="P5">
        <f>COUNTIF($X5:$BU5, "L1_D")</f>
        <v>0</v>
      </c>
      <c r="Q5">
        <f t="shared" si="6"/>
        <v>0</v>
      </c>
      <c r="R5">
        <f t="shared" si="7"/>
        <v>0</v>
      </c>
      <c r="S5">
        <f t="shared" si="8"/>
        <v>0</v>
      </c>
      <c r="T5">
        <f t="shared" si="9"/>
        <v>0</v>
      </c>
      <c r="U5">
        <f t="shared" si="10"/>
        <v>0</v>
      </c>
      <c r="V5" s="28"/>
      <c r="X5" s="29" t="s">
        <v>4</v>
      </c>
      <c r="Y5" s="29" t="s">
        <v>4</v>
      </c>
      <c r="Z5" s="29" t="s">
        <v>4</v>
      </c>
      <c r="AA5" s="29" t="s">
        <v>4</v>
      </c>
      <c r="AB5" s="29" t="s">
        <v>4</v>
      </c>
      <c r="AC5" s="29" t="s">
        <v>4</v>
      </c>
      <c r="AD5" s="29" t="s">
        <v>4</v>
      </c>
      <c r="AE5" s="29" t="s">
        <v>4</v>
      </c>
      <c r="AF5" s="29" t="s">
        <v>4</v>
      </c>
      <c r="AG5" s="29" t="s">
        <v>4</v>
      </c>
      <c r="AH5" s="29" t="s">
        <v>4</v>
      </c>
      <c r="AI5" s="29" t="s">
        <v>4</v>
      </c>
      <c r="AJ5" s="29" t="s">
        <v>4</v>
      </c>
      <c r="AK5" s="29" t="s">
        <v>4</v>
      </c>
      <c r="AL5" s="29" t="s">
        <v>4</v>
      </c>
      <c r="AM5" s="29" t="s">
        <v>4</v>
      </c>
      <c r="AN5" s="29" t="s">
        <v>4</v>
      </c>
      <c r="AO5" s="29" t="s">
        <v>4</v>
      </c>
      <c r="AP5" s="29" t="s">
        <v>4</v>
      </c>
      <c r="AQ5" s="29" t="s">
        <v>4</v>
      </c>
      <c r="AR5" s="29" t="s">
        <v>4</v>
      </c>
      <c r="AS5" s="29" t="s">
        <v>4</v>
      </c>
      <c r="AT5" s="29" t="s">
        <v>4</v>
      </c>
      <c r="AU5" s="29" t="s">
        <v>4</v>
      </c>
      <c r="AV5" s="29" t="s">
        <v>4</v>
      </c>
      <c r="AW5" s="29" t="s">
        <v>4</v>
      </c>
      <c r="AX5" s="29" t="s">
        <v>4</v>
      </c>
      <c r="AY5" s="29" t="s">
        <v>4</v>
      </c>
      <c r="AZ5" s="29" t="s">
        <v>4</v>
      </c>
      <c r="BA5" s="29" t="s">
        <v>4</v>
      </c>
      <c r="BB5" s="29" t="s">
        <v>4</v>
      </c>
      <c r="BC5" s="29" t="s">
        <v>4</v>
      </c>
      <c r="BD5" s="29" t="s">
        <v>4</v>
      </c>
      <c r="BE5" s="29" t="s">
        <v>4</v>
      </c>
      <c r="BF5" s="29" t="s">
        <v>4</v>
      </c>
      <c r="BG5" s="29" t="s">
        <v>4</v>
      </c>
      <c r="BH5" s="29" t="s">
        <v>4</v>
      </c>
      <c r="BI5" s="29" t="s">
        <v>4</v>
      </c>
      <c r="BJ5" s="29" t="s">
        <v>4</v>
      </c>
      <c r="BK5" s="29" t="s">
        <v>4</v>
      </c>
      <c r="BL5" s="29" t="s">
        <v>4</v>
      </c>
      <c r="BM5" s="26" t="s">
        <v>4</v>
      </c>
      <c r="BN5" s="26" t="s">
        <v>4</v>
      </c>
      <c r="BO5" s="29" t="s">
        <v>4</v>
      </c>
      <c r="BP5" s="29" t="s">
        <v>4</v>
      </c>
      <c r="BQ5" s="29" t="s">
        <v>4</v>
      </c>
      <c r="BR5" s="29" t="s">
        <v>4</v>
      </c>
      <c r="BS5" s="29" t="s">
        <v>4</v>
      </c>
      <c r="BT5" s="29" t="s">
        <v>4</v>
      </c>
      <c r="BU5" s="29" t="s">
        <v>4</v>
      </c>
    </row>
    <row r="6" spans="1:73" x14ac:dyDescent="0.3">
      <c r="A6" s="2">
        <f t="shared" si="11"/>
        <v>87</v>
      </c>
      <c r="B6" s="12">
        <f t="shared" si="11"/>
        <v>4</v>
      </c>
      <c r="C6" s="24">
        <v>44648.708333333336</v>
      </c>
      <c r="D6" s="4">
        <v>24</v>
      </c>
      <c r="E6" s="4">
        <f t="shared" si="0"/>
        <v>72</v>
      </c>
      <c r="F6" s="5">
        <f t="shared" si="12"/>
        <v>3</v>
      </c>
      <c r="G6">
        <f t="shared" si="13"/>
        <v>47</v>
      </c>
      <c r="H6">
        <f t="shared" si="1"/>
        <v>3</v>
      </c>
      <c r="I6">
        <f t="shared" si="2"/>
        <v>0</v>
      </c>
      <c r="J6">
        <f t="shared" si="3"/>
        <v>0</v>
      </c>
      <c r="K6">
        <f t="shared" si="4"/>
        <v>0</v>
      </c>
      <c r="L6" s="86">
        <f>COUNTIF($X6:$BU6, "AM")</f>
        <v>0</v>
      </c>
      <c r="M6" s="86">
        <f>COUNTIF($X6:$BU6, "AF")</f>
        <v>0</v>
      </c>
      <c r="N6" s="28"/>
      <c r="O6">
        <f t="shared" si="5"/>
        <v>0</v>
      </c>
      <c r="P6">
        <f>COUNTIF($X6:$BU6, "L1_D")</f>
        <v>0</v>
      </c>
      <c r="Q6">
        <f t="shared" si="6"/>
        <v>0</v>
      </c>
      <c r="R6">
        <f t="shared" si="7"/>
        <v>0</v>
      </c>
      <c r="S6">
        <f t="shared" si="8"/>
        <v>0</v>
      </c>
      <c r="T6">
        <f t="shared" si="9"/>
        <v>0</v>
      </c>
      <c r="U6">
        <f t="shared" si="10"/>
        <v>0</v>
      </c>
      <c r="V6" s="28"/>
      <c r="X6" s="29" t="s">
        <v>5</v>
      </c>
      <c r="Y6" s="29" t="s">
        <v>5</v>
      </c>
      <c r="Z6" s="29" t="s">
        <v>5</v>
      </c>
      <c r="AA6" s="29" t="s">
        <v>4</v>
      </c>
      <c r="AB6" s="29" t="s">
        <v>4</v>
      </c>
      <c r="AC6" s="29" t="s">
        <v>4</v>
      </c>
      <c r="AD6" s="29" t="s">
        <v>4</v>
      </c>
      <c r="AE6" s="29" t="s">
        <v>4</v>
      </c>
      <c r="AF6" s="29" t="s">
        <v>4</v>
      </c>
      <c r="AG6" s="29" t="s">
        <v>4</v>
      </c>
      <c r="AH6" s="29" t="s">
        <v>4</v>
      </c>
      <c r="AI6" s="29" t="s">
        <v>4</v>
      </c>
      <c r="AJ6" s="29" t="s">
        <v>4</v>
      </c>
      <c r="AK6" s="29" t="s">
        <v>4</v>
      </c>
      <c r="AL6" s="29" t="s">
        <v>4</v>
      </c>
      <c r="AM6" s="29" t="s">
        <v>4</v>
      </c>
      <c r="AN6" s="29" t="s">
        <v>4</v>
      </c>
      <c r="AO6" s="29" t="s">
        <v>4</v>
      </c>
      <c r="AP6" s="29" t="s">
        <v>4</v>
      </c>
      <c r="AQ6" s="29" t="s">
        <v>4</v>
      </c>
      <c r="AR6" s="29" t="s">
        <v>4</v>
      </c>
      <c r="AS6" s="29" t="s">
        <v>4</v>
      </c>
      <c r="AT6" s="29" t="s">
        <v>4</v>
      </c>
      <c r="AU6" s="29" t="s">
        <v>4</v>
      </c>
      <c r="AV6" s="29" t="s">
        <v>4</v>
      </c>
      <c r="AW6" s="29" t="s">
        <v>4</v>
      </c>
      <c r="AX6" s="29" t="s">
        <v>4</v>
      </c>
      <c r="AY6" s="29" t="s">
        <v>4</v>
      </c>
      <c r="AZ6" s="29" t="s">
        <v>4</v>
      </c>
      <c r="BA6" s="29" t="s">
        <v>4</v>
      </c>
      <c r="BB6" s="29" t="s">
        <v>4</v>
      </c>
      <c r="BC6" s="29" t="s">
        <v>4</v>
      </c>
      <c r="BD6" s="29" t="s">
        <v>4</v>
      </c>
      <c r="BE6" s="29" t="s">
        <v>4</v>
      </c>
      <c r="BF6" s="29" t="s">
        <v>4</v>
      </c>
      <c r="BG6" s="29" t="s">
        <v>4</v>
      </c>
      <c r="BH6" s="29" t="s">
        <v>4</v>
      </c>
      <c r="BI6" s="29" t="s">
        <v>4</v>
      </c>
      <c r="BJ6" s="29" t="s">
        <v>4</v>
      </c>
      <c r="BK6" s="29" t="s">
        <v>4</v>
      </c>
      <c r="BL6" s="29" t="s">
        <v>4</v>
      </c>
      <c r="BM6" s="26" t="s">
        <v>4</v>
      </c>
      <c r="BN6" s="26" t="s">
        <v>4</v>
      </c>
      <c r="BO6" s="29" t="s">
        <v>4</v>
      </c>
      <c r="BP6" s="29" t="s">
        <v>4</v>
      </c>
      <c r="BQ6" s="29" t="s">
        <v>4</v>
      </c>
      <c r="BR6" s="29" t="s">
        <v>4</v>
      </c>
      <c r="BS6" s="29" t="s">
        <v>4</v>
      </c>
      <c r="BT6" s="29" t="s">
        <v>4</v>
      </c>
      <c r="BU6" s="29" t="s">
        <v>4</v>
      </c>
    </row>
    <row r="7" spans="1:73" x14ac:dyDescent="0.3">
      <c r="A7" s="2">
        <f t="shared" si="11"/>
        <v>88</v>
      </c>
      <c r="B7" s="12">
        <f t="shared" si="11"/>
        <v>5</v>
      </c>
      <c r="C7" s="24">
        <v>44649.708333333336</v>
      </c>
      <c r="D7" s="4">
        <v>24</v>
      </c>
      <c r="E7" s="4">
        <f t="shared" si="0"/>
        <v>96</v>
      </c>
      <c r="F7" s="5">
        <f>E7/24</f>
        <v>4</v>
      </c>
      <c r="G7">
        <f t="shared" si="13"/>
        <v>25</v>
      </c>
      <c r="H7">
        <f t="shared" si="1"/>
        <v>25</v>
      </c>
      <c r="I7">
        <f t="shared" si="2"/>
        <v>0</v>
      </c>
      <c r="J7">
        <f t="shared" si="3"/>
        <v>0</v>
      </c>
      <c r="K7">
        <f t="shared" si="4"/>
        <v>0</v>
      </c>
      <c r="L7" s="86">
        <f>COUNTIF($X7:$BU7, "AM")</f>
        <v>0</v>
      </c>
      <c r="M7" s="86">
        <f>COUNTIF($X7:$BU7, "AF")</f>
        <v>0</v>
      </c>
      <c r="N7" s="28"/>
      <c r="O7">
        <f t="shared" si="5"/>
        <v>0</v>
      </c>
      <c r="P7">
        <f>COUNTIF($X7:$BU7, "L1_D")</f>
        <v>0</v>
      </c>
      <c r="Q7">
        <f t="shared" si="6"/>
        <v>0</v>
      </c>
      <c r="R7">
        <f t="shared" si="7"/>
        <v>0</v>
      </c>
      <c r="S7">
        <f t="shared" si="8"/>
        <v>0</v>
      </c>
      <c r="T7">
        <f t="shared" si="9"/>
        <v>0</v>
      </c>
      <c r="U7">
        <f t="shared" si="10"/>
        <v>0</v>
      </c>
      <c r="V7" s="28"/>
      <c r="X7" s="29" t="s">
        <v>5</v>
      </c>
      <c r="Y7" s="29" t="s">
        <v>5</v>
      </c>
      <c r="Z7" s="29" t="s">
        <v>5</v>
      </c>
      <c r="AA7" s="29" t="s">
        <v>5</v>
      </c>
      <c r="AB7" s="29" t="s">
        <v>5</v>
      </c>
      <c r="AC7" s="29" t="s">
        <v>5</v>
      </c>
      <c r="AD7" s="29" t="s">
        <v>5</v>
      </c>
      <c r="AE7" s="29" t="s">
        <v>5</v>
      </c>
      <c r="AF7" s="29" t="s">
        <v>5</v>
      </c>
      <c r="AG7" s="29" t="s">
        <v>5</v>
      </c>
      <c r="AH7" s="29" t="s">
        <v>5</v>
      </c>
      <c r="AI7" s="29" t="s">
        <v>5</v>
      </c>
      <c r="AJ7" s="29" t="s">
        <v>5</v>
      </c>
      <c r="AK7" s="29" t="s">
        <v>5</v>
      </c>
      <c r="AL7" s="29" t="s">
        <v>5</v>
      </c>
      <c r="AM7" s="29" t="s">
        <v>5</v>
      </c>
      <c r="AN7" s="29" t="s">
        <v>5</v>
      </c>
      <c r="AO7" s="29" t="s">
        <v>5</v>
      </c>
      <c r="AP7" s="29" t="s">
        <v>5</v>
      </c>
      <c r="AQ7" s="29" t="s">
        <v>5</v>
      </c>
      <c r="AR7" s="29" t="s">
        <v>5</v>
      </c>
      <c r="AS7" s="29" t="s">
        <v>5</v>
      </c>
      <c r="AT7" s="29" t="s">
        <v>5</v>
      </c>
      <c r="AU7" s="29" t="s">
        <v>5</v>
      </c>
      <c r="AV7" s="29" t="s">
        <v>5</v>
      </c>
      <c r="AW7" s="29" t="s">
        <v>4</v>
      </c>
      <c r="AX7" s="29" t="s">
        <v>4</v>
      </c>
      <c r="AY7" s="29" t="s">
        <v>4</v>
      </c>
      <c r="AZ7" s="29" t="s">
        <v>4</v>
      </c>
      <c r="BA7" s="29" t="s">
        <v>4</v>
      </c>
      <c r="BB7" s="29" t="s">
        <v>4</v>
      </c>
      <c r="BC7" s="29" t="s">
        <v>4</v>
      </c>
      <c r="BD7" s="29" t="s">
        <v>4</v>
      </c>
      <c r="BE7" s="29" t="s">
        <v>4</v>
      </c>
      <c r="BF7" s="29" t="s">
        <v>4</v>
      </c>
      <c r="BG7" s="29" t="s">
        <v>4</v>
      </c>
      <c r="BH7" s="29" t="s">
        <v>4</v>
      </c>
      <c r="BI7" s="29" t="s">
        <v>4</v>
      </c>
      <c r="BJ7" s="29" t="s">
        <v>4</v>
      </c>
      <c r="BK7" s="29" t="s">
        <v>4</v>
      </c>
      <c r="BL7" s="29" t="s">
        <v>4</v>
      </c>
      <c r="BM7" s="29" t="s">
        <v>4</v>
      </c>
      <c r="BN7" s="29" t="s">
        <v>4</v>
      </c>
      <c r="BO7" s="29" t="s">
        <v>4</v>
      </c>
      <c r="BP7" s="29" t="s">
        <v>4</v>
      </c>
      <c r="BQ7" s="29" t="s">
        <v>4</v>
      </c>
      <c r="BR7" s="29" t="s">
        <v>4</v>
      </c>
      <c r="BS7" s="29" t="s">
        <v>4</v>
      </c>
      <c r="BT7" s="29" t="s">
        <v>4</v>
      </c>
      <c r="BU7" s="29" t="s">
        <v>4</v>
      </c>
    </row>
    <row r="8" spans="1:73" x14ac:dyDescent="0.3">
      <c r="A8" s="2">
        <f t="shared" si="11"/>
        <v>89</v>
      </c>
      <c r="B8" s="12">
        <f t="shared" si="11"/>
        <v>6</v>
      </c>
      <c r="C8" s="24">
        <v>44650.708333333336</v>
      </c>
      <c r="D8" s="4">
        <v>24</v>
      </c>
      <c r="E8" s="4">
        <f t="shared" si="0"/>
        <v>120</v>
      </c>
      <c r="F8" s="5">
        <f t="shared" si="12"/>
        <v>5</v>
      </c>
      <c r="G8">
        <f t="shared" si="13"/>
        <v>10</v>
      </c>
      <c r="H8">
        <f t="shared" si="1"/>
        <v>40</v>
      </c>
      <c r="I8">
        <f t="shared" si="2"/>
        <v>0</v>
      </c>
      <c r="J8">
        <f t="shared" si="3"/>
        <v>0</v>
      </c>
      <c r="K8">
        <f t="shared" si="4"/>
        <v>0</v>
      </c>
      <c r="L8" s="86">
        <f>COUNTIF($X8:$BU8, "AM")</f>
        <v>0</v>
      </c>
      <c r="M8" s="86">
        <f>COUNTIF($X8:$BU8, "AF")</f>
        <v>0</v>
      </c>
      <c r="N8" s="28"/>
      <c r="O8">
        <f t="shared" si="5"/>
        <v>0</v>
      </c>
      <c r="P8">
        <f>COUNTIF($X8:$BU8, "L1_D")</f>
        <v>0</v>
      </c>
      <c r="Q8">
        <f t="shared" si="6"/>
        <v>0</v>
      </c>
      <c r="R8">
        <f t="shared" si="7"/>
        <v>0</v>
      </c>
      <c r="S8">
        <f t="shared" si="8"/>
        <v>0</v>
      </c>
      <c r="T8">
        <f t="shared" si="9"/>
        <v>0</v>
      </c>
      <c r="U8">
        <f t="shared" si="10"/>
        <v>0</v>
      </c>
      <c r="V8" s="28"/>
      <c r="X8" s="29" t="s">
        <v>5</v>
      </c>
      <c r="Y8" s="29" t="s">
        <v>5</v>
      </c>
      <c r="Z8" s="29" t="s">
        <v>5</v>
      </c>
      <c r="AA8" s="29" t="s">
        <v>5</v>
      </c>
      <c r="AB8" s="29" t="s">
        <v>5</v>
      </c>
      <c r="AC8" s="29" t="s">
        <v>5</v>
      </c>
      <c r="AD8" s="29" t="s">
        <v>5</v>
      </c>
      <c r="AE8" s="29" t="s">
        <v>5</v>
      </c>
      <c r="AF8" s="29" t="s">
        <v>5</v>
      </c>
      <c r="AG8" s="29" t="s">
        <v>5</v>
      </c>
      <c r="AH8" s="29" t="s">
        <v>5</v>
      </c>
      <c r="AI8" s="29" t="s">
        <v>5</v>
      </c>
      <c r="AJ8" s="29" t="s">
        <v>5</v>
      </c>
      <c r="AK8" s="29" t="s">
        <v>5</v>
      </c>
      <c r="AL8" s="29" t="s">
        <v>5</v>
      </c>
      <c r="AM8" s="29" t="s">
        <v>5</v>
      </c>
      <c r="AN8" s="29" t="s">
        <v>5</v>
      </c>
      <c r="AO8" s="29" t="s">
        <v>5</v>
      </c>
      <c r="AP8" s="29" t="s">
        <v>5</v>
      </c>
      <c r="AQ8" s="29" t="s">
        <v>5</v>
      </c>
      <c r="AR8" s="29" t="s">
        <v>5</v>
      </c>
      <c r="AS8" s="29" t="s">
        <v>5</v>
      </c>
      <c r="AT8" s="29" t="s">
        <v>5</v>
      </c>
      <c r="AU8" s="29" t="s">
        <v>5</v>
      </c>
      <c r="AV8" s="29" t="s">
        <v>5</v>
      </c>
      <c r="AW8" s="29" t="s">
        <v>5</v>
      </c>
      <c r="AX8" s="29" t="s">
        <v>5</v>
      </c>
      <c r="AY8" s="29" t="s">
        <v>5</v>
      </c>
      <c r="AZ8" s="29" t="s">
        <v>5</v>
      </c>
      <c r="BA8" s="29" t="s">
        <v>5</v>
      </c>
      <c r="BB8" s="29" t="s">
        <v>5</v>
      </c>
      <c r="BC8" s="29" t="s">
        <v>5</v>
      </c>
      <c r="BD8" s="29" t="s">
        <v>5</v>
      </c>
      <c r="BE8" s="29" t="s">
        <v>5</v>
      </c>
      <c r="BF8" s="29" t="s">
        <v>5</v>
      </c>
      <c r="BG8" s="29" t="s">
        <v>5</v>
      </c>
      <c r="BH8" s="29" t="s">
        <v>5</v>
      </c>
      <c r="BI8" s="29" t="s">
        <v>5</v>
      </c>
      <c r="BJ8" s="29" t="s">
        <v>5</v>
      </c>
      <c r="BK8" s="29" t="s">
        <v>5</v>
      </c>
      <c r="BL8" s="29" t="s">
        <v>4</v>
      </c>
      <c r="BM8" s="29" t="s">
        <v>4</v>
      </c>
      <c r="BN8" s="29" t="s">
        <v>4</v>
      </c>
      <c r="BO8" s="29" t="s">
        <v>4</v>
      </c>
      <c r="BP8" s="29" t="s">
        <v>4</v>
      </c>
      <c r="BQ8" s="29" t="s">
        <v>4</v>
      </c>
      <c r="BR8" s="29" t="s">
        <v>4</v>
      </c>
      <c r="BS8" s="29" t="s">
        <v>4</v>
      </c>
      <c r="BT8" s="29" t="s">
        <v>4</v>
      </c>
      <c r="BU8" s="29" t="s">
        <v>4</v>
      </c>
    </row>
    <row r="9" spans="1:73" x14ac:dyDescent="0.3">
      <c r="A9" s="2">
        <f t="shared" si="11"/>
        <v>90</v>
      </c>
      <c r="B9" s="12">
        <f t="shared" si="11"/>
        <v>7</v>
      </c>
      <c r="C9" s="24">
        <v>44651.708333333336</v>
      </c>
      <c r="D9" s="4">
        <v>24</v>
      </c>
      <c r="E9" s="4">
        <f t="shared" si="0"/>
        <v>144</v>
      </c>
      <c r="F9" s="5">
        <f t="shared" si="12"/>
        <v>6</v>
      </c>
      <c r="G9">
        <f>COUNTIF($X9:$BU9, "E")</f>
        <v>9</v>
      </c>
      <c r="H9">
        <f t="shared" si="1"/>
        <v>41</v>
      </c>
      <c r="I9">
        <f t="shared" si="2"/>
        <v>0</v>
      </c>
      <c r="J9">
        <f t="shared" si="3"/>
        <v>0</v>
      </c>
      <c r="K9">
        <f t="shared" si="4"/>
        <v>0</v>
      </c>
      <c r="L9" s="86">
        <f>COUNTIF($X9:$BU9, "AM")</f>
        <v>0</v>
      </c>
      <c r="M9" s="86">
        <f>COUNTIF($X9:$BU9, "AF")</f>
        <v>0</v>
      </c>
      <c r="N9" s="28"/>
      <c r="O9">
        <f t="shared" si="5"/>
        <v>0</v>
      </c>
      <c r="P9">
        <f>COUNTIF($X9:$BU9, "L1_D")</f>
        <v>0</v>
      </c>
      <c r="Q9">
        <f t="shared" si="6"/>
        <v>0</v>
      </c>
      <c r="R9">
        <f t="shared" si="7"/>
        <v>0</v>
      </c>
      <c r="S9">
        <f t="shared" si="8"/>
        <v>0</v>
      </c>
      <c r="T9">
        <f t="shared" si="9"/>
        <v>0</v>
      </c>
      <c r="U9">
        <f t="shared" si="10"/>
        <v>0</v>
      </c>
      <c r="V9" s="28"/>
      <c r="X9" s="29" t="s">
        <v>5</v>
      </c>
      <c r="Y9" s="29" t="s">
        <v>5</v>
      </c>
      <c r="Z9" s="29" t="s">
        <v>5</v>
      </c>
      <c r="AA9" s="29" t="s">
        <v>5</v>
      </c>
      <c r="AB9" s="29" t="s">
        <v>5</v>
      </c>
      <c r="AC9" s="29" t="s">
        <v>5</v>
      </c>
      <c r="AD9" s="29" t="s">
        <v>5</v>
      </c>
      <c r="AE9" s="29" t="s">
        <v>5</v>
      </c>
      <c r="AF9" s="29" t="s">
        <v>5</v>
      </c>
      <c r="AG9" s="29" t="s">
        <v>5</v>
      </c>
      <c r="AH9" s="29" t="s">
        <v>5</v>
      </c>
      <c r="AI9" s="29" t="s">
        <v>5</v>
      </c>
      <c r="AJ9" s="29" t="s">
        <v>5</v>
      </c>
      <c r="AK9" s="29" t="s">
        <v>5</v>
      </c>
      <c r="AL9" s="29" t="s">
        <v>5</v>
      </c>
      <c r="AM9" s="29" t="s">
        <v>5</v>
      </c>
      <c r="AN9" s="29" t="s">
        <v>5</v>
      </c>
      <c r="AO9" s="29" t="s">
        <v>5</v>
      </c>
      <c r="AP9" s="29" t="s">
        <v>5</v>
      </c>
      <c r="AQ9" s="29" t="s">
        <v>5</v>
      </c>
      <c r="AR9" s="29" t="s">
        <v>5</v>
      </c>
      <c r="AS9" s="29" t="s">
        <v>5</v>
      </c>
      <c r="AT9" s="29" t="s">
        <v>5</v>
      </c>
      <c r="AU9" s="29" t="s">
        <v>5</v>
      </c>
      <c r="AV9" s="29" t="s">
        <v>5</v>
      </c>
      <c r="AW9" s="29" t="s">
        <v>5</v>
      </c>
      <c r="AX9" s="29" t="s">
        <v>5</v>
      </c>
      <c r="AY9" s="29" t="s">
        <v>5</v>
      </c>
      <c r="AZ9" s="29" t="s">
        <v>5</v>
      </c>
      <c r="BA9" s="29" t="s">
        <v>5</v>
      </c>
      <c r="BB9" s="29" t="s">
        <v>5</v>
      </c>
      <c r="BC9" s="29" t="s">
        <v>5</v>
      </c>
      <c r="BD9" s="29" t="s">
        <v>5</v>
      </c>
      <c r="BE9" s="29" t="s">
        <v>5</v>
      </c>
      <c r="BF9" s="29" t="s">
        <v>5</v>
      </c>
      <c r="BG9" s="29" t="s">
        <v>5</v>
      </c>
      <c r="BH9" s="29" t="s">
        <v>5</v>
      </c>
      <c r="BI9" s="29" t="s">
        <v>5</v>
      </c>
      <c r="BJ9" s="29" t="s">
        <v>5</v>
      </c>
      <c r="BK9" s="29" t="s">
        <v>5</v>
      </c>
      <c r="BL9" s="29" t="s">
        <v>5</v>
      </c>
      <c r="BM9" s="29" t="s">
        <v>4</v>
      </c>
      <c r="BN9" s="29" t="s">
        <v>4</v>
      </c>
      <c r="BO9" s="29" t="s">
        <v>4</v>
      </c>
      <c r="BP9" s="29" t="s">
        <v>4</v>
      </c>
      <c r="BQ9" s="29" t="s">
        <v>4</v>
      </c>
      <c r="BR9" s="29" t="s">
        <v>4</v>
      </c>
      <c r="BS9" s="29" t="s">
        <v>4</v>
      </c>
      <c r="BT9" s="29" t="s">
        <v>4</v>
      </c>
      <c r="BU9" s="29" t="s">
        <v>4</v>
      </c>
    </row>
    <row r="10" spans="1:73" x14ac:dyDescent="0.3">
      <c r="A10" s="2">
        <f t="shared" si="11"/>
        <v>91</v>
      </c>
      <c r="B10" s="12">
        <f t="shared" si="11"/>
        <v>8</v>
      </c>
      <c r="C10" s="24">
        <v>44652.708333333336</v>
      </c>
      <c r="D10" s="4">
        <v>24</v>
      </c>
      <c r="E10" s="4">
        <f>E9+D10</f>
        <v>168</v>
      </c>
      <c r="F10" s="5">
        <f t="shared" si="12"/>
        <v>7</v>
      </c>
      <c r="G10">
        <f t="shared" si="13"/>
        <v>9</v>
      </c>
      <c r="H10">
        <f t="shared" si="1"/>
        <v>36</v>
      </c>
      <c r="I10">
        <f t="shared" si="2"/>
        <v>0</v>
      </c>
      <c r="J10">
        <f t="shared" si="3"/>
        <v>0</v>
      </c>
      <c r="K10">
        <f t="shared" si="4"/>
        <v>0</v>
      </c>
      <c r="L10" s="86">
        <f>COUNTIF($X10:$BU10, "AM")</f>
        <v>0</v>
      </c>
      <c r="M10" s="86">
        <f>COUNTIF($X10:$BU10, "AF")</f>
        <v>0</v>
      </c>
      <c r="N10" s="28"/>
      <c r="O10">
        <f t="shared" si="5"/>
        <v>0</v>
      </c>
      <c r="P10">
        <f>COUNTIF($X10:$BU10, "L1_D")</f>
        <v>5</v>
      </c>
      <c r="Q10">
        <f t="shared" si="6"/>
        <v>0</v>
      </c>
      <c r="R10">
        <f>COUNTIF($X10:$BU10, "L3_D")</f>
        <v>0</v>
      </c>
      <c r="S10">
        <f>COUNTIF($X10:$BU10, "P_D")</f>
        <v>0</v>
      </c>
      <c r="T10">
        <f t="shared" si="9"/>
        <v>0</v>
      </c>
      <c r="U10">
        <f t="shared" si="10"/>
        <v>0</v>
      </c>
      <c r="V10" s="28"/>
      <c r="X10" s="29" t="s">
        <v>5</v>
      </c>
      <c r="Y10" s="29" t="s">
        <v>5</v>
      </c>
      <c r="Z10" s="29" t="s">
        <v>5</v>
      </c>
      <c r="AA10" s="29" t="s">
        <v>18</v>
      </c>
      <c r="AB10" s="29" t="s">
        <v>5</v>
      </c>
      <c r="AC10" s="29" t="s">
        <v>5</v>
      </c>
      <c r="AD10" s="29" t="s">
        <v>5</v>
      </c>
      <c r="AE10" s="29" t="s">
        <v>18</v>
      </c>
      <c r="AF10" s="29" t="s">
        <v>5</v>
      </c>
      <c r="AG10" s="29" t="s">
        <v>5</v>
      </c>
      <c r="AH10" s="29" t="s">
        <v>5</v>
      </c>
      <c r="AI10" s="29" t="s">
        <v>5</v>
      </c>
      <c r="AJ10" s="29" t="s">
        <v>5</v>
      </c>
      <c r="AK10" s="29" t="s">
        <v>5</v>
      </c>
      <c r="AL10" s="29" t="s">
        <v>5</v>
      </c>
      <c r="AM10" s="29" t="s">
        <v>5</v>
      </c>
      <c r="AN10" s="29" t="s">
        <v>5</v>
      </c>
      <c r="AO10" s="29" t="s">
        <v>5</v>
      </c>
      <c r="AP10" s="29" t="s">
        <v>5</v>
      </c>
      <c r="AQ10" s="29" t="s">
        <v>18</v>
      </c>
      <c r="AR10" s="29" t="s">
        <v>5</v>
      </c>
      <c r="AS10" s="29" t="s">
        <v>5</v>
      </c>
      <c r="AT10" s="29" t="s">
        <v>5</v>
      </c>
      <c r="AU10" s="29" t="s">
        <v>5</v>
      </c>
      <c r="AV10" s="29" t="s">
        <v>5</v>
      </c>
      <c r="AW10" s="29" t="s">
        <v>5</v>
      </c>
      <c r="AX10" s="29" t="s">
        <v>5</v>
      </c>
      <c r="AY10" s="29" t="s">
        <v>5</v>
      </c>
      <c r="AZ10" s="29" t="s">
        <v>5</v>
      </c>
      <c r="BA10" s="29" t="s">
        <v>18</v>
      </c>
      <c r="BB10" s="29" t="s">
        <v>5</v>
      </c>
      <c r="BC10" s="29" t="s">
        <v>5</v>
      </c>
      <c r="BD10" s="29" t="s">
        <v>5</v>
      </c>
      <c r="BE10" s="29" t="s">
        <v>5</v>
      </c>
      <c r="BF10" s="29" t="s">
        <v>5</v>
      </c>
      <c r="BG10" s="29" t="s">
        <v>5</v>
      </c>
      <c r="BH10" s="29" t="s">
        <v>5</v>
      </c>
      <c r="BI10" s="29" t="s">
        <v>5</v>
      </c>
      <c r="BJ10" s="29" t="s">
        <v>18</v>
      </c>
      <c r="BK10" s="29" t="s">
        <v>5</v>
      </c>
      <c r="BL10" s="29" t="s">
        <v>5</v>
      </c>
      <c r="BM10" s="29" t="s">
        <v>4</v>
      </c>
      <c r="BN10" s="29" t="s">
        <v>4</v>
      </c>
      <c r="BO10" s="29" t="s">
        <v>4</v>
      </c>
      <c r="BP10" s="29" t="s">
        <v>4</v>
      </c>
      <c r="BQ10" s="29" t="s">
        <v>4</v>
      </c>
      <c r="BR10" s="29" t="s">
        <v>4</v>
      </c>
      <c r="BS10" s="29" t="s">
        <v>4</v>
      </c>
      <c r="BT10" s="29" t="s">
        <v>4</v>
      </c>
      <c r="BU10" s="29" t="s">
        <v>4</v>
      </c>
    </row>
    <row r="11" spans="1:73" x14ac:dyDescent="0.3">
      <c r="A11" s="2">
        <f t="shared" si="11"/>
        <v>92</v>
      </c>
      <c r="B11" s="12">
        <f t="shared" si="11"/>
        <v>9</v>
      </c>
      <c r="C11" s="24">
        <v>44653.708333333336</v>
      </c>
      <c r="D11" s="4">
        <v>24</v>
      </c>
      <c r="E11" s="4">
        <f t="shared" si="0"/>
        <v>192</v>
      </c>
      <c r="F11" s="5">
        <f t="shared" si="12"/>
        <v>8</v>
      </c>
      <c r="G11">
        <f t="shared" si="13"/>
        <v>9</v>
      </c>
      <c r="H11">
        <f t="shared" si="1"/>
        <v>32</v>
      </c>
      <c r="I11">
        <f t="shared" si="2"/>
        <v>1</v>
      </c>
      <c r="J11">
        <f t="shared" si="3"/>
        <v>0</v>
      </c>
      <c r="K11">
        <f t="shared" si="4"/>
        <v>0</v>
      </c>
      <c r="L11" s="86">
        <f>COUNTIF($X11:$BU11, "AM")</f>
        <v>0</v>
      </c>
      <c r="M11" s="86">
        <f>COUNTIF($X11:$BU11, "AF")</f>
        <v>0</v>
      </c>
      <c r="N11" s="28"/>
      <c r="O11">
        <f t="shared" si="5"/>
        <v>0</v>
      </c>
      <c r="P11">
        <f>COUNTIF($X11:$BU11, "L1_D")</f>
        <v>8</v>
      </c>
      <c r="Q11">
        <f t="shared" si="6"/>
        <v>0</v>
      </c>
      <c r="R11">
        <f t="shared" si="7"/>
        <v>0</v>
      </c>
      <c r="S11">
        <f t="shared" si="8"/>
        <v>0</v>
      </c>
      <c r="T11">
        <f t="shared" si="9"/>
        <v>0</v>
      </c>
      <c r="U11">
        <f t="shared" si="10"/>
        <v>0</v>
      </c>
      <c r="V11" s="28"/>
      <c r="X11" s="29" t="s">
        <v>5</v>
      </c>
      <c r="Y11" s="29" t="s">
        <v>8</v>
      </c>
      <c r="Z11" s="29" t="s">
        <v>5</v>
      </c>
      <c r="AA11" s="29" t="s">
        <v>18</v>
      </c>
      <c r="AB11" s="29" t="s">
        <v>5</v>
      </c>
      <c r="AC11" s="29" t="s">
        <v>5</v>
      </c>
      <c r="AD11" s="29" t="s">
        <v>5</v>
      </c>
      <c r="AE11" s="29" t="s">
        <v>18</v>
      </c>
      <c r="AF11" s="29" t="s">
        <v>5</v>
      </c>
      <c r="AG11" s="29" t="s">
        <v>5</v>
      </c>
      <c r="AH11" s="29" t="s">
        <v>5</v>
      </c>
      <c r="AI11" s="29" t="s">
        <v>5</v>
      </c>
      <c r="AJ11" s="29" t="s">
        <v>5</v>
      </c>
      <c r="AK11" s="29" t="s">
        <v>5</v>
      </c>
      <c r="AL11" s="29" t="s">
        <v>5</v>
      </c>
      <c r="AM11" s="29" t="s">
        <v>5</v>
      </c>
      <c r="AN11" s="29" t="s">
        <v>5</v>
      </c>
      <c r="AO11" s="29" t="s">
        <v>18</v>
      </c>
      <c r="AP11" s="29" t="s">
        <v>5</v>
      </c>
      <c r="AQ11" s="29" t="s">
        <v>18</v>
      </c>
      <c r="AR11" s="29" t="s">
        <v>5</v>
      </c>
      <c r="AS11" s="29" t="s">
        <v>5</v>
      </c>
      <c r="AT11" s="29" t="s">
        <v>5</v>
      </c>
      <c r="AU11" s="29" t="s">
        <v>5</v>
      </c>
      <c r="AV11" s="29" t="s">
        <v>5</v>
      </c>
      <c r="AW11" s="29" t="s">
        <v>5</v>
      </c>
      <c r="AX11" s="29" t="s">
        <v>18</v>
      </c>
      <c r="AY11" s="29" t="s">
        <v>5</v>
      </c>
      <c r="AZ11" s="29" t="s">
        <v>5</v>
      </c>
      <c r="BA11" s="29" t="s">
        <v>18</v>
      </c>
      <c r="BB11" s="29" t="s">
        <v>5</v>
      </c>
      <c r="BC11" s="29" t="s">
        <v>5</v>
      </c>
      <c r="BD11" s="29" t="s">
        <v>5</v>
      </c>
      <c r="BE11" s="29" t="s">
        <v>5</v>
      </c>
      <c r="BF11" s="29" t="s">
        <v>5</v>
      </c>
      <c r="BG11" s="29" t="s">
        <v>18</v>
      </c>
      <c r="BH11" s="29" t="s">
        <v>5</v>
      </c>
      <c r="BI11" s="29" t="s">
        <v>5</v>
      </c>
      <c r="BJ11" s="29" t="s">
        <v>18</v>
      </c>
      <c r="BK11" s="29" t="s">
        <v>5</v>
      </c>
      <c r="BL11" s="29" t="s">
        <v>5</v>
      </c>
      <c r="BM11" s="29" t="s">
        <v>4</v>
      </c>
      <c r="BN11" s="29" t="s">
        <v>4</v>
      </c>
      <c r="BO11" s="29" t="s">
        <v>4</v>
      </c>
      <c r="BP11" s="29" t="s">
        <v>4</v>
      </c>
      <c r="BQ11" s="29" t="s">
        <v>4</v>
      </c>
      <c r="BR11" s="29" t="s">
        <v>4</v>
      </c>
      <c r="BS11" s="29" t="s">
        <v>4</v>
      </c>
      <c r="BT11" s="29" t="s">
        <v>4</v>
      </c>
      <c r="BU11" s="29" t="s">
        <v>4</v>
      </c>
    </row>
    <row r="12" spans="1:73" x14ac:dyDescent="0.3">
      <c r="A12" s="2">
        <f t="shared" si="11"/>
        <v>93</v>
      </c>
      <c r="B12" s="12">
        <f t="shared" si="11"/>
        <v>10</v>
      </c>
      <c r="C12" s="24">
        <v>44654.708333333336</v>
      </c>
      <c r="D12" s="4">
        <v>24</v>
      </c>
      <c r="E12" s="4">
        <f t="shared" si="0"/>
        <v>216</v>
      </c>
      <c r="F12" s="5">
        <f t="shared" si="12"/>
        <v>9</v>
      </c>
      <c r="G12">
        <f t="shared" si="13"/>
        <v>9</v>
      </c>
      <c r="H12">
        <f t="shared" si="1"/>
        <v>27</v>
      </c>
      <c r="I12">
        <f t="shared" si="2"/>
        <v>3</v>
      </c>
      <c r="J12">
        <f t="shared" si="3"/>
        <v>0</v>
      </c>
      <c r="K12">
        <f t="shared" si="4"/>
        <v>0</v>
      </c>
      <c r="L12" s="86">
        <f>COUNTIF($X12:$BU12, "AM")</f>
        <v>0</v>
      </c>
      <c r="M12" s="86">
        <f>COUNTIF($X12:$BU12, "AF")</f>
        <v>0</v>
      </c>
      <c r="N12" s="28"/>
      <c r="O12">
        <f t="shared" si="5"/>
        <v>0</v>
      </c>
      <c r="P12">
        <f>COUNTIF($X12:$BU12, "L1_D")</f>
        <v>11</v>
      </c>
      <c r="Q12">
        <f t="shared" si="6"/>
        <v>0</v>
      </c>
      <c r="R12">
        <f t="shared" si="7"/>
        <v>0</v>
      </c>
      <c r="S12">
        <f t="shared" si="8"/>
        <v>0</v>
      </c>
      <c r="T12">
        <f t="shared" si="9"/>
        <v>0</v>
      </c>
      <c r="U12">
        <f t="shared" si="10"/>
        <v>0</v>
      </c>
      <c r="V12" s="28"/>
      <c r="X12" s="29" t="s">
        <v>8</v>
      </c>
      <c r="Y12" s="29" t="s">
        <v>8</v>
      </c>
      <c r="Z12" s="29" t="s">
        <v>5</v>
      </c>
      <c r="AA12" s="29" t="s">
        <v>18</v>
      </c>
      <c r="AB12" s="29" t="s">
        <v>5</v>
      </c>
      <c r="AC12" s="29" t="s">
        <v>5</v>
      </c>
      <c r="AD12" s="29" t="s">
        <v>5</v>
      </c>
      <c r="AE12" s="29" t="s">
        <v>18</v>
      </c>
      <c r="AF12" s="29" t="s">
        <v>5</v>
      </c>
      <c r="AG12" s="29" t="s">
        <v>8</v>
      </c>
      <c r="AH12" s="29" t="s">
        <v>5</v>
      </c>
      <c r="AI12" s="29" t="s">
        <v>18</v>
      </c>
      <c r="AJ12" s="29" t="s">
        <v>5</v>
      </c>
      <c r="AK12" s="29" t="s">
        <v>5</v>
      </c>
      <c r="AL12" s="29" t="s">
        <v>5</v>
      </c>
      <c r="AM12" s="29" t="s">
        <v>5</v>
      </c>
      <c r="AN12" s="29" t="s">
        <v>5</v>
      </c>
      <c r="AO12" s="29" t="s">
        <v>18</v>
      </c>
      <c r="AP12" s="29" t="s">
        <v>5</v>
      </c>
      <c r="AQ12" s="29" t="s">
        <v>18</v>
      </c>
      <c r="AR12" s="29" t="s">
        <v>5</v>
      </c>
      <c r="AS12" s="29" t="s">
        <v>5</v>
      </c>
      <c r="AT12" s="29" t="s">
        <v>5</v>
      </c>
      <c r="AU12" s="29" t="s">
        <v>5</v>
      </c>
      <c r="AV12" s="29" t="s">
        <v>5</v>
      </c>
      <c r="AW12" s="29" t="s">
        <v>5</v>
      </c>
      <c r="AX12" s="29" t="s">
        <v>18</v>
      </c>
      <c r="AY12" s="29" t="s">
        <v>5</v>
      </c>
      <c r="AZ12" s="29" t="s">
        <v>5</v>
      </c>
      <c r="BA12" s="29" t="s">
        <v>18</v>
      </c>
      <c r="BB12" s="29" t="s">
        <v>5</v>
      </c>
      <c r="BC12" s="29" t="s">
        <v>18</v>
      </c>
      <c r="BD12" s="29" t="s">
        <v>5</v>
      </c>
      <c r="BE12" s="29" t="s">
        <v>5</v>
      </c>
      <c r="BF12" s="29" t="s">
        <v>5</v>
      </c>
      <c r="BG12" s="29" t="s">
        <v>18</v>
      </c>
      <c r="BH12" s="29" t="s">
        <v>5</v>
      </c>
      <c r="BI12" s="29" t="s">
        <v>5</v>
      </c>
      <c r="BJ12" s="29" t="s">
        <v>18</v>
      </c>
      <c r="BK12" s="29" t="s">
        <v>5</v>
      </c>
      <c r="BL12" s="29" t="s">
        <v>18</v>
      </c>
      <c r="BM12" s="29" t="s">
        <v>4</v>
      </c>
      <c r="BN12" s="29" t="s">
        <v>4</v>
      </c>
      <c r="BO12" s="29" t="s">
        <v>4</v>
      </c>
      <c r="BP12" s="29" t="s">
        <v>4</v>
      </c>
      <c r="BQ12" s="29" t="s">
        <v>4</v>
      </c>
      <c r="BR12" s="29" t="s">
        <v>4</v>
      </c>
      <c r="BS12" s="29" t="s">
        <v>4</v>
      </c>
      <c r="BT12" s="29" t="s">
        <v>4</v>
      </c>
      <c r="BU12" s="29" t="s">
        <v>4</v>
      </c>
    </row>
    <row r="13" spans="1:73" x14ac:dyDescent="0.3">
      <c r="A13" s="2">
        <f t="shared" si="11"/>
        <v>94</v>
      </c>
      <c r="B13" s="12">
        <f t="shared" si="11"/>
        <v>11</v>
      </c>
      <c r="C13" s="24">
        <v>44655.708333333336</v>
      </c>
      <c r="D13" s="4">
        <v>24</v>
      </c>
      <c r="E13" s="4">
        <f t="shared" si="0"/>
        <v>240</v>
      </c>
      <c r="F13" s="5">
        <f t="shared" si="12"/>
        <v>10</v>
      </c>
      <c r="G13">
        <f t="shared" si="13"/>
        <v>9</v>
      </c>
      <c r="H13">
        <f t="shared" si="1"/>
        <v>16</v>
      </c>
      <c r="I13">
        <f t="shared" si="2"/>
        <v>14</v>
      </c>
      <c r="J13">
        <f t="shared" si="3"/>
        <v>0</v>
      </c>
      <c r="K13">
        <f t="shared" si="4"/>
        <v>0</v>
      </c>
      <c r="L13" s="86">
        <f>COUNTIF($X13:$BU13, "AM")</f>
        <v>0</v>
      </c>
      <c r="M13" s="86">
        <f>COUNTIF($X13:$BU13, "AF")</f>
        <v>0</v>
      </c>
      <c r="N13" s="28"/>
      <c r="O13">
        <f t="shared" si="5"/>
        <v>0</v>
      </c>
      <c r="P13">
        <f>COUNTIF($X13:$BU13, "L1_D")</f>
        <v>11</v>
      </c>
      <c r="Q13">
        <f t="shared" si="6"/>
        <v>0</v>
      </c>
      <c r="R13">
        <f t="shared" si="7"/>
        <v>0</v>
      </c>
      <c r="S13">
        <f t="shared" si="8"/>
        <v>0</v>
      </c>
      <c r="T13">
        <f t="shared" si="9"/>
        <v>0</v>
      </c>
      <c r="U13">
        <f t="shared" si="10"/>
        <v>0</v>
      </c>
      <c r="V13" s="28"/>
      <c r="X13" s="29" t="s">
        <v>8</v>
      </c>
      <c r="Y13" s="29" t="s">
        <v>8</v>
      </c>
      <c r="Z13" s="29" t="s">
        <v>8</v>
      </c>
      <c r="AA13" s="29" t="s">
        <v>18</v>
      </c>
      <c r="AB13" s="29" t="s">
        <v>5</v>
      </c>
      <c r="AC13" s="29" t="s">
        <v>8</v>
      </c>
      <c r="AD13" s="29" t="s">
        <v>5</v>
      </c>
      <c r="AE13" s="29" t="s">
        <v>18</v>
      </c>
      <c r="AF13" s="29" t="s">
        <v>5</v>
      </c>
      <c r="AG13" s="29" t="s">
        <v>8</v>
      </c>
      <c r="AH13" s="29" t="s">
        <v>8</v>
      </c>
      <c r="AI13" s="29" t="s">
        <v>18</v>
      </c>
      <c r="AJ13" s="29" t="s">
        <v>5</v>
      </c>
      <c r="AK13" s="29" t="s">
        <v>8</v>
      </c>
      <c r="AL13" s="29" t="s">
        <v>8</v>
      </c>
      <c r="AM13" s="29" t="s">
        <v>8</v>
      </c>
      <c r="AN13" s="29" t="s">
        <v>8</v>
      </c>
      <c r="AO13" s="29" t="s">
        <v>18</v>
      </c>
      <c r="AP13" s="29" t="s">
        <v>5</v>
      </c>
      <c r="AQ13" s="29" t="s">
        <v>18</v>
      </c>
      <c r="AR13" s="29" t="s">
        <v>5</v>
      </c>
      <c r="AS13" s="29" t="s">
        <v>5</v>
      </c>
      <c r="AT13" s="29" t="s">
        <v>5</v>
      </c>
      <c r="AU13" s="29" t="s">
        <v>8</v>
      </c>
      <c r="AV13" s="29" t="s">
        <v>5</v>
      </c>
      <c r="AW13" s="29" t="s">
        <v>5</v>
      </c>
      <c r="AX13" s="29" t="s">
        <v>18</v>
      </c>
      <c r="AY13" s="29" t="s">
        <v>8</v>
      </c>
      <c r="AZ13" s="29" t="s">
        <v>5</v>
      </c>
      <c r="BA13" s="29" t="s">
        <v>18</v>
      </c>
      <c r="BB13" s="29" t="s">
        <v>5</v>
      </c>
      <c r="BC13" s="29" t="s">
        <v>18</v>
      </c>
      <c r="BD13" s="29" t="s">
        <v>5</v>
      </c>
      <c r="BE13" s="29" t="s">
        <v>5</v>
      </c>
      <c r="BF13" s="29" t="s">
        <v>8</v>
      </c>
      <c r="BG13" s="29" t="s">
        <v>18</v>
      </c>
      <c r="BH13" s="29" t="s">
        <v>5</v>
      </c>
      <c r="BI13" s="29" t="s">
        <v>5</v>
      </c>
      <c r="BJ13" s="29" t="s">
        <v>18</v>
      </c>
      <c r="BK13" s="29" t="s">
        <v>8</v>
      </c>
      <c r="BL13" s="29" t="s">
        <v>18</v>
      </c>
      <c r="BM13" s="29" t="s">
        <v>4</v>
      </c>
      <c r="BN13" s="29" t="s">
        <v>4</v>
      </c>
      <c r="BO13" s="29" t="s">
        <v>4</v>
      </c>
      <c r="BP13" s="29" t="s">
        <v>4</v>
      </c>
      <c r="BQ13" s="29" t="s">
        <v>4</v>
      </c>
      <c r="BR13" s="29" t="s">
        <v>4</v>
      </c>
      <c r="BS13" s="29" t="s">
        <v>4</v>
      </c>
      <c r="BT13" s="29" t="s">
        <v>4</v>
      </c>
      <c r="BU13" s="29" t="s">
        <v>4</v>
      </c>
    </row>
    <row r="14" spans="1:73" x14ac:dyDescent="0.3">
      <c r="A14" s="2">
        <f t="shared" si="11"/>
        <v>95</v>
      </c>
      <c r="B14" s="12">
        <f t="shared" si="11"/>
        <v>12</v>
      </c>
      <c r="C14" s="24">
        <v>44656.708333333336</v>
      </c>
      <c r="D14" s="4">
        <v>24</v>
      </c>
      <c r="E14" s="4">
        <f t="shared" si="0"/>
        <v>264</v>
      </c>
      <c r="F14" s="5">
        <f t="shared" si="12"/>
        <v>11</v>
      </c>
      <c r="G14">
        <f t="shared" si="13"/>
        <v>9</v>
      </c>
      <c r="H14">
        <f t="shared" si="1"/>
        <v>6</v>
      </c>
      <c r="I14">
        <f t="shared" si="2"/>
        <v>24</v>
      </c>
      <c r="J14">
        <f t="shared" si="3"/>
        <v>0</v>
      </c>
      <c r="K14">
        <f t="shared" si="4"/>
        <v>0</v>
      </c>
      <c r="L14" s="86">
        <f>COUNTIF($X14:$BU14, "AM")</f>
        <v>0</v>
      </c>
      <c r="M14" s="86">
        <f>COUNTIF($X14:$BU14, "AF")</f>
        <v>0</v>
      </c>
      <c r="N14" s="28"/>
      <c r="O14">
        <f t="shared" si="5"/>
        <v>0</v>
      </c>
      <c r="P14">
        <f>COUNTIF($X14:$BU14, "L1_D")</f>
        <v>11</v>
      </c>
      <c r="Q14">
        <f t="shared" si="6"/>
        <v>0</v>
      </c>
      <c r="R14">
        <f t="shared" si="7"/>
        <v>0</v>
      </c>
      <c r="S14">
        <f t="shared" si="8"/>
        <v>0</v>
      </c>
      <c r="T14">
        <f t="shared" si="9"/>
        <v>0</v>
      </c>
      <c r="U14">
        <f t="shared" si="10"/>
        <v>0</v>
      </c>
      <c r="V14" s="28"/>
      <c r="X14" s="29" t="s">
        <v>8</v>
      </c>
      <c r="Y14" s="29" t="s">
        <v>8</v>
      </c>
      <c r="Z14" s="29" t="s">
        <v>8</v>
      </c>
      <c r="AA14" s="29" t="s">
        <v>18</v>
      </c>
      <c r="AB14" s="29" t="s">
        <v>5</v>
      </c>
      <c r="AC14" s="29" t="s">
        <v>8</v>
      </c>
      <c r="AD14" s="29" t="s">
        <v>8</v>
      </c>
      <c r="AE14" s="29" t="s">
        <v>18</v>
      </c>
      <c r="AF14" s="29" t="s">
        <v>8</v>
      </c>
      <c r="AG14" s="29" t="s">
        <v>8</v>
      </c>
      <c r="AH14" s="29" t="s">
        <v>8</v>
      </c>
      <c r="AI14" s="29" t="s">
        <v>18</v>
      </c>
      <c r="AJ14" s="29" t="s">
        <v>5</v>
      </c>
      <c r="AK14" s="29" t="s">
        <v>8</v>
      </c>
      <c r="AL14" s="29" t="s">
        <v>8</v>
      </c>
      <c r="AM14" s="29" t="s">
        <v>8</v>
      </c>
      <c r="AN14" s="29" t="s">
        <v>8</v>
      </c>
      <c r="AO14" s="29" t="s">
        <v>18</v>
      </c>
      <c r="AP14" s="29" t="s">
        <v>5</v>
      </c>
      <c r="AQ14" s="29" t="s">
        <v>18</v>
      </c>
      <c r="AR14" s="29" t="s">
        <v>5</v>
      </c>
      <c r="AS14" s="29" t="s">
        <v>8</v>
      </c>
      <c r="AT14" s="29" t="s">
        <v>8</v>
      </c>
      <c r="AU14" s="29" t="s">
        <v>8</v>
      </c>
      <c r="AV14" s="29" t="s">
        <v>8</v>
      </c>
      <c r="AW14" s="29" t="s">
        <v>5</v>
      </c>
      <c r="AX14" s="29" t="s">
        <v>18</v>
      </c>
      <c r="AY14" s="29" t="s">
        <v>8</v>
      </c>
      <c r="AZ14" s="29" t="s">
        <v>8</v>
      </c>
      <c r="BA14" s="29" t="s">
        <v>18</v>
      </c>
      <c r="BB14" s="29" t="s">
        <v>5</v>
      </c>
      <c r="BC14" s="29" t="s">
        <v>18</v>
      </c>
      <c r="BD14" s="29" t="s">
        <v>8</v>
      </c>
      <c r="BE14" s="29" t="s">
        <v>8</v>
      </c>
      <c r="BF14" s="29" t="s">
        <v>8</v>
      </c>
      <c r="BG14" s="29" t="s">
        <v>18</v>
      </c>
      <c r="BH14" s="29" t="s">
        <v>8</v>
      </c>
      <c r="BI14" s="29" t="s">
        <v>8</v>
      </c>
      <c r="BJ14" s="29" t="s">
        <v>18</v>
      </c>
      <c r="BK14" s="29" t="s">
        <v>8</v>
      </c>
      <c r="BL14" s="29" t="s">
        <v>18</v>
      </c>
      <c r="BM14" s="29" t="s">
        <v>4</v>
      </c>
      <c r="BN14" s="29" t="s">
        <v>4</v>
      </c>
      <c r="BO14" s="29" t="s">
        <v>4</v>
      </c>
      <c r="BP14" s="29" t="s">
        <v>4</v>
      </c>
      <c r="BQ14" s="29" t="s">
        <v>4</v>
      </c>
      <c r="BR14" s="29" t="s">
        <v>4</v>
      </c>
      <c r="BS14" s="29" t="s">
        <v>4</v>
      </c>
      <c r="BT14" s="29" t="s">
        <v>4</v>
      </c>
      <c r="BU14" s="29" t="s">
        <v>4</v>
      </c>
    </row>
    <row r="15" spans="1:73" x14ac:dyDescent="0.3">
      <c r="A15" s="2">
        <f t="shared" si="11"/>
        <v>96</v>
      </c>
      <c r="B15" s="12">
        <f t="shared" si="11"/>
        <v>13</v>
      </c>
      <c r="C15" s="24">
        <v>44657.708333333336</v>
      </c>
      <c r="D15" s="4">
        <v>24</v>
      </c>
      <c r="E15" s="4">
        <f t="shared" si="0"/>
        <v>288</v>
      </c>
      <c r="F15" s="5">
        <f t="shared" si="12"/>
        <v>12</v>
      </c>
      <c r="G15">
        <f t="shared" si="13"/>
        <v>9</v>
      </c>
      <c r="H15">
        <f t="shared" si="1"/>
        <v>2</v>
      </c>
      <c r="I15">
        <f t="shared" si="2"/>
        <v>27</v>
      </c>
      <c r="J15">
        <f t="shared" si="3"/>
        <v>0</v>
      </c>
      <c r="K15">
        <f t="shared" si="4"/>
        <v>0</v>
      </c>
      <c r="L15" s="86">
        <f>COUNTIF($X15:$BU15, "AM")</f>
        <v>0</v>
      </c>
      <c r="M15" s="86">
        <f>COUNTIF($X15:$BU15, "AF")</f>
        <v>0</v>
      </c>
      <c r="N15" s="28"/>
      <c r="O15">
        <f t="shared" si="5"/>
        <v>0</v>
      </c>
      <c r="P15">
        <f>COUNTIF($X15:$BU15, "L1_D")</f>
        <v>11</v>
      </c>
      <c r="Q15">
        <f>COUNTIF($X15:$BU15, "L2_D")</f>
        <v>1</v>
      </c>
      <c r="R15">
        <f t="shared" si="7"/>
        <v>0</v>
      </c>
      <c r="S15">
        <f t="shared" si="8"/>
        <v>0</v>
      </c>
      <c r="T15">
        <f t="shared" si="9"/>
        <v>0</v>
      </c>
      <c r="U15">
        <f t="shared" si="10"/>
        <v>0</v>
      </c>
      <c r="V15" s="28"/>
      <c r="X15" s="29" t="s">
        <v>8</v>
      </c>
      <c r="Y15" s="29" t="s">
        <v>8</v>
      </c>
      <c r="Z15" s="29" t="s">
        <v>8</v>
      </c>
      <c r="AA15" s="29" t="s">
        <v>18</v>
      </c>
      <c r="AB15" s="29" t="s">
        <v>8</v>
      </c>
      <c r="AC15" s="29" t="s">
        <v>8</v>
      </c>
      <c r="AD15" s="29" t="s">
        <v>8</v>
      </c>
      <c r="AE15" s="29" t="s">
        <v>18</v>
      </c>
      <c r="AF15" s="29" t="s">
        <v>8</v>
      </c>
      <c r="AG15" s="29" t="s">
        <v>8</v>
      </c>
      <c r="AH15" s="29" t="s">
        <v>8</v>
      </c>
      <c r="AI15" s="29" t="s">
        <v>18</v>
      </c>
      <c r="AJ15" s="29" t="s">
        <v>8</v>
      </c>
      <c r="AK15" s="29" t="s">
        <v>8</v>
      </c>
      <c r="AL15" s="29" t="s">
        <v>8</v>
      </c>
      <c r="AM15" s="29" t="s">
        <v>8</v>
      </c>
      <c r="AN15" s="29" t="s">
        <v>8</v>
      </c>
      <c r="AO15" s="29" t="s">
        <v>18</v>
      </c>
      <c r="AP15" s="29" t="s">
        <v>8</v>
      </c>
      <c r="AQ15" s="29" t="s">
        <v>18</v>
      </c>
      <c r="AR15" s="29" t="s">
        <v>8</v>
      </c>
      <c r="AS15" s="29" t="s">
        <v>8</v>
      </c>
      <c r="AT15" s="29" t="s">
        <v>8</v>
      </c>
      <c r="AU15" s="29" t="s">
        <v>8</v>
      </c>
      <c r="AV15" s="29" t="s">
        <v>8</v>
      </c>
      <c r="AW15" s="29" t="s">
        <v>5</v>
      </c>
      <c r="AX15" s="29" t="s">
        <v>18</v>
      </c>
      <c r="AY15" s="29" t="s">
        <v>8</v>
      </c>
      <c r="AZ15" s="29" t="s">
        <v>8</v>
      </c>
      <c r="BA15" s="29" t="s">
        <v>18</v>
      </c>
      <c r="BB15" s="29" t="s">
        <v>5</v>
      </c>
      <c r="BC15" s="29" t="s">
        <v>18</v>
      </c>
      <c r="BD15" s="29" t="s">
        <v>8</v>
      </c>
      <c r="BE15" s="29" t="s">
        <v>8</v>
      </c>
      <c r="BF15" s="29" t="s">
        <v>8</v>
      </c>
      <c r="BG15" s="29" t="s">
        <v>18</v>
      </c>
      <c r="BH15" s="29" t="s">
        <v>8</v>
      </c>
      <c r="BI15" s="29" t="s">
        <v>8</v>
      </c>
      <c r="BJ15" s="29" t="s">
        <v>18</v>
      </c>
      <c r="BK15" s="29" t="s">
        <v>22</v>
      </c>
      <c r="BL15" s="29" t="s">
        <v>18</v>
      </c>
      <c r="BM15" s="29" t="s">
        <v>4</v>
      </c>
      <c r="BN15" s="29" t="s">
        <v>4</v>
      </c>
      <c r="BO15" s="29" t="s">
        <v>4</v>
      </c>
      <c r="BP15" s="29" t="s">
        <v>4</v>
      </c>
      <c r="BQ15" s="29" t="s">
        <v>4</v>
      </c>
      <c r="BR15" s="29" t="s">
        <v>4</v>
      </c>
      <c r="BS15" s="29" t="s">
        <v>4</v>
      </c>
      <c r="BT15" s="29" t="s">
        <v>4</v>
      </c>
      <c r="BU15" s="29" t="s">
        <v>4</v>
      </c>
    </row>
    <row r="16" spans="1:73" x14ac:dyDescent="0.3">
      <c r="A16" s="2">
        <f t="shared" si="11"/>
        <v>97</v>
      </c>
      <c r="B16" s="12">
        <f t="shared" si="11"/>
        <v>14</v>
      </c>
      <c r="C16" s="24">
        <v>44658.708333333336</v>
      </c>
      <c r="D16" s="4">
        <v>24</v>
      </c>
      <c r="E16" s="4">
        <f t="shared" si="0"/>
        <v>312</v>
      </c>
      <c r="F16" s="5">
        <f t="shared" si="12"/>
        <v>13</v>
      </c>
      <c r="G16">
        <f t="shared" si="13"/>
        <v>0</v>
      </c>
      <c r="H16">
        <f t="shared" si="1"/>
        <v>1</v>
      </c>
      <c r="I16">
        <f t="shared" si="2"/>
        <v>26</v>
      </c>
      <c r="J16">
        <f t="shared" si="3"/>
        <v>1</v>
      </c>
      <c r="K16">
        <f t="shared" si="4"/>
        <v>0</v>
      </c>
      <c r="L16" s="86">
        <f>COUNTIF($X16:$BU16, "AM")</f>
        <v>0</v>
      </c>
      <c r="M16" s="86">
        <f>COUNTIF($X16:$BU16, "AF")</f>
        <v>0</v>
      </c>
      <c r="N16" s="28"/>
      <c r="O16">
        <f t="shared" si="5"/>
        <v>9</v>
      </c>
      <c r="P16">
        <f>COUNTIF($X16:$BU16, "L1_D")</f>
        <v>11</v>
      </c>
      <c r="Q16">
        <f t="shared" si="6"/>
        <v>2</v>
      </c>
      <c r="R16">
        <f t="shared" si="7"/>
        <v>0</v>
      </c>
      <c r="S16">
        <f t="shared" si="8"/>
        <v>0</v>
      </c>
      <c r="T16">
        <f t="shared" si="9"/>
        <v>0</v>
      </c>
      <c r="U16">
        <f t="shared" si="10"/>
        <v>0</v>
      </c>
      <c r="V16" s="28"/>
      <c r="X16" s="29" t="s">
        <v>8</v>
      </c>
      <c r="Y16" s="29" t="s">
        <v>10</v>
      </c>
      <c r="Z16" s="29" t="s">
        <v>8</v>
      </c>
      <c r="AA16" s="29" t="s">
        <v>18</v>
      </c>
      <c r="AB16" s="29" t="s">
        <v>8</v>
      </c>
      <c r="AC16" s="29" t="s">
        <v>8</v>
      </c>
      <c r="AD16" s="29" t="s">
        <v>8</v>
      </c>
      <c r="AE16" s="29" t="s">
        <v>18</v>
      </c>
      <c r="AF16" s="29" t="s">
        <v>8</v>
      </c>
      <c r="AG16" s="29" t="s">
        <v>8</v>
      </c>
      <c r="AH16" s="29" t="s">
        <v>8</v>
      </c>
      <c r="AI16" s="29" t="s">
        <v>18</v>
      </c>
      <c r="AJ16" s="29" t="s">
        <v>8</v>
      </c>
      <c r="AK16" s="29" t="s">
        <v>8</v>
      </c>
      <c r="AL16" s="29" t="s">
        <v>8</v>
      </c>
      <c r="AM16" s="29" t="s">
        <v>8</v>
      </c>
      <c r="AN16" s="29" t="s">
        <v>8</v>
      </c>
      <c r="AO16" s="29" t="s">
        <v>18</v>
      </c>
      <c r="AP16" s="29" t="s">
        <v>8</v>
      </c>
      <c r="AQ16" s="29" t="s">
        <v>18</v>
      </c>
      <c r="AR16" s="29" t="s">
        <v>8</v>
      </c>
      <c r="AS16" s="29" t="s">
        <v>8</v>
      </c>
      <c r="AT16" s="29" t="s">
        <v>8</v>
      </c>
      <c r="AU16" s="29" t="s">
        <v>8</v>
      </c>
      <c r="AV16" s="29" t="s">
        <v>8</v>
      </c>
      <c r="AW16" s="29" t="s">
        <v>5</v>
      </c>
      <c r="AX16" s="29" t="s">
        <v>18</v>
      </c>
      <c r="AY16" s="29" t="s">
        <v>8</v>
      </c>
      <c r="AZ16" s="29" t="s">
        <v>8</v>
      </c>
      <c r="BA16" s="29" t="s">
        <v>18</v>
      </c>
      <c r="BB16" s="29" t="s">
        <v>8</v>
      </c>
      <c r="BC16" s="29" t="s">
        <v>18</v>
      </c>
      <c r="BD16" s="29" t="s">
        <v>8</v>
      </c>
      <c r="BE16" s="29" t="s">
        <v>8</v>
      </c>
      <c r="BF16" s="29" t="s">
        <v>22</v>
      </c>
      <c r="BG16" s="29" t="s">
        <v>18</v>
      </c>
      <c r="BH16" s="29" t="s">
        <v>8</v>
      </c>
      <c r="BI16" s="29" t="s">
        <v>8</v>
      </c>
      <c r="BJ16" s="29" t="s">
        <v>18</v>
      </c>
      <c r="BK16" s="29" t="s">
        <v>22</v>
      </c>
      <c r="BL16" s="29" t="s">
        <v>18</v>
      </c>
      <c r="BM16" s="29" t="s">
        <v>17</v>
      </c>
      <c r="BN16" s="29" t="s">
        <v>17</v>
      </c>
      <c r="BO16" s="29" t="s">
        <v>17</v>
      </c>
      <c r="BP16" s="29" t="s">
        <v>17</v>
      </c>
      <c r="BQ16" s="29" t="s">
        <v>17</v>
      </c>
      <c r="BR16" s="29" t="s">
        <v>17</v>
      </c>
      <c r="BS16" s="29" t="s">
        <v>17</v>
      </c>
      <c r="BT16" s="29" t="s">
        <v>17</v>
      </c>
      <c r="BU16" s="29" t="s">
        <v>17</v>
      </c>
    </row>
    <row r="17" spans="1:73" x14ac:dyDescent="0.3">
      <c r="A17" s="2">
        <f t="shared" si="11"/>
        <v>98</v>
      </c>
      <c r="B17" s="12">
        <f t="shared" si="11"/>
        <v>15</v>
      </c>
      <c r="C17" s="24">
        <v>44659.708333333336</v>
      </c>
      <c r="D17" s="4">
        <v>24</v>
      </c>
      <c r="E17" s="4">
        <f t="shared" si="0"/>
        <v>336</v>
      </c>
      <c r="F17" s="5">
        <f t="shared" si="12"/>
        <v>14</v>
      </c>
      <c r="G17">
        <f t="shared" si="13"/>
        <v>0</v>
      </c>
      <c r="H17">
        <f t="shared" si="1"/>
        <v>1</v>
      </c>
      <c r="I17">
        <f t="shared" si="2"/>
        <v>25</v>
      </c>
      <c r="J17">
        <f t="shared" si="3"/>
        <v>1</v>
      </c>
      <c r="K17">
        <f t="shared" si="4"/>
        <v>0</v>
      </c>
      <c r="L17" s="86">
        <f>COUNTIF($X17:$BU17, "AM")</f>
        <v>0</v>
      </c>
      <c r="M17" s="86">
        <f>COUNTIF($X17:$BU17, "AF")</f>
        <v>0</v>
      </c>
      <c r="N17" s="28"/>
      <c r="O17">
        <f t="shared" si="5"/>
        <v>9</v>
      </c>
      <c r="P17">
        <f>COUNTIF($X17:$BU17, "L1_D")</f>
        <v>11</v>
      </c>
      <c r="Q17">
        <f t="shared" si="6"/>
        <v>3</v>
      </c>
      <c r="R17">
        <f t="shared" si="7"/>
        <v>0</v>
      </c>
      <c r="S17">
        <f t="shared" si="8"/>
        <v>0</v>
      </c>
      <c r="T17">
        <f t="shared" si="9"/>
        <v>0</v>
      </c>
      <c r="U17">
        <f t="shared" si="10"/>
        <v>0</v>
      </c>
      <c r="V17" s="28"/>
      <c r="X17" s="29" t="s">
        <v>8</v>
      </c>
      <c r="Y17" s="29" t="s">
        <v>10</v>
      </c>
      <c r="Z17" s="29" t="s">
        <v>8</v>
      </c>
      <c r="AA17" s="29" t="s">
        <v>18</v>
      </c>
      <c r="AB17" s="29" t="s">
        <v>8</v>
      </c>
      <c r="AC17" s="29" t="s">
        <v>8</v>
      </c>
      <c r="AD17" s="29" t="s">
        <v>8</v>
      </c>
      <c r="AE17" s="29" t="s">
        <v>18</v>
      </c>
      <c r="AF17" s="29" t="s">
        <v>8</v>
      </c>
      <c r="AG17" s="29" t="s">
        <v>8</v>
      </c>
      <c r="AH17" s="29" t="s">
        <v>8</v>
      </c>
      <c r="AI17" s="29" t="s">
        <v>18</v>
      </c>
      <c r="AJ17" s="29" t="s">
        <v>8</v>
      </c>
      <c r="AK17" s="29" t="s">
        <v>8</v>
      </c>
      <c r="AL17" s="29" t="s">
        <v>8</v>
      </c>
      <c r="AM17" s="29" t="s">
        <v>8</v>
      </c>
      <c r="AN17" s="29" t="s">
        <v>8</v>
      </c>
      <c r="AO17" s="29" t="s">
        <v>18</v>
      </c>
      <c r="AP17" s="29" t="s">
        <v>8</v>
      </c>
      <c r="AQ17" s="29" t="s">
        <v>18</v>
      </c>
      <c r="AR17" s="29" t="s">
        <v>8</v>
      </c>
      <c r="AS17" s="29" t="s">
        <v>8</v>
      </c>
      <c r="AT17" s="29" t="s">
        <v>8</v>
      </c>
      <c r="AU17" s="29" t="s">
        <v>8</v>
      </c>
      <c r="AV17" s="29" t="s">
        <v>8</v>
      </c>
      <c r="AW17" s="29" t="s">
        <v>5</v>
      </c>
      <c r="AX17" s="29" t="s">
        <v>18</v>
      </c>
      <c r="AY17" s="29" t="s">
        <v>8</v>
      </c>
      <c r="AZ17" s="29" t="s">
        <v>8</v>
      </c>
      <c r="BA17" s="29" t="s">
        <v>18</v>
      </c>
      <c r="BB17" s="29" t="s">
        <v>8</v>
      </c>
      <c r="BC17" s="29" t="s">
        <v>18</v>
      </c>
      <c r="BD17" s="29" t="s">
        <v>22</v>
      </c>
      <c r="BE17" s="29" t="s">
        <v>8</v>
      </c>
      <c r="BF17" s="29" t="s">
        <v>22</v>
      </c>
      <c r="BG17" s="29" t="s">
        <v>18</v>
      </c>
      <c r="BH17" s="29" t="s">
        <v>8</v>
      </c>
      <c r="BI17" s="29" t="s">
        <v>8</v>
      </c>
      <c r="BJ17" s="29" t="s">
        <v>18</v>
      </c>
      <c r="BK17" s="29" t="s">
        <v>22</v>
      </c>
      <c r="BL17" s="29" t="s">
        <v>18</v>
      </c>
      <c r="BM17" s="29" t="s">
        <v>17</v>
      </c>
      <c r="BN17" s="29" t="s">
        <v>17</v>
      </c>
      <c r="BO17" s="29" t="s">
        <v>17</v>
      </c>
      <c r="BP17" s="29" t="s">
        <v>17</v>
      </c>
      <c r="BQ17" s="29" t="s">
        <v>17</v>
      </c>
      <c r="BR17" s="29" t="s">
        <v>17</v>
      </c>
      <c r="BS17" s="29" t="s">
        <v>17</v>
      </c>
      <c r="BT17" s="29" t="s">
        <v>17</v>
      </c>
      <c r="BU17" s="29" t="s">
        <v>17</v>
      </c>
    </row>
    <row r="18" spans="1:73" x14ac:dyDescent="0.3">
      <c r="A18" s="2">
        <f t="shared" si="11"/>
        <v>99</v>
      </c>
      <c r="B18" s="12">
        <f t="shared" si="11"/>
        <v>16</v>
      </c>
      <c r="C18" s="24">
        <v>44660.708333333336</v>
      </c>
      <c r="D18" s="4">
        <v>24</v>
      </c>
      <c r="E18" s="4">
        <f t="shared" si="0"/>
        <v>360</v>
      </c>
      <c r="F18" s="5">
        <f t="shared" si="12"/>
        <v>15</v>
      </c>
      <c r="G18">
        <f t="shared" si="13"/>
        <v>0</v>
      </c>
      <c r="H18">
        <f t="shared" si="1"/>
        <v>0</v>
      </c>
      <c r="I18">
        <f t="shared" si="2"/>
        <v>22</v>
      </c>
      <c r="J18">
        <f t="shared" si="3"/>
        <v>4</v>
      </c>
      <c r="K18">
        <f t="shared" si="4"/>
        <v>0</v>
      </c>
      <c r="L18" s="86">
        <f>COUNTIF($X18:$BU18, "AM")</f>
        <v>0</v>
      </c>
      <c r="M18" s="86">
        <f>COUNTIF($X18:$BU18, "AF")</f>
        <v>0</v>
      </c>
      <c r="N18" s="28"/>
      <c r="O18">
        <f t="shared" si="5"/>
        <v>9</v>
      </c>
      <c r="P18">
        <f>COUNTIF($X18:$BU18, "L1_D")</f>
        <v>11</v>
      </c>
      <c r="Q18">
        <f t="shared" si="6"/>
        <v>4</v>
      </c>
      <c r="R18">
        <f t="shared" si="7"/>
        <v>0</v>
      </c>
      <c r="S18">
        <f t="shared" si="8"/>
        <v>0</v>
      </c>
      <c r="T18">
        <f t="shared" si="9"/>
        <v>0</v>
      </c>
      <c r="U18">
        <f t="shared" si="10"/>
        <v>0</v>
      </c>
      <c r="V18" s="28"/>
      <c r="X18" s="29" t="s">
        <v>10</v>
      </c>
      <c r="Y18" s="29" t="s">
        <v>10</v>
      </c>
      <c r="Z18" s="29" t="s">
        <v>10</v>
      </c>
      <c r="AA18" s="29" t="s">
        <v>18</v>
      </c>
      <c r="AB18" s="29" t="s">
        <v>8</v>
      </c>
      <c r="AC18" s="29" t="s">
        <v>8</v>
      </c>
      <c r="AD18" s="29" t="s">
        <v>8</v>
      </c>
      <c r="AE18" s="29" t="s">
        <v>18</v>
      </c>
      <c r="AF18" s="29" t="s">
        <v>8</v>
      </c>
      <c r="AG18" s="29" t="s">
        <v>8</v>
      </c>
      <c r="AH18" s="29" t="s">
        <v>8</v>
      </c>
      <c r="AI18" s="29" t="s">
        <v>18</v>
      </c>
      <c r="AJ18" s="29" t="s">
        <v>8</v>
      </c>
      <c r="AK18" s="29" t="s">
        <v>8</v>
      </c>
      <c r="AL18" s="29" t="s">
        <v>8</v>
      </c>
      <c r="AM18" s="29" t="s">
        <v>8</v>
      </c>
      <c r="AN18" s="29" t="s">
        <v>8</v>
      </c>
      <c r="AO18" s="29" t="s">
        <v>18</v>
      </c>
      <c r="AP18" s="29" t="s">
        <v>8</v>
      </c>
      <c r="AQ18" s="29" t="s">
        <v>18</v>
      </c>
      <c r="AR18" s="29" t="s">
        <v>22</v>
      </c>
      <c r="AS18" s="29" t="s">
        <v>8</v>
      </c>
      <c r="AT18" s="29" t="s">
        <v>8</v>
      </c>
      <c r="AU18" s="29" t="s">
        <v>10</v>
      </c>
      <c r="AV18" s="29" t="s">
        <v>8</v>
      </c>
      <c r="AW18" s="29" t="s">
        <v>8</v>
      </c>
      <c r="AX18" s="29" t="s">
        <v>18</v>
      </c>
      <c r="AY18" s="29" t="s">
        <v>8</v>
      </c>
      <c r="AZ18" s="29" t="s">
        <v>8</v>
      </c>
      <c r="BA18" s="29" t="s">
        <v>18</v>
      </c>
      <c r="BB18" s="29" t="s">
        <v>8</v>
      </c>
      <c r="BC18" s="29" t="s">
        <v>18</v>
      </c>
      <c r="BD18" s="29" t="s">
        <v>22</v>
      </c>
      <c r="BE18" s="29" t="s">
        <v>8</v>
      </c>
      <c r="BF18" s="29" t="s">
        <v>22</v>
      </c>
      <c r="BG18" s="29" t="s">
        <v>18</v>
      </c>
      <c r="BH18" s="29" t="s">
        <v>8</v>
      </c>
      <c r="BI18" s="29" t="s">
        <v>8</v>
      </c>
      <c r="BJ18" s="29" t="s">
        <v>18</v>
      </c>
      <c r="BK18" s="29" t="s">
        <v>22</v>
      </c>
      <c r="BL18" s="29" t="s">
        <v>18</v>
      </c>
      <c r="BM18" s="29" t="s">
        <v>17</v>
      </c>
      <c r="BN18" s="29" t="s">
        <v>17</v>
      </c>
      <c r="BO18" s="29" t="s">
        <v>17</v>
      </c>
      <c r="BP18" s="29" t="s">
        <v>17</v>
      </c>
      <c r="BQ18" s="29" t="s">
        <v>17</v>
      </c>
      <c r="BR18" s="29" t="s">
        <v>17</v>
      </c>
      <c r="BS18" s="29" t="s">
        <v>17</v>
      </c>
      <c r="BT18" s="29" t="s">
        <v>17</v>
      </c>
      <c r="BU18" s="29" t="s">
        <v>17</v>
      </c>
    </row>
    <row r="19" spans="1:73" x14ac:dyDescent="0.3">
      <c r="A19" s="2">
        <f t="shared" si="11"/>
        <v>100</v>
      </c>
      <c r="B19" s="12">
        <f t="shared" si="11"/>
        <v>17</v>
      </c>
      <c r="C19" s="24">
        <v>44661.708333333336</v>
      </c>
      <c r="D19" s="4">
        <v>24</v>
      </c>
      <c r="E19" s="4">
        <f t="shared" si="0"/>
        <v>384</v>
      </c>
      <c r="F19" s="5">
        <f t="shared" si="12"/>
        <v>16</v>
      </c>
      <c r="G19">
        <f t="shared" si="13"/>
        <v>0</v>
      </c>
      <c r="H19">
        <f t="shared" si="1"/>
        <v>0</v>
      </c>
      <c r="I19">
        <f t="shared" si="2"/>
        <v>13</v>
      </c>
      <c r="J19">
        <f t="shared" si="3"/>
        <v>12</v>
      </c>
      <c r="K19">
        <f t="shared" si="4"/>
        <v>0</v>
      </c>
      <c r="L19" s="86">
        <f>COUNTIF($X19:$BU19, "AM")</f>
        <v>0</v>
      </c>
      <c r="M19" s="86">
        <f>COUNTIF($X19:$BU19, "AF")</f>
        <v>0</v>
      </c>
      <c r="N19" s="28"/>
      <c r="O19">
        <f t="shared" si="5"/>
        <v>9</v>
      </c>
      <c r="P19">
        <f>COUNTIF($X19:$BU19, "L1_D")</f>
        <v>11</v>
      </c>
      <c r="Q19">
        <f t="shared" si="6"/>
        <v>5</v>
      </c>
      <c r="R19">
        <f t="shared" si="7"/>
        <v>0</v>
      </c>
      <c r="S19">
        <f t="shared" si="8"/>
        <v>0</v>
      </c>
      <c r="T19">
        <f t="shared" si="9"/>
        <v>0</v>
      </c>
      <c r="U19">
        <f t="shared" si="10"/>
        <v>0</v>
      </c>
      <c r="V19" s="28"/>
      <c r="X19" s="29" t="s">
        <v>10</v>
      </c>
      <c r="Y19" s="29" t="s">
        <v>10</v>
      </c>
      <c r="Z19" s="29" t="s">
        <v>10</v>
      </c>
      <c r="AA19" s="29" t="s">
        <v>18</v>
      </c>
      <c r="AB19" s="29" t="s">
        <v>22</v>
      </c>
      <c r="AC19" s="29" t="s">
        <v>8</v>
      </c>
      <c r="AD19" s="29" t="s">
        <v>10</v>
      </c>
      <c r="AE19" s="29" t="s">
        <v>18</v>
      </c>
      <c r="AF19" s="29" t="s">
        <v>10</v>
      </c>
      <c r="AG19" s="29" t="s">
        <v>10</v>
      </c>
      <c r="AH19" s="29" t="s">
        <v>10</v>
      </c>
      <c r="AI19" s="29" t="s">
        <v>18</v>
      </c>
      <c r="AJ19" s="29" t="s">
        <v>8</v>
      </c>
      <c r="AK19" s="29" t="s">
        <v>10</v>
      </c>
      <c r="AL19" s="29" t="s">
        <v>10</v>
      </c>
      <c r="AM19" s="29" t="s">
        <v>8</v>
      </c>
      <c r="AN19" s="29" t="s">
        <v>8</v>
      </c>
      <c r="AO19" s="29" t="s">
        <v>18</v>
      </c>
      <c r="AP19" s="29" t="s">
        <v>8</v>
      </c>
      <c r="AQ19" s="29" t="s">
        <v>18</v>
      </c>
      <c r="AR19" s="29" t="s">
        <v>22</v>
      </c>
      <c r="AS19" s="29" t="s">
        <v>8</v>
      </c>
      <c r="AT19" s="29" t="s">
        <v>8</v>
      </c>
      <c r="AU19" s="29" t="s">
        <v>10</v>
      </c>
      <c r="AV19" s="29" t="s">
        <v>8</v>
      </c>
      <c r="AW19" s="29" t="s">
        <v>8</v>
      </c>
      <c r="AX19" s="29" t="s">
        <v>18</v>
      </c>
      <c r="AY19" s="29" t="s">
        <v>8</v>
      </c>
      <c r="AZ19" s="29" t="s">
        <v>10</v>
      </c>
      <c r="BA19" s="29" t="s">
        <v>18</v>
      </c>
      <c r="BB19" s="29" t="s">
        <v>8</v>
      </c>
      <c r="BC19" s="29" t="s">
        <v>18</v>
      </c>
      <c r="BD19" s="29" t="s">
        <v>22</v>
      </c>
      <c r="BE19" s="29" t="s">
        <v>10</v>
      </c>
      <c r="BF19" s="29" t="s">
        <v>22</v>
      </c>
      <c r="BG19" s="29" t="s">
        <v>18</v>
      </c>
      <c r="BH19" s="29" t="s">
        <v>8</v>
      </c>
      <c r="BI19" s="29" t="s">
        <v>8</v>
      </c>
      <c r="BJ19" s="29" t="s">
        <v>18</v>
      </c>
      <c r="BK19" s="29" t="s">
        <v>22</v>
      </c>
      <c r="BL19" s="29" t="s">
        <v>18</v>
      </c>
      <c r="BM19" s="29" t="s">
        <v>17</v>
      </c>
      <c r="BN19" s="29" t="s">
        <v>17</v>
      </c>
      <c r="BO19" s="29" t="s">
        <v>17</v>
      </c>
      <c r="BP19" s="29" t="s">
        <v>17</v>
      </c>
      <c r="BQ19" s="29" t="s">
        <v>17</v>
      </c>
      <c r="BR19" s="29" t="s">
        <v>17</v>
      </c>
      <c r="BS19" s="29" t="s">
        <v>17</v>
      </c>
      <c r="BT19" s="29" t="s">
        <v>17</v>
      </c>
      <c r="BU19" s="29" t="s">
        <v>17</v>
      </c>
    </row>
    <row r="20" spans="1:73" x14ac:dyDescent="0.3">
      <c r="A20" s="2">
        <f t="shared" si="11"/>
        <v>101</v>
      </c>
      <c r="B20" s="12">
        <f t="shared" si="11"/>
        <v>18</v>
      </c>
      <c r="C20" s="24">
        <v>44662.708333333336</v>
      </c>
      <c r="D20" s="4">
        <v>24</v>
      </c>
      <c r="E20" s="4">
        <f t="shared" si="0"/>
        <v>408</v>
      </c>
      <c r="F20" s="5">
        <f t="shared" si="12"/>
        <v>17</v>
      </c>
      <c r="G20">
        <f t="shared" si="13"/>
        <v>0</v>
      </c>
      <c r="H20">
        <f t="shared" si="1"/>
        <v>0</v>
      </c>
      <c r="I20">
        <f t="shared" si="2"/>
        <v>7</v>
      </c>
      <c r="J20">
        <f t="shared" si="3"/>
        <v>18</v>
      </c>
      <c r="K20">
        <f t="shared" si="4"/>
        <v>0</v>
      </c>
      <c r="L20" s="86">
        <f>COUNTIF($X20:$BU20, "AM")</f>
        <v>0</v>
      </c>
      <c r="M20" s="86">
        <f>COUNTIF($X20:$BU20, "AF")</f>
        <v>0</v>
      </c>
      <c r="N20" s="28"/>
      <c r="O20">
        <f t="shared" si="5"/>
        <v>9</v>
      </c>
      <c r="P20">
        <f>COUNTIF($X20:$BU20, "L1_D")</f>
        <v>11</v>
      </c>
      <c r="Q20">
        <f t="shared" si="6"/>
        <v>5</v>
      </c>
      <c r="R20">
        <f t="shared" si="7"/>
        <v>0</v>
      </c>
      <c r="S20">
        <f t="shared" si="8"/>
        <v>0</v>
      </c>
      <c r="T20">
        <f t="shared" si="9"/>
        <v>0</v>
      </c>
      <c r="U20">
        <f t="shared" si="10"/>
        <v>0</v>
      </c>
      <c r="V20" s="28"/>
      <c r="X20" s="29" t="s">
        <v>10</v>
      </c>
      <c r="Y20" s="29" t="s">
        <v>10</v>
      </c>
      <c r="Z20" s="29" t="s">
        <v>10</v>
      </c>
      <c r="AA20" s="29" t="s">
        <v>18</v>
      </c>
      <c r="AB20" s="29" t="s">
        <v>22</v>
      </c>
      <c r="AC20" s="29" t="s">
        <v>8</v>
      </c>
      <c r="AD20" s="29" t="s">
        <v>10</v>
      </c>
      <c r="AE20" s="29" t="s">
        <v>18</v>
      </c>
      <c r="AF20" s="29" t="s">
        <v>10</v>
      </c>
      <c r="AG20" s="29" t="s">
        <v>10</v>
      </c>
      <c r="AH20" s="29" t="s">
        <v>10</v>
      </c>
      <c r="AI20" s="29" t="s">
        <v>18</v>
      </c>
      <c r="AJ20" s="29" t="s">
        <v>8</v>
      </c>
      <c r="AK20" s="29" t="s">
        <v>10</v>
      </c>
      <c r="AL20" s="29" t="s">
        <v>10</v>
      </c>
      <c r="AM20" s="29" t="s">
        <v>10</v>
      </c>
      <c r="AN20" s="29" t="s">
        <v>10</v>
      </c>
      <c r="AO20" s="29" t="s">
        <v>18</v>
      </c>
      <c r="AP20" s="29" t="s">
        <v>10</v>
      </c>
      <c r="AQ20" s="29" t="s">
        <v>18</v>
      </c>
      <c r="AR20" s="29" t="s">
        <v>22</v>
      </c>
      <c r="AS20" s="29" t="s">
        <v>8</v>
      </c>
      <c r="AT20" s="29" t="s">
        <v>10</v>
      </c>
      <c r="AU20" s="29" t="s">
        <v>10</v>
      </c>
      <c r="AV20" s="29" t="s">
        <v>8</v>
      </c>
      <c r="AW20" s="29" t="s">
        <v>8</v>
      </c>
      <c r="AX20" s="29" t="s">
        <v>18</v>
      </c>
      <c r="AY20" s="29" t="s">
        <v>8</v>
      </c>
      <c r="AZ20" s="29" t="s">
        <v>10</v>
      </c>
      <c r="BA20" s="29" t="s">
        <v>18</v>
      </c>
      <c r="BB20" s="29" t="s">
        <v>8</v>
      </c>
      <c r="BC20" s="29" t="s">
        <v>18</v>
      </c>
      <c r="BD20" s="29" t="s">
        <v>22</v>
      </c>
      <c r="BE20" s="29" t="s">
        <v>10</v>
      </c>
      <c r="BF20" s="29" t="s">
        <v>22</v>
      </c>
      <c r="BG20" s="29" t="s">
        <v>18</v>
      </c>
      <c r="BH20" s="29" t="s">
        <v>10</v>
      </c>
      <c r="BI20" s="29" t="s">
        <v>10</v>
      </c>
      <c r="BJ20" s="29" t="s">
        <v>18</v>
      </c>
      <c r="BK20" s="29" t="s">
        <v>22</v>
      </c>
      <c r="BL20" s="29" t="s">
        <v>18</v>
      </c>
      <c r="BM20" s="29" t="s">
        <v>17</v>
      </c>
      <c r="BN20" s="29" t="s">
        <v>17</v>
      </c>
      <c r="BO20" s="29" t="s">
        <v>17</v>
      </c>
      <c r="BP20" s="29" t="s">
        <v>17</v>
      </c>
      <c r="BQ20" s="29" t="s">
        <v>17</v>
      </c>
      <c r="BR20" s="29" t="s">
        <v>17</v>
      </c>
      <c r="BS20" s="29" t="s">
        <v>17</v>
      </c>
      <c r="BT20" s="29" t="s">
        <v>17</v>
      </c>
      <c r="BU20" s="29" t="s">
        <v>17</v>
      </c>
    </row>
    <row r="21" spans="1:73" x14ac:dyDescent="0.3">
      <c r="A21" s="2">
        <f t="shared" ref="A21:B36" si="14">A20+1</f>
        <v>102</v>
      </c>
      <c r="B21" s="12">
        <f t="shared" si="14"/>
        <v>19</v>
      </c>
      <c r="C21" s="24">
        <v>44663.708333333336</v>
      </c>
      <c r="D21" s="4">
        <v>24</v>
      </c>
      <c r="E21" s="4">
        <f t="shared" si="0"/>
        <v>432</v>
      </c>
      <c r="F21" s="5">
        <f t="shared" si="12"/>
        <v>18</v>
      </c>
      <c r="G21">
        <f t="shared" si="13"/>
        <v>0</v>
      </c>
      <c r="H21">
        <f t="shared" si="1"/>
        <v>0</v>
      </c>
      <c r="I21">
        <f t="shared" si="2"/>
        <v>4</v>
      </c>
      <c r="J21">
        <f t="shared" si="3"/>
        <v>20</v>
      </c>
      <c r="K21">
        <f t="shared" si="4"/>
        <v>0</v>
      </c>
      <c r="L21" s="86">
        <f>COUNTIF($X21:$BU21, "AM")</f>
        <v>0</v>
      </c>
      <c r="M21" s="86">
        <f>COUNTIF($X21:$BU21, "AF")</f>
        <v>0</v>
      </c>
      <c r="N21" s="28"/>
      <c r="O21">
        <f t="shared" si="5"/>
        <v>9</v>
      </c>
      <c r="P21">
        <f>COUNTIF($X21:$BU21, "L1_D")</f>
        <v>11</v>
      </c>
      <c r="Q21">
        <f t="shared" si="6"/>
        <v>6</v>
      </c>
      <c r="R21">
        <f t="shared" si="7"/>
        <v>0</v>
      </c>
      <c r="S21">
        <f t="shared" si="8"/>
        <v>0</v>
      </c>
      <c r="T21">
        <f t="shared" si="9"/>
        <v>0</v>
      </c>
      <c r="U21">
        <f t="shared" si="10"/>
        <v>0</v>
      </c>
      <c r="V21" s="28"/>
      <c r="X21" s="29" t="s">
        <v>10</v>
      </c>
      <c r="Y21" s="29" t="s">
        <v>10</v>
      </c>
      <c r="Z21" s="29" t="s">
        <v>10</v>
      </c>
      <c r="AA21" s="29" t="s">
        <v>18</v>
      </c>
      <c r="AB21" s="29" t="s">
        <v>22</v>
      </c>
      <c r="AC21" s="29" t="s">
        <v>10</v>
      </c>
      <c r="AD21" s="29" t="s">
        <v>10</v>
      </c>
      <c r="AE21" s="29" t="s">
        <v>18</v>
      </c>
      <c r="AF21" s="29" t="s">
        <v>10</v>
      </c>
      <c r="AG21" s="29" t="s">
        <v>10</v>
      </c>
      <c r="AH21" s="29" t="s">
        <v>10</v>
      </c>
      <c r="AI21" s="29" t="s">
        <v>18</v>
      </c>
      <c r="AJ21" s="29" t="s">
        <v>10</v>
      </c>
      <c r="AK21" s="29" t="s">
        <v>10</v>
      </c>
      <c r="AL21" s="29" t="s">
        <v>10</v>
      </c>
      <c r="AM21" s="29" t="s">
        <v>10</v>
      </c>
      <c r="AN21" s="29" t="s">
        <v>10</v>
      </c>
      <c r="AO21" s="29" t="s">
        <v>18</v>
      </c>
      <c r="AP21" s="29" t="s">
        <v>10</v>
      </c>
      <c r="AQ21" s="29" t="s">
        <v>18</v>
      </c>
      <c r="AR21" s="29" t="s">
        <v>22</v>
      </c>
      <c r="AS21" s="29" t="s">
        <v>8</v>
      </c>
      <c r="AT21" s="29" t="s">
        <v>10</v>
      </c>
      <c r="AU21" s="29" t="s">
        <v>10</v>
      </c>
      <c r="AV21" s="29" t="s">
        <v>8</v>
      </c>
      <c r="AW21" s="29" t="s">
        <v>8</v>
      </c>
      <c r="AX21" s="29" t="s">
        <v>18</v>
      </c>
      <c r="AY21" s="29" t="s">
        <v>8</v>
      </c>
      <c r="AZ21" s="29" t="s">
        <v>10</v>
      </c>
      <c r="BA21" s="29" t="s">
        <v>18</v>
      </c>
      <c r="BB21" s="29" t="s">
        <v>22</v>
      </c>
      <c r="BC21" s="29" t="s">
        <v>18</v>
      </c>
      <c r="BD21" s="29" t="s">
        <v>22</v>
      </c>
      <c r="BE21" s="29" t="s">
        <v>10</v>
      </c>
      <c r="BF21" s="29" t="s">
        <v>22</v>
      </c>
      <c r="BG21" s="29" t="s">
        <v>18</v>
      </c>
      <c r="BH21" s="29" t="s">
        <v>10</v>
      </c>
      <c r="BI21" s="29" t="s">
        <v>10</v>
      </c>
      <c r="BJ21" s="29" t="s">
        <v>18</v>
      </c>
      <c r="BK21" s="29" t="s">
        <v>22</v>
      </c>
      <c r="BL21" s="29" t="s">
        <v>18</v>
      </c>
      <c r="BM21" s="29" t="s">
        <v>17</v>
      </c>
      <c r="BN21" s="29" t="s">
        <v>17</v>
      </c>
      <c r="BO21" s="29" t="s">
        <v>17</v>
      </c>
      <c r="BP21" s="29" t="s">
        <v>17</v>
      </c>
      <c r="BQ21" s="29" t="s">
        <v>17</v>
      </c>
      <c r="BR21" s="29" t="s">
        <v>17</v>
      </c>
      <c r="BS21" s="29" t="s">
        <v>17</v>
      </c>
      <c r="BT21" s="29" t="s">
        <v>17</v>
      </c>
      <c r="BU21" s="29" t="s">
        <v>17</v>
      </c>
    </row>
    <row r="22" spans="1:73" x14ac:dyDescent="0.3">
      <c r="A22" s="2">
        <f t="shared" si="14"/>
        <v>103</v>
      </c>
      <c r="B22" s="12">
        <f t="shared" si="14"/>
        <v>20</v>
      </c>
      <c r="C22" s="24">
        <v>44664.708333333336</v>
      </c>
      <c r="D22" s="4">
        <v>24</v>
      </c>
      <c r="E22" s="4">
        <f t="shared" si="0"/>
        <v>456</v>
      </c>
      <c r="F22" s="5">
        <f t="shared" si="12"/>
        <v>19</v>
      </c>
      <c r="G22">
        <f t="shared" si="13"/>
        <v>0</v>
      </c>
      <c r="H22">
        <f t="shared" si="1"/>
        <v>0</v>
      </c>
      <c r="I22">
        <f t="shared" si="2"/>
        <v>2</v>
      </c>
      <c r="J22">
        <f t="shared" si="3"/>
        <v>21</v>
      </c>
      <c r="K22">
        <f t="shared" si="4"/>
        <v>0</v>
      </c>
      <c r="L22" s="86">
        <f>COUNTIF($X22:$BU22, "AM")</f>
        <v>0</v>
      </c>
      <c r="M22" s="86">
        <f>COUNTIF($X22:$BU22, "AF")</f>
        <v>0</v>
      </c>
      <c r="N22" s="28"/>
      <c r="O22">
        <f t="shared" si="5"/>
        <v>9</v>
      </c>
      <c r="P22">
        <f>COUNTIF($X22:$BU22, "L1_D")</f>
        <v>11</v>
      </c>
      <c r="Q22">
        <f t="shared" si="6"/>
        <v>7</v>
      </c>
      <c r="R22">
        <f t="shared" si="7"/>
        <v>0</v>
      </c>
      <c r="S22">
        <f t="shared" si="8"/>
        <v>0</v>
      </c>
      <c r="T22">
        <f t="shared" si="9"/>
        <v>0</v>
      </c>
      <c r="U22">
        <f t="shared" si="10"/>
        <v>0</v>
      </c>
      <c r="V22" s="28"/>
      <c r="X22" s="29" t="s">
        <v>10</v>
      </c>
      <c r="Y22" s="29" t="s">
        <v>10</v>
      </c>
      <c r="Z22" s="29" t="s">
        <v>10</v>
      </c>
      <c r="AA22" s="29" t="s">
        <v>18</v>
      </c>
      <c r="AB22" s="29" t="s">
        <v>22</v>
      </c>
      <c r="AC22" s="29" t="s">
        <v>10</v>
      </c>
      <c r="AD22" s="29" t="s">
        <v>10</v>
      </c>
      <c r="AE22" s="29" t="s">
        <v>18</v>
      </c>
      <c r="AF22" s="29" t="s">
        <v>10</v>
      </c>
      <c r="AG22" s="29" t="s">
        <v>10</v>
      </c>
      <c r="AH22" s="29" t="s">
        <v>10</v>
      </c>
      <c r="AI22" s="29" t="s">
        <v>18</v>
      </c>
      <c r="AJ22" s="29" t="s">
        <v>10</v>
      </c>
      <c r="AK22" s="29" t="s">
        <v>10</v>
      </c>
      <c r="AL22" s="29" t="s">
        <v>10</v>
      </c>
      <c r="AM22" s="29" t="s">
        <v>10</v>
      </c>
      <c r="AN22" s="29" t="s">
        <v>10</v>
      </c>
      <c r="AO22" s="29" t="s">
        <v>18</v>
      </c>
      <c r="AP22" s="29" t="s">
        <v>10</v>
      </c>
      <c r="AQ22" s="29" t="s">
        <v>18</v>
      </c>
      <c r="AR22" s="29" t="s">
        <v>22</v>
      </c>
      <c r="AS22" s="29" t="s">
        <v>8</v>
      </c>
      <c r="AT22" s="29" t="s">
        <v>10</v>
      </c>
      <c r="AU22" s="29" t="s">
        <v>10</v>
      </c>
      <c r="AV22" s="29" t="s">
        <v>10</v>
      </c>
      <c r="AW22" s="29" t="s">
        <v>8</v>
      </c>
      <c r="AX22" s="29" t="s">
        <v>18</v>
      </c>
      <c r="AY22" s="29" t="s">
        <v>22</v>
      </c>
      <c r="AZ22" s="29" t="s">
        <v>10</v>
      </c>
      <c r="BA22" s="29" t="s">
        <v>18</v>
      </c>
      <c r="BB22" s="29" t="s">
        <v>22</v>
      </c>
      <c r="BC22" s="29" t="s">
        <v>18</v>
      </c>
      <c r="BD22" s="29" t="s">
        <v>22</v>
      </c>
      <c r="BE22" s="29" t="s">
        <v>10</v>
      </c>
      <c r="BF22" s="29" t="s">
        <v>22</v>
      </c>
      <c r="BG22" s="29" t="s">
        <v>18</v>
      </c>
      <c r="BH22" s="29" t="s">
        <v>10</v>
      </c>
      <c r="BI22" s="29" t="s">
        <v>10</v>
      </c>
      <c r="BJ22" s="29" t="s">
        <v>18</v>
      </c>
      <c r="BK22" s="29" t="s">
        <v>22</v>
      </c>
      <c r="BL22" s="29" t="s">
        <v>18</v>
      </c>
      <c r="BM22" s="29" t="s">
        <v>17</v>
      </c>
      <c r="BN22" s="29" t="s">
        <v>17</v>
      </c>
      <c r="BO22" s="29" t="s">
        <v>17</v>
      </c>
      <c r="BP22" s="29" t="s">
        <v>17</v>
      </c>
      <c r="BQ22" s="29" t="s">
        <v>17</v>
      </c>
      <c r="BR22" s="29" t="s">
        <v>17</v>
      </c>
      <c r="BS22" s="29" t="s">
        <v>17</v>
      </c>
      <c r="BT22" s="29" t="s">
        <v>17</v>
      </c>
      <c r="BU22" s="29" t="s">
        <v>17</v>
      </c>
    </row>
    <row r="23" spans="1:73" x14ac:dyDescent="0.3">
      <c r="A23" s="2">
        <f t="shared" si="14"/>
        <v>104</v>
      </c>
      <c r="B23" s="12">
        <f t="shared" si="14"/>
        <v>21</v>
      </c>
      <c r="C23" s="24">
        <v>44665.708333333336</v>
      </c>
      <c r="D23" s="4">
        <v>24</v>
      </c>
      <c r="E23" s="4">
        <f t="shared" si="0"/>
        <v>480</v>
      </c>
      <c r="F23" s="5">
        <f t="shared" si="12"/>
        <v>20</v>
      </c>
      <c r="G23">
        <f t="shared" si="13"/>
        <v>0</v>
      </c>
      <c r="H23">
        <f t="shared" si="1"/>
        <v>0</v>
      </c>
      <c r="I23">
        <f t="shared" si="2"/>
        <v>2</v>
      </c>
      <c r="J23">
        <f t="shared" si="3"/>
        <v>21</v>
      </c>
      <c r="K23">
        <f t="shared" si="4"/>
        <v>0</v>
      </c>
      <c r="L23" s="86">
        <f>COUNTIF($X23:$BU23, "AM")</f>
        <v>0</v>
      </c>
      <c r="M23" s="86">
        <f>COUNTIF($X23:$BU23, "AF")</f>
        <v>0</v>
      </c>
      <c r="N23" s="28"/>
      <c r="O23">
        <f t="shared" si="5"/>
        <v>9</v>
      </c>
      <c r="P23">
        <f>COUNTIF($X23:$BU23, "L1_D")</f>
        <v>11</v>
      </c>
      <c r="Q23">
        <f t="shared" si="6"/>
        <v>7</v>
      </c>
      <c r="R23">
        <f t="shared" si="7"/>
        <v>0</v>
      </c>
      <c r="S23">
        <f t="shared" si="8"/>
        <v>0</v>
      </c>
      <c r="T23">
        <f t="shared" si="9"/>
        <v>0</v>
      </c>
      <c r="U23">
        <f t="shared" si="10"/>
        <v>0</v>
      </c>
      <c r="V23" s="28"/>
      <c r="X23" s="29" t="s">
        <v>10</v>
      </c>
      <c r="Y23" s="29" t="s">
        <v>10</v>
      </c>
      <c r="Z23" s="29" t="s">
        <v>10</v>
      </c>
      <c r="AA23" s="29" t="s">
        <v>18</v>
      </c>
      <c r="AB23" s="29" t="s">
        <v>22</v>
      </c>
      <c r="AC23" s="29" t="s">
        <v>10</v>
      </c>
      <c r="AD23" s="29" t="s">
        <v>10</v>
      </c>
      <c r="AE23" s="29" t="s">
        <v>18</v>
      </c>
      <c r="AF23" s="29" t="s">
        <v>10</v>
      </c>
      <c r="AG23" s="29" t="s">
        <v>10</v>
      </c>
      <c r="AH23" s="29" t="s">
        <v>10</v>
      </c>
      <c r="AI23" s="29" t="s">
        <v>18</v>
      </c>
      <c r="AJ23" s="29" t="s">
        <v>10</v>
      </c>
      <c r="AK23" s="29" t="s">
        <v>10</v>
      </c>
      <c r="AL23" s="29" t="s">
        <v>10</v>
      </c>
      <c r="AM23" s="29" t="s">
        <v>10</v>
      </c>
      <c r="AN23" s="29" t="s">
        <v>10</v>
      </c>
      <c r="AO23" s="29" t="s">
        <v>18</v>
      </c>
      <c r="AP23" s="29" t="s">
        <v>10</v>
      </c>
      <c r="AQ23" s="29" t="s">
        <v>18</v>
      </c>
      <c r="AR23" s="29" t="s">
        <v>22</v>
      </c>
      <c r="AS23" s="29" t="s">
        <v>8</v>
      </c>
      <c r="AT23" s="29" t="s">
        <v>10</v>
      </c>
      <c r="AU23" s="29" t="s">
        <v>10</v>
      </c>
      <c r="AV23" s="29" t="s">
        <v>10</v>
      </c>
      <c r="AW23" s="29" t="s">
        <v>8</v>
      </c>
      <c r="AX23" s="29" t="s">
        <v>18</v>
      </c>
      <c r="AY23" s="29" t="s">
        <v>22</v>
      </c>
      <c r="AZ23" s="29" t="s">
        <v>10</v>
      </c>
      <c r="BA23" s="29" t="s">
        <v>18</v>
      </c>
      <c r="BB23" s="29" t="s">
        <v>22</v>
      </c>
      <c r="BC23" s="29" t="s">
        <v>18</v>
      </c>
      <c r="BD23" s="29" t="s">
        <v>22</v>
      </c>
      <c r="BE23" s="29" t="s">
        <v>10</v>
      </c>
      <c r="BF23" s="29" t="s">
        <v>22</v>
      </c>
      <c r="BG23" s="29" t="s">
        <v>18</v>
      </c>
      <c r="BH23" s="29" t="s">
        <v>10</v>
      </c>
      <c r="BI23" s="29" t="s">
        <v>10</v>
      </c>
      <c r="BJ23" s="29" t="s">
        <v>18</v>
      </c>
      <c r="BK23" s="29" t="s">
        <v>22</v>
      </c>
      <c r="BL23" s="29" t="s">
        <v>18</v>
      </c>
      <c r="BM23" s="29" t="s">
        <v>17</v>
      </c>
      <c r="BN23" s="29" t="s">
        <v>17</v>
      </c>
      <c r="BO23" s="29" t="s">
        <v>17</v>
      </c>
      <c r="BP23" s="29" t="s">
        <v>17</v>
      </c>
      <c r="BQ23" s="29" t="s">
        <v>17</v>
      </c>
      <c r="BR23" s="29" t="s">
        <v>17</v>
      </c>
      <c r="BS23" s="29" t="s">
        <v>17</v>
      </c>
      <c r="BT23" s="29" t="s">
        <v>17</v>
      </c>
      <c r="BU23" s="29" t="s">
        <v>17</v>
      </c>
    </row>
    <row r="24" spans="1:73" x14ac:dyDescent="0.3">
      <c r="A24" s="2">
        <f t="shared" si="14"/>
        <v>105</v>
      </c>
      <c r="B24" s="12">
        <f t="shared" si="14"/>
        <v>22</v>
      </c>
      <c r="C24" s="24">
        <v>44666.708333333336</v>
      </c>
      <c r="D24" s="4">
        <v>24</v>
      </c>
      <c r="E24" s="4">
        <f t="shared" si="0"/>
        <v>504</v>
      </c>
      <c r="F24" s="5">
        <f t="shared" si="12"/>
        <v>21</v>
      </c>
      <c r="G24">
        <f t="shared" si="13"/>
        <v>0</v>
      </c>
      <c r="H24">
        <f t="shared" si="1"/>
        <v>0</v>
      </c>
      <c r="I24">
        <f t="shared" si="2"/>
        <v>0</v>
      </c>
      <c r="J24">
        <f t="shared" si="3"/>
        <v>21</v>
      </c>
      <c r="K24">
        <f t="shared" si="4"/>
        <v>2</v>
      </c>
      <c r="L24" s="86">
        <f>COUNTIF($X24:$BU24, "AM")</f>
        <v>0</v>
      </c>
      <c r="M24" s="86">
        <f>COUNTIF($X24:$BU24, "AF")</f>
        <v>0</v>
      </c>
      <c r="N24" s="28"/>
      <c r="O24">
        <f t="shared" si="5"/>
        <v>9</v>
      </c>
      <c r="P24">
        <f>COUNTIF($X24:$BU24, "L1_D")</f>
        <v>11</v>
      </c>
      <c r="Q24">
        <f t="shared" si="6"/>
        <v>7</v>
      </c>
      <c r="R24">
        <f t="shared" si="7"/>
        <v>0</v>
      </c>
      <c r="S24">
        <f t="shared" si="8"/>
        <v>0</v>
      </c>
      <c r="T24">
        <f t="shared" si="9"/>
        <v>0</v>
      </c>
      <c r="U24">
        <f t="shared" si="10"/>
        <v>0</v>
      </c>
      <c r="V24" s="28"/>
      <c r="X24" s="29" t="s">
        <v>10</v>
      </c>
      <c r="Y24" s="29" t="s">
        <v>11</v>
      </c>
      <c r="Z24" s="29" t="s">
        <v>11</v>
      </c>
      <c r="AA24" s="29" t="s">
        <v>18</v>
      </c>
      <c r="AB24" s="29" t="s">
        <v>22</v>
      </c>
      <c r="AC24" s="29" t="s">
        <v>10</v>
      </c>
      <c r="AD24" s="29" t="s">
        <v>10</v>
      </c>
      <c r="AE24" s="29" t="s">
        <v>18</v>
      </c>
      <c r="AF24" s="29" t="s">
        <v>10</v>
      </c>
      <c r="AG24" s="29" t="s">
        <v>10</v>
      </c>
      <c r="AH24" s="29" t="s">
        <v>10</v>
      </c>
      <c r="AI24" s="29" t="s">
        <v>18</v>
      </c>
      <c r="AJ24" s="29" t="s">
        <v>10</v>
      </c>
      <c r="AK24" s="29" t="s">
        <v>10</v>
      </c>
      <c r="AL24" s="29" t="s">
        <v>10</v>
      </c>
      <c r="AM24" s="29" t="s">
        <v>10</v>
      </c>
      <c r="AN24" s="29" t="s">
        <v>10</v>
      </c>
      <c r="AO24" s="29" t="s">
        <v>18</v>
      </c>
      <c r="AP24" s="29" t="s">
        <v>10</v>
      </c>
      <c r="AQ24" s="29" t="s">
        <v>18</v>
      </c>
      <c r="AR24" s="29" t="s">
        <v>22</v>
      </c>
      <c r="AS24" s="29" t="s">
        <v>10</v>
      </c>
      <c r="AT24" s="29" t="s">
        <v>10</v>
      </c>
      <c r="AU24" s="29" t="s">
        <v>10</v>
      </c>
      <c r="AV24" s="29" t="s">
        <v>10</v>
      </c>
      <c r="AW24" s="29" t="s">
        <v>10</v>
      </c>
      <c r="AX24" s="29" t="s">
        <v>18</v>
      </c>
      <c r="AY24" s="29" t="s">
        <v>22</v>
      </c>
      <c r="AZ24" s="29" t="s">
        <v>10</v>
      </c>
      <c r="BA24" s="29" t="s">
        <v>18</v>
      </c>
      <c r="BB24" s="29" t="s">
        <v>22</v>
      </c>
      <c r="BC24" s="29" t="s">
        <v>18</v>
      </c>
      <c r="BD24" s="29" t="s">
        <v>22</v>
      </c>
      <c r="BE24" s="29" t="s">
        <v>10</v>
      </c>
      <c r="BF24" s="29" t="s">
        <v>22</v>
      </c>
      <c r="BG24" s="29" t="s">
        <v>18</v>
      </c>
      <c r="BH24" s="29" t="s">
        <v>10</v>
      </c>
      <c r="BI24" s="29" t="s">
        <v>10</v>
      </c>
      <c r="BJ24" s="29" t="s">
        <v>18</v>
      </c>
      <c r="BK24" s="29" t="s">
        <v>22</v>
      </c>
      <c r="BL24" s="29" t="s">
        <v>18</v>
      </c>
      <c r="BM24" s="29" t="s">
        <v>17</v>
      </c>
      <c r="BN24" s="29" t="s">
        <v>17</v>
      </c>
      <c r="BO24" s="29" t="s">
        <v>17</v>
      </c>
      <c r="BP24" s="29" t="s">
        <v>17</v>
      </c>
      <c r="BQ24" s="29" t="s">
        <v>17</v>
      </c>
      <c r="BR24" s="29" t="s">
        <v>17</v>
      </c>
      <c r="BS24" s="29" t="s">
        <v>17</v>
      </c>
      <c r="BT24" s="29" t="s">
        <v>17</v>
      </c>
      <c r="BU24" s="29" t="s">
        <v>17</v>
      </c>
    </row>
    <row r="25" spans="1:73" x14ac:dyDescent="0.3">
      <c r="A25" s="2">
        <f t="shared" si="14"/>
        <v>106</v>
      </c>
      <c r="B25" s="12">
        <f t="shared" si="14"/>
        <v>23</v>
      </c>
      <c r="C25" s="24">
        <v>44667.708333333336</v>
      </c>
      <c r="D25" s="4">
        <v>24</v>
      </c>
      <c r="E25" s="4">
        <f t="shared" si="0"/>
        <v>528</v>
      </c>
      <c r="F25" s="5">
        <f t="shared" si="12"/>
        <v>22</v>
      </c>
      <c r="G25">
        <f t="shared" si="13"/>
        <v>0</v>
      </c>
      <c r="H25">
        <f t="shared" si="1"/>
        <v>0</v>
      </c>
      <c r="I25">
        <f t="shared" si="2"/>
        <v>0</v>
      </c>
      <c r="J25">
        <f t="shared" si="3"/>
        <v>21</v>
      </c>
      <c r="K25">
        <f t="shared" si="4"/>
        <v>2</v>
      </c>
      <c r="L25" s="86">
        <f>COUNTIF($X25:$BU25, "AM")</f>
        <v>0</v>
      </c>
      <c r="M25" s="86">
        <f>COUNTIF($X25:$BU25, "AF")</f>
        <v>0</v>
      </c>
      <c r="N25" s="28"/>
      <c r="O25">
        <f t="shared" si="5"/>
        <v>9</v>
      </c>
      <c r="P25">
        <f>COUNTIF($X25:$BU25, "L1_D")</f>
        <v>11</v>
      </c>
      <c r="Q25">
        <f t="shared" si="6"/>
        <v>7</v>
      </c>
      <c r="R25">
        <f t="shared" si="7"/>
        <v>0</v>
      </c>
      <c r="S25">
        <f t="shared" si="8"/>
        <v>0</v>
      </c>
      <c r="T25">
        <f t="shared" si="9"/>
        <v>0</v>
      </c>
      <c r="U25">
        <f t="shared" si="10"/>
        <v>0</v>
      </c>
      <c r="V25" s="28"/>
      <c r="X25" s="29" t="s">
        <v>10</v>
      </c>
      <c r="Y25" s="29" t="s">
        <v>11</v>
      </c>
      <c r="Z25" s="29" t="s">
        <v>11</v>
      </c>
      <c r="AA25" s="29" t="s">
        <v>18</v>
      </c>
      <c r="AB25" s="29" t="s">
        <v>22</v>
      </c>
      <c r="AC25" s="29" t="s">
        <v>10</v>
      </c>
      <c r="AD25" s="29" t="s">
        <v>10</v>
      </c>
      <c r="AE25" s="29" t="s">
        <v>18</v>
      </c>
      <c r="AF25" s="29" t="s">
        <v>10</v>
      </c>
      <c r="AG25" s="29" t="s">
        <v>10</v>
      </c>
      <c r="AH25" s="29" t="s">
        <v>10</v>
      </c>
      <c r="AI25" s="29" t="s">
        <v>18</v>
      </c>
      <c r="AJ25" s="29" t="s">
        <v>10</v>
      </c>
      <c r="AK25" s="29" t="s">
        <v>10</v>
      </c>
      <c r="AL25" s="29" t="s">
        <v>10</v>
      </c>
      <c r="AM25" s="29" t="s">
        <v>10</v>
      </c>
      <c r="AN25" s="29" t="s">
        <v>10</v>
      </c>
      <c r="AO25" s="29" t="s">
        <v>18</v>
      </c>
      <c r="AP25" s="29" t="s">
        <v>10</v>
      </c>
      <c r="AQ25" s="29" t="s">
        <v>18</v>
      </c>
      <c r="AR25" s="29" t="s">
        <v>22</v>
      </c>
      <c r="AS25" s="29" t="s">
        <v>10</v>
      </c>
      <c r="AT25" s="29" t="s">
        <v>10</v>
      </c>
      <c r="AU25" s="29" t="s">
        <v>10</v>
      </c>
      <c r="AV25" s="29" t="s">
        <v>10</v>
      </c>
      <c r="AW25" s="29" t="s">
        <v>10</v>
      </c>
      <c r="AX25" s="29" t="s">
        <v>18</v>
      </c>
      <c r="AY25" s="29" t="s">
        <v>22</v>
      </c>
      <c r="AZ25" s="29" t="s">
        <v>10</v>
      </c>
      <c r="BA25" s="29" t="s">
        <v>18</v>
      </c>
      <c r="BB25" s="29" t="s">
        <v>22</v>
      </c>
      <c r="BC25" s="29" t="s">
        <v>18</v>
      </c>
      <c r="BD25" s="29" t="s">
        <v>22</v>
      </c>
      <c r="BE25" s="29" t="s">
        <v>10</v>
      </c>
      <c r="BF25" s="29" t="s">
        <v>22</v>
      </c>
      <c r="BG25" s="29" t="s">
        <v>18</v>
      </c>
      <c r="BH25" s="29" t="s">
        <v>10</v>
      </c>
      <c r="BI25" s="29" t="s">
        <v>10</v>
      </c>
      <c r="BJ25" s="29" t="s">
        <v>18</v>
      </c>
      <c r="BK25" s="29" t="s">
        <v>22</v>
      </c>
      <c r="BL25" s="29" t="s">
        <v>18</v>
      </c>
      <c r="BM25" s="29" t="s">
        <v>17</v>
      </c>
      <c r="BN25" s="29" t="s">
        <v>17</v>
      </c>
      <c r="BO25" s="29" t="s">
        <v>17</v>
      </c>
      <c r="BP25" s="29" t="s">
        <v>17</v>
      </c>
      <c r="BQ25" s="29" t="s">
        <v>17</v>
      </c>
      <c r="BR25" s="29" t="s">
        <v>17</v>
      </c>
      <c r="BS25" s="29" t="s">
        <v>17</v>
      </c>
      <c r="BT25" s="29" t="s">
        <v>17</v>
      </c>
      <c r="BU25" s="29" t="s">
        <v>17</v>
      </c>
    </row>
    <row r="26" spans="1:73" x14ac:dyDescent="0.3">
      <c r="A26" s="2">
        <f t="shared" si="14"/>
        <v>107</v>
      </c>
      <c r="B26" s="12">
        <f t="shared" si="14"/>
        <v>24</v>
      </c>
      <c r="C26" s="24">
        <v>44668.708333333336</v>
      </c>
      <c r="D26" s="4">
        <v>24</v>
      </c>
      <c r="E26" s="4">
        <f t="shared" si="0"/>
        <v>552</v>
      </c>
      <c r="F26" s="5">
        <f t="shared" si="12"/>
        <v>23</v>
      </c>
      <c r="G26">
        <f t="shared" si="13"/>
        <v>0</v>
      </c>
      <c r="H26">
        <f t="shared" si="1"/>
        <v>0</v>
      </c>
      <c r="I26">
        <f t="shared" si="2"/>
        <v>0</v>
      </c>
      <c r="J26">
        <f t="shared" si="3"/>
        <v>16</v>
      </c>
      <c r="K26">
        <f t="shared" si="4"/>
        <v>7</v>
      </c>
      <c r="L26" s="86">
        <f>COUNTIF($X26:$BU26, "AM")</f>
        <v>0</v>
      </c>
      <c r="M26" s="86">
        <f>COUNTIF($X26:$BU26, "AF")</f>
        <v>0</v>
      </c>
      <c r="N26" s="28"/>
      <c r="O26">
        <f t="shared" si="5"/>
        <v>9</v>
      </c>
      <c r="P26">
        <f>COUNTIF($X26:$BU26, "L1_D")</f>
        <v>11</v>
      </c>
      <c r="Q26">
        <f t="shared" si="6"/>
        <v>7</v>
      </c>
      <c r="R26">
        <f t="shared" si="7"/>
        <v>0</v>
      </c>
      <c r="S26">
        <f t="shared" si="8"/>
        <v>0</v>
      </c>
      <c r="T26">
        <f t="shared" si="9"/>
        <v>0</v>
      </c>
      <c r="U26">
        <f t="shared" si="10"/>
        <v>0</v>
      </c>
      <c r="V26" s="28"/>
      <c r="X26" s="29" t="s">
        <v>10</v>
      </c>
      <c r="Y26" s="29" t="s">
        <v>11</v>
      </c>
      <c r="Z26" s="29" t="s">
        <v>11</v>
      </c>
      <c r="AA26" s="29" t="s">
        <v>18</v>
      </c>
      <c r="AB26" s="29" t="s">
        <v>22</v>
      </c>
      <c r="AC26" s="29" t="s">
        <v>10</v>
      </c>
      <c r="AD26" s="29" t="s">
        <v>11</v>
      </c>
      <c r="AE26" s="29" t="s">
        <v>18</v>
      </c>
      <c r="AF26" s="29" t="s">
        <v>10</v>
      </c>
      <c r="AG26" s="29" t="s">
        <v>10</v>
      </c>
      <c r="AH26" s="29" t="s">
        <v>10</v>
      </c>
      <c r="AI26" s="29" t="s">
        <v>18</v>
      </c>
      <c r="AJ26" s="29" t="s">
        <v>10</v>
      </c>
      <c r="AK26" s="29" t="s">
        <v>11</v>
      </c>
      <c r="AL26" s="29" t="s">
        <v>11</v>
      </c>
      <c r="AM26" s="29" t="s">
        <v>10</v>
      </c>
      <c r="AN26" s="29" t="s">
        <v>10</v>
      </c>
      <c r="AO26" s="29" t="s">
        <v>18</v>
      </c>
      <c r="AP26" s="29" t="s">
        <v>10</v>
      </c>
      <c r="AQ26" s="29" t="s">
        <v>18</v>
      </c>
      <c r="AR26" s="29" t="s">
        <v>22</v>
      </c>
      <c r="AS26" s="29" t="s">
        <v>10</v>
      </c>
      <c r="AT26" s="29" t="s">
        <v>10</v>
      </c>
      <c r="AU26" s="29" t="s">
        <v>10</v>
      </c>
      <c r="AV26" s="29" t="s">
        <v>10</v>
      </c>
      <c r="AW26" s="29" t="s">
        <v>10</v>
      </c>
      <c r="AX26" s="29" t="s">
        <v>18</v>
      </c>
      <c r="AY26" s="29" t="s">
        <v>22</v>
      </c>
      <c r="AZ26" s="29" t="s">
        <v>11</v>
      </c>
      <c r="BA26" s="29" t="s">
        <v>18</v>
      </c>
      <c r="BB26" s="29" t="s">
        <v>22</v>
      </c>
      <c r="BC26" s="29" t="s">
        <v>18</v>
      </c>
      <c r="BD26" s="29" t="s">
        <v>22</v>
      </c>
      <c r="BE26" s="29" t="s">
        <v>11</v>
      </c>
      <c r="BF26" s="29" t="s">
        <v>22</v>
      </c>
      <c r="BG26" s="29" t="s">
        <v>18</v>
      </c>
      <c r="BH26" s="29" t="s">
        <v>10</v>
      </c>
      <c r="BI26" s="29" t="s">
        <v>10</v>
      </c>
      <c r="BJ26" s="29" t="s">
        <v>18</v>
      </c>
      <c r="BK26" s="29" t="s">
        <v>22</v>
      </c>
      <c r="BL26" s="29" t="s">
        <v>18</v>
      </c>
      <c r="BM26" s="29" t="s">
        <v>17</v>
      </c>
      <c r="BN26" s="29" t="s">
        <v>17</v>
      </c>
      <c r="BO26" s="29" t="s">
        <v>17</v>
      </c>
      <c r="BP26" s="29" t="s">
        <v>17</v>
      </c>
      <c r="BQ26" s="29" t="s">
        <v>17</v>
      </c>
      <c r="BR26" s="29" t="s">
        <v>17</v>
      </c>
      <c r="BS26" s="29" t="s">
        <v>17</v>
      </c>
      <c r="BT26" s="29" t="s">
        <v>17</v>
      </c>
      <c r="BU26" s="29" t="s">
        <v>17</v>
      </c>
    </row>
    <row r="27" spans="1:73" x14ac:dyDescent="0.3">
      <c r="A27" s="2">
        <f t="shared" si="14"/>
        <v>108</v>
      </c>
      <c r="B27" s="12">
        <f t="shared" si="14"/>
        <v>25</v>
      </c>
      <c r="C27" s="24">
        <v>44669.708333333336</v>
      </c>
      <c r="D27" s="4">
        <v>24</v>
      </c>
      <c r="E27" s="4">
        <f t="shared" si="0"/>
        <v>576</v>
      </c>
      <c r="F27" s="5">
        <f t="shared" si="12"/>
        <v>24</v>
      </c>
      <c r="G27">
        <f t="shared" si="13"/>
        <v>0</v>
      </c>
      <c r="H27">
        <f t="shared" si="1"/>
        <v>0</v>
      </c>
      <c r="I27">
        <f t="shared" si="2"/>
        <v>0</v>
      </c>
      <c r="J27">
        <f t="shared" si="3"/>
        <v>15</v>
      </c>
      <c r="K27">
        <f t="shared" si="4"/>
        <v>8</v>
      </c>
      <c r="L27" s="86">
        <f>COUNTIF($X27:$BU27, "AM")</f>
        <v>0</v>
      </c>
      <c r="M27" s="86">
        <f>COUNTIF($X27:$BU27, "AF")</f>
        <v>0</v>
      </c>
      <c r="N27" s="28"/>
      <c r="O27">
        <f t="shared" si="5"/>
        <v>9</v>
      </c>
      <c r="P27">
        <f>COUNTIF($X27:$BU27, "L1_D")</f>
        <v>11</v>
      </c>
      <c r="Q27">
        <f t="shared" si="6"/>
        <v>7</v>
      </c>
      <c r="R27">
        <f t="shared" si="7"/>
        <v>0</v>
      </c>
      <c r="S27">
        <f t="shared" si="8"/>
        <v>0</v>
      </c>
      <c r="T27">
        <f t="shared" si="9"/>
        <v>0</v>
      </c>
      <c r="U27">
        <f t="shared" si="10"/>
        <v>0</v>
      </c>
      <c r="V27" s="28"/>
      <c r="X27" s="29" t="s">
        <v>10</v>
      </c>
      <c r="Y27" s="29" t="s">
        <v>11</v>
      </c>
      <c r="Z27" s="29" t="s">
        <v>11</v>
      </c>
      <c r="AA27" s="29" t="s">
        <v>18</v>
      </c>
      <c r="AB27" s="29" t="s">
        <v>22</v>
      </c>
      <c r="AC27" s="29" t="s">
        <v>10</v>
      </c>
      <c r="AD27" s="29" t="s">
        <v>11</v>
      </c>
      <c r="AE27" s="29" t="s">
        <v>18</v>
      </c>
      <c r="AF27" s="29" t="s">
        <v>10</v>
      </c>
      <c r="AG27" s="29" t="s">
        <v>10</v>
      </c>
      <c r="AH27" s="29" t="s">
        <v>10</v>
      </c>
      <c r="AI27" s="29" t="s">
        <v>18</v>
      </c>
      <c r="AJ27" s="29" t="s">
        <v>10</v>
      </c>
      <c r="AK27" s="29" t="s">
        <v>11</v>
      </c>
      <c r="AL27" s="29" t="s">
        <v>11</v>
      </c>
      <c r="AM27" s="29" t="s">
        <v>10</v>
      </c>
      <c r="AN27" s="29" t="s">
        <v>10</v>
      </c>
      <c r="AO27" s="29" t="s">
        <v>18</v>
      </c>
      <c r="AP27" s="29" t="s">
        <v>10</v>
      </c>
      <c r="AQ27" s="29" t="s">
        <v>18</v>
      </c>
      <c r="AR27" s="29" t="s">
        <v>22</v>
      </c>
      <c r="AS27" s="29" t="s">
        <v>10</v>
      </c>
      <c r="AT27" s="29" t="s">
        <v>10</v>
      </c>
      <c r="AU27" s="29" t="s">
        <v>11</v>
      </c>
      <c r="AV27" s="29" t="s">
        <v>10</v>
      </c>
      <c r="AW27" s="29" t="s">
        <v>10</v>
      </c>
      <c r="AX27" s="29" t="s">
        <v>18</v>
      </c>
      <c r="AY27" s="29" t="s">
        <v>22</v>
      </c>
      <c r="AZ27" s="29" t="s">
        <v>11</v>
      </c>
      <c r="BA27" s="29" t="s">
        <v>18</v>
      </c>
      <c r="BB27" s="29" t="s">
        <v>22</v>
      </c>
      <c r="BC27" s="29" t="s">
        <v>18</v>
      </c>
      <c r="BD27" s="29" t="s">
        <v>22</v>
      </c>
      <c r="BE27" s="29" t="s">
        <v>11</v>
      </c>
      <c r="BF27" s="29" t="s">
        <v>22</v>
      </c>
      <c r="BG27" s="29" t="s">
        <v>18</v>
      </c>
      <c r="BH27" s="29" t="s">
        <v>10</v>
      </c>
      <c r="BI27" s="29" t="s">
        <v>10</v>
      </c>
      <c r="BJ27" s="29" t="s">
        <v>18</v>
      </c>
      <c r="BK27" s="29" t="s">
        <v>22</v>
      </c>
      <c r="BL27" s="29" t="s">
        <v>18</v>
      </c>
      <c r="BM27" s="29" t="s">
        <v>17</v>
      </c>
      <c r="BN27" s="29" t="s">
        <v>17</v>
      </c>
      <c r="BO27" s="29" t="s">
        <v>17</v>
      </c>
      <c r="BP27" s="29" t="s">
        <v>17</v>
      </c>
      <c r="BQ27" s="29" t="s">
        <v>17</v>
      </c>
      <c r="BR27" s="29" t="s">
        <v>17</v>
      </c>
      <c r="BS27" s="29" t="s">
        <v>17</v>
      </c>
      <c r="BT27" s="29" t="s">
        <v>17</v>
      </c>
      <c r="BU27" s="29" t="s">
        <v>17</v>
      </c>
    </row>
    <row r="28" spans="1:73" x14ac:dyDescent="0.3">
      <c r="A28" s="2">
        <f t="shared" si="14"/>
        <v>109</v>
      </c>
      <c r="B28" s="12">
        <f t="shared" si="14"/>
        <v>26</v>
      </c>
      <c r="C28" s="24">
        <v>44670.708333333336</v>
      </c>
      <c r="D28" s="4">
        <v>24</v>
      </c>
      <c r="E28" s="4">
        <f t="shared" si="0"/>
        <v>600</v>
      </c>
      <c r="F28" s="5">
        <f t="shared" si="12"/>
        <v>25</v>
      </c>
      <c r="G28">
        <f t="shared" si="13"/>
        <v>0</v>
      </c>
      <c r="H28">
        <f t="shared" si="1"/>
        <v>0</v>
      </c>
      <c r="I28">
        <f t="shared" si="2"/>
        <v>0</v>
      </c>
      <c r="J28">
        <f t="shared" si="3"/>
        <v>4</v>
      </c>
      <c r="K28">
        <f t="shared" si="4"/>
        <v>19</v>
      </c>
      <c r="L28" s="86">
        <f>COUNTIF($X28:$BU28, "AM")</f>
        <v>0</v>
      </c>
      <c r="M28" s="86">
        <f>COUNTIF($X28:$BU28, "AF")</f>
        <v>0</v>
      </c>
      <c r="N28" s="28"/>
      <c r="O28">
        <f t="shared" si="5"/>
        <v>9</v>
      </c>
      <c r="P28">
        <f>COUNTIF($X28:$BU28, "L1_D")</f>
        <v>11</v>
      </c>
      <c r="Q28">
        <f t="shared" si="6"/>
        <v>7</v>
      </c>
      <c r="R28">
        <f t="shared" si="7"/>
        <v>0</v>
      </c>
      <c r="S28">
        <f t="shared" si="8"/>
        <v>0</v>
      </c>
      <c r="T28">
        <f t="shared" si="9"/>
        <v>0</v>
      </c>
      <c r="U28">
        <f t="shared" si="10"/>
        <v>0</v>
      </c>
      <c r="V28" s="28"/>
      <c r="X28" s="29" t="s">
        <v>11</v>
      </c>
      <c r="Y28" s="29" t="s">
        <v>11</v>
      </c>
      <c r="Z28" s="29" t="s">
        <v>11</v>
      </c>
      <c r="AA28" s="29" t="s">
        <v>18</v>
      </c>
      <c r="AB28" s="29" t="s">
        <v>22</v>
      </c>
      <c r="AC28" s="29" t="s">
        <v>11</v>
      </c>
      <c r="AD28" s="29" t="s">
        <v>11</v>
      </c>
      <c r="AE28" s="29" t="s">
        <v>18</v>
      </c>
      <c r="AF28" s="29" t="s">
        <v>11</v>
      </c>
      <c r="AG28" s="29" t="s">
        <v>11</v>
      </c>
      <c r="AH28" s="29" t="s">
        <v>11</v>
      </c>
      <c r="AI28" s="29" t="s">
        <v>18</v>
      </c>
      <c r="AJ28" s="29" t="s">
        <v>11</v>
      </c>
      <c r="AK28" s="29" t="s">
        <v>11</v>
      </c>
      <c r="AL28" s="29" t="s">
        <v>11</v>
      </c>
      <c r="AM28" s="29" t="s">
        <v>11</v>
      </c>
      <c r="AN28" s="29" t="s">
        <v>10</v>
      </c>
      <c r="AO28" s="29" t="s">
        <v>18</v>
      </c>
      <c r="AP28" s="29" t="s">
        <v>11</v>
      </c>
      <c r="AQ28" s="29" t="s">
        <v>18</v>
      </c>
      <c r="AR28" s="29" t="s">
        <v>22</v>
      </c>
      <c r="AS28" s="29" t="s">
        <v>10</v>
      </c>
      <c r="AT28" s="29" t="s">
        <v>11</v>
      </c>
      <c r="AU28" s="29" t="s">
        <v>11</v>
      </c>
      <c r="AV28" s="29" t="s">
        <v>10</v>
      </c>
      <c r="AW28" s="29" t="s">
        <v>10</v>
      </c>
      <c r="AX28" s="29" t="s">
        <v>18</v>
      </c>
      <c r="AY28" s="29" t="s">
        <v>22</v>
      </c>
      <c r="AZ28" s="29" t="s">
        <v>11</v>
      </c>
      <c r="BA28" s="29" t="s">
        <v>18</v>
      </c>
      <c r="BB28" s="29" t="s">
        <v>22</v>
      </c>
      <c r="BC28" s="29" t="s">
        <v>18</v>
      </c>
      <c r="BD28" s="29" t="s">
        <v>22</v>
      </c>
      <c r="BE28" s="29" t="s">
        <v>11</v>
      </c>
      <c r="BF28" s="29" t="s">
        <v>22</v>
      </c>
      <c r="BG28" s="29" t="s">
        <v>18</v>
      </c>
      <c r="BH28" s="29" t="s">
        <v>11</v>
      </c>
      <c r="BI28" s="29" t="s">
        <v>11</v>
      </c>
      <c r="BJ28" s="29" t="s">
        <v>18</v>
      </c>
      <c r="BK28" s="29" t="s">
        <v>22</v>
      </c>
      <c r="BL28" s="29" t="s">
        <v>18</v>
      </c>
      <c r="BM28" s="29" t="s">
        <v>17</v>
      </c>
      <c r="BN28" s="29" t="s">
        <v>17</v>
      </c>
      <c r="BO28" s="29" t="s">
        <v>17</v>
      </c>
      <c r="BP28" s="29" t="s">
        <v>17</v>
      </c>
      <c r="BQ28" s="29" t="s">
        <v>17</v>
      </c>
      <c r="BR28" s="29" t="s">
        <v>17</v>
      </c>
      <c r="BS28" s="29" t="s">
        <v>17</v>
      </c>
      <c r="BT28" s="29" t="s">
        <v>17</v>
      </c>
      <c r="BU28" s="29" t="s">
        <v>17</v>
      </c>
    </row>
    <row r="29" spans="1:73" x14ac:dyDescent="0.3">
      <c r="A29" s="2">
        <f t="shared" si="14"/>
        <v>110</v>
      </c>
      <c r="B29" s="12">
        <f t="shared" si="14"/>
        <v>27</v>
      </c>
      <c r="C29" s="24">
        <v>44671.708333333336</v>
      </c>
      <c r="D29" s="4">
        <v>24</v>
      </c>
      <c r="E29" s="4">
        <f t="shared" si="0"/>
        <v>624</v>
      </c>
      <c r="F29" s="5">
        <f t="shared" si="12"/>
        <v>26</v>
      </c>
      <c r="G29">
        <f t="shared" si="13"/>
        <v>0</v>
      </c>
      <c r="H29">
        <f t="shared" si="1"/>
        <v>0</v>
      </c>
      <c r="I29">
        <f t="shared" si="2"/>
        <v>0</v>
      </c>
      <c r="J29">
        <f t="shared" si="3"/>
        <v>3</v>
      </c>
      <c r="K29">
        <f t="shared" si="4"/>
        <v>20</v>
      </c>
      <c r="L29" s="86">
        <f>COUNTIF($X29:$BU29, "AM")</f>
        <v>0</v>
      </c>
      <c r="M29" s="86">
        <f>COUNTIF($X29:$BU29, "AF")</f>
        <v>0</v>
      </c>
      <c r="N29" s="28"/>
      <c r="O29">
        <f t="shared" si="5"/>
        <v>9</v>
      </c>
      <c r="P29">
        <f>COUNTIF($X29:$BU29, "L1_D")</f>
        <v>11</v>
      </c>
      <c r="Q29">
        <f t="shared" si="6"/>
        <v>7</v>
      </c>
      <c r="R29">
        <f t="shared" si="7"/>
        <v>0</v>
      </c>
      <c r="S29">
        <f t="shared" si="8"/>
        <v>0</v>
      </c>
      <c r="T29">
        <f t="shared" si="9"/>
        <v>0</v>
      </c>
      <c r="U29">
        <f t="shared" si="10"/>
        <v>0</v>
      </c>
      <c r="V29" s="28"/>
      <c r="X29" s="29" t="s">
        <v>11</v>
      </c>
      <c r="Y29" s="29" t="s">
        <v>11</v>
      </c>
      <c r="Z29" s="29" t="s">
        <v>11</v>
      </c>
      <c r="AA29" s="29" t="s">
        <v>18</v>
      </c>
      <c r="AB29" s="29" t="s">
        <v>22</v>
      </c>
      <c r="AC29" s="29" t="s">
        <v>11</v>
      </c>
      <c r="AD29" s="29" t="s">
        <v>11</v>
      </c>
      <c r="AE29" s="29" t="s">
        <v>18</v>
      </c>
      <c r="AF29" s="29" t="s">
        <v>11</v>
      </c>
      <c r="AG29" s="29" t="s">
        <v>11</v>
      </c>
      <c r="AH29" s="29" t="s">
        <v>11</v>
      </c>
      <c r="AI29" s="29" t="s">
        <v>18</v>
      </c>
      <c r="AJ29" s="29" t="s">
        <v>11</v>
      </c>
      <c r="AK29" s="29" t="s">
        <v>11</v>
      </c>
      <c r="AL29" s="29" t="s">
        <v>11</v>
      </c>
      <c r="AM29" s="29" t="s">
        <v>11</v>
      </c>
      <c r="AN29" s="29" t="s">
        <v>11</v>
      </c>
      <c r="AO29" s="29" t="s">
        <v>18</v>
      </c>
      <c r="AP29" s="29" t="s">
        <v>11</v>
      </c>
      <c r="AQ29" s="29" t="s">
        <v>18</v>
      </c>
      <c r="AR29" s="29" t="s">
        <v>22</v>
      </c>
      <c r="AS29" s="29" t="s">
        <v>10</v>
      </c>
      <c r="AT29" s="29" t="s">
        <v>11</v>
      </c>
      <c r="AU29" s="29" t="s">
        <v>11</v>
      </c>
      <c r="AV29" s="29" t="s">
        <v>10</v>
      </c>
      <c r="AW29" s="29" t="s">
        <v>10</v>
      </c>
      <c r="AX29" s="29" t="s">
        <v>18</v>
      </c>
      <c r="AY29" s="29" t="s">
        <v>22</v>
      </c>
      <c r="AZ29" s="29" t="s">
        <v>11</v>
      </c>
      <c r="BA29" s="29" t="s">
        <v>18</v>
      </c>
      <c r="BB29" s="29" t="s">
        <v>22</v>
      </c>
      <c r="BC29" s="29" t="s">
        <v>18</v>
      </c>
      <c r="BD29" s="29" t="s">
        <v>22</v>
      </c>
      <c r="BE29" s="29" t="s">
        <v>11</v>
      </c>
      <c r="BF29" s="29" t="s">
        <v>22</v>
      </c>
      <c r="BG29" s="29" t="s">
        <v>18</v>
      </c>
      <c r="BH29" s="29" t="s">
        <v>11</v>
      </c>
      <c r="BI29" s="29" t="s">
        <v>11</v>
      </c>
      <c r="BJ29" s="29" t="s">
        <v>18</v>
      </c>
      <c r="BK29" s="29" t="s">
        <v>22</v>
      </c>
      <c r="BL29" s="29" t="s">
        <v>18</v>
      </c>
      <c r="BM29" s="29" t="s">
        <v>17</v>
      </c>
      <c r="BN29" s="29" t="s">
        <v>17</v>
      </c>
      <c r="BO29" s="29" t="s">
        <v>17</v>
      </c>
      <c r="BP29" s="29" t="s">
        <v>17</v>
      </c>
      <c r="BQ29" s="29" t="s">
        <v>17</v>
      </c>
      <c r="BR29" s="29" t="s">
        <v>17</v>
      </c>
      <c r="BS29" s="29" t="s">
        <v>17</v>
      </c>
      <c r="BT29" s="29" t="s">
        <v>17</v>
      </c>
      <c r="BU29" s="29" t="s">
        <v>17</v>
      </c>
    </row>
    <row r="30" spans="1:73" x14ac:dyDescent="0.3">
      <c r="A30" s="2">
        <f t="shared" si="14"/>
        <v>111</v>
      </c>
      <c r="B30" s="12">
        <f t="shared" si="14"/>
        <v>28</v>
      </c>
      <c r="C30" s="24">
        <v>44672.708333333336</v>
      </c>
      <c r="D30" s="4">
        <v>24</v>
      </c>
      <c r="E30" s="4">
        <f t="shared" si="0"/>
        <v>648</v>
      </c>
      <c r="F30" s="5">
        <f t="shared" si="12"/>
        <v>27</v>
      </c>
      <c r="G30">
        <f t="shared" si="13"/>
        <v>0</v>
      </c>
      <c r="H30">
        <f t="shared" si="1"/>
        <v>0</v>
      </c>
      <c r="I30">
        <f t="shared" si="2"/>
        <v>0</v>
      </c>
      <c r="J30">
        <f t="shared" si="3"/>
        <v>3</v>
      </c>
      <c r="K30">
        <f t="shared" si="4"/>
        <v>20</v>
      </c>
      <c r="L30" s="86">
        <f>COUNTIF($X30:$BU30, "AM")</f>
        <v>0</v>
      </c>
      <c r="M30" s="86">
        <f>COUNTIF($X30:$BU30, "AF")</f>
        <v>0</v>
      </c>
      <c r="N30" s="28"/>
      <c r="O30">
        <f t="shared" si="5"/>
        <v>9</v>
      </c>
      <c r="P30">
        <f>COUNTIF($X30:$BU30, "L1_D")</f>
        <v>11</v>
      </c>
      <c r="Q30">
        <f t="shared" si="6"/>
        <v>7</v>
      </c>
      <c r="R30">
        <f t="shared" si="7"/>
        <v>0</v>
      </c>
      <c r="S30">
        <f t="shared" si="8"/>
        <v>0</v>
      </c>
      <c r="T30">
        <f t="shared" si="9"/>
        <v>0</v>
      </c>
      <c r="U30">
        <f t="shared" si="10"/>
        <v>0</v>
      </c>
      <c r="V30" s="28"/>
      <c r="X30" s="29" t="s">
        <v>11</v>
      </c>
      <c r="Y30" s="29" t="s">
        <v>11</v>
      </c>
      <c r="Z30" s="29" t="s">
        <v>11</v>
      </c>
      <c r="AA30" s="29" t="s">
        <v>18</v>
      </c>
      <c r="AB30" s="29" t="s">
        <v>22</v>
      </c>
      <c r="AC30" s="29" t="s">
        <v>11</v>
      </c>
      <c r="AD30" s="29" t="s">
        <v>11</v>
      </c>
      <c r="AE30" s="29" t="s">
        <v>18</v>
      </c>
      <c r="AF30" s="29" t="s">
        <v>11</v>
      </c>
      <c r="AG30" s="29" t="s">
        <v>11</v>
      </c>
      <c r="AH30" s="29" t="s">
        <v>11</v>
      </c>
      <c r="AI30" s="29" t="s">
        <v>18</v>
      </c>
      <c r="AJ30" s="29" t="s">
        <v>11</v>
      </c>
      <c r="AK30" s="29" t="s">
        <v>11</v>
      </c>
      <c r="AL30" s="29" t="s">
        <v>11</v>
      </c>
      <c r="AM30" s="29" t="s">
        <v>11</v>
      </c>
      <c r="AN30" s="29" t="s">
        <v>11</v>
      </c>
      <c r="AO30" s="29" t="s">
        <v>18</v>
      </c>
      <c r="AP30" s="29" t="s">
        <v>11</v>
      </c>
      <c r="AQ30" s="29" t="s">
        <v>18</v>
      </c>
      <c r="AR30" s="29" t="s">
        <v>22</v>
      </c>
      <c r="AS30" s="29" t="s">
        <v>10</v>
      </c>
      <c r="AT30" s="29" t="s">
        <v>11</v>
      </c>
      <c r="AU30" s="29" t="s">
        <v>11</v>
      </c>
      <c r="AV30" s="29" t="s">
        <v>10</v>
      </c>
      <c r="AW30" s="29" t="s">
        <v>10</v>
      </c>
      <c r="AX30" s="29" t="s">
        <v>18</v>
      </c>
      <c r="AY30" s="29" t="s">
        <v>22</v>
      </c>
      <c r="AZ30" s="29" t="s">
        <v>11</v>
      </c>
      <c r="BA30" s="29" t="s">
        <v>18</v>
      </c>
      <c r="BB30" s="29" t="s">
        <v>22</v>
      </c>
      <c r="BC30" s="29" t="s">
        <v>18</v>
      </c>
      <c r="BD30" s="29" t="s">
        <v>22</v>
      </c>
      <c r="BE30" s="29" t="s">
        <v>11</v>
      </c>
      <c r="BF30" s="29" t="s">
        <v>22</v>
      </c>
      <c r="BG30" s="29" t="s">
        <v>18</v>
      </c>
      <c r="BH30" s="29" t="s">
        <v>11</v>
      </c>
      <c r="BI30" s="29" t="s">
        <v>11</v>
      </c>
      <c r="BJ30" s="29" t="s">
        <v>18</v>
      </c>
      <c r="BK30" s="29" t="s">
        <v>22</v>
      </c>
      <c r="BL30" s="29" t="s">
        <v>18</v>
      </c>
      <c r="BM30" s="29" t="s">
        <v>17</v>
      </c>
      <c r="BN30" s="29" t="s">
        <v>17</v>
      </c>
      <c r="BO30" s="29" t="s">
        <v>17</v>
      </c>
      <c r="BP30" s="29" t="s">
        <v>17</v>
      </c>
      <c r="BQ30" s="29" t="s">
        <v>17</v>
      </c>
      <c r="BR30" s="29" t="s">
        <v>17</v>
      </c>
      <c r="BS30" s="29" t="s">
        <v>17</v>
      </c>
      <c r="BT30" s="29" t="s">
        <v>17</v>
      </c>
      <c r="BU30" s="29" t="s">
        <v>17</v>
      </c>
    </row>
    <row r="31" spans="1:73" x14ac:dyDescent="0.3">
      <c r="A31" s="2">
        <f t="shared" si="14"/>
        <v>112</v>
      </c>
      <c r="B31" s="12">
        <f t="shared" si="14"/>
        <v>29</v>
      </c>
      <c r="C31" s="24">
        <v>44673.708333333336</v>
      </c>
      <c r="D31" s="4">
        <v>24</v>
      </c>
      <c r="E31" s="4">
        <f t="shared" si="0"/>
        <v>672</v>
      </c>
      <c r="F31" s="5">
        <f t="shared" si="12"/>
        <v>28</v>
      </c>
      <c r="G31">
        <f t="shared" si="13"/>
        <v>0</v>
      </c>
      <c r="H31">
        <f t="shared" si="1"/>
        <v>0</v>
      </c>
      <c r="I31">
        <f t="shared" si="2"/>
        <v>0</v>
      </c>
      <c r="J31">
        <f t="shared" si="3"/>
        <v>3</v>
      </c>
      <c r="K31">
        <f t="shared" si="4"/>
        <v>20</v>
      </c>
      <c r="L31" s="86">
        <f>COUNTIF($X31:$BU31, "AM")</f>
        <v>0</v>
      </c>
      <c r="M31" s="86">
        <f>COUNTIF($X31:$BU31, "AF")</f>
        <v>0</v>
      </c>
      <c r="N31" s="28"/>
      <c r="O31">
        <f t="shared" si="5"/>
        <v>9</v>
      </c>
      <c r="P31">
        <f>COUNTIF($X31:$BU31, "L1_D")</f>
        <v>11</v>
      </c>
      <c r="Q31">
        <f t="shared" si="6"/>
        <v>7</v>
      </c>
      <c r="R31">
        <f t="shared" si="7"/>
        <v>0</v>
      </c>
      <c r="S31">
        <f t="shared" si="8"/>
        <v>0</v>
      </c>
      <c r="T31">
        <f t="shared" si="9"/>
        <v>0</v>
      </c>
      <c r="U31">
        <f t="shared" si="10"/>
        <v>0</v>
      </c>
      <c r="V31" s="28"/>
      <c r="X31" s="29" t="s">
        <v>11</v>
      </c>
      <c r="Y31" s="29" t="s">
        <v>11</v>
      </c>
      <c r="Z31" s="29" t="s">
        <v>11</v>
      </c>
      <c r="AA31" s="29" t="s">
        <v>18</v>
      </c>
      <c r="AB31" s="29" t="s">
        <v>22</v>
      </c>
      <c r="AC31" s="29" t="s">
        <v>11</v>
      </c>
      <c r="AD31" s="29" t="s">
        <v>11</v>
      </c>
      <c r="AE31" s="29" t="s">
        <v>18</v>
      </c>
      <c r="AF31" s="29" t="s">
        <v>11</v>
      </c>
      <c r="AG31" s="29" t="s">
        <v>11</v>
      </c>
      <c r="AH31" s="29" t="s">
        <v>11</v>
      </c>
      <c r="AI31" s="29" t="s">
        <v>18</v>
      </c>
      <c r="AJ31" s="29" t="s">
        <v>11</v>
      </c>
      <c r="AK31" s="29" t="s">
        <v>11</v>
      </c>
      <c r="AL31" s="29" t="s">
        <v>11</v>
      </c>
      <c r="AM31" s="29" t="s">
        <v>11</v>
      </c>
      <c r="AN31" s="29" t="s">
        <v>11</v>
      </c>
      <c r="AO31" s="29" t="s">
        <v>18</v>
      </c>
      <c r="AP31" s="29" t="s">
        <v>11</v>
      </c>
      <c r="AQ31" s="29" t="s">
        <v>18</v>
      </c>
      <c r="AR31" s="29" t="s">
        <v>22</v>
      </c>
      <c r="AS31" s="29" t="s">
        <v>10</v>
      </c>
      <c r="AT31" s="29" t="s">
        <v>11</v>
      </c>
      <c r="AU31" s="29" t="s">
        <v>11</v>
      </c>
      <c r="AV31" s="29" t="s">
        <v>10</v>
      </c>
      <c r="AW31" s="29" t="s">
        <v>10</v>
      </c>
      <c r="AX31" s="29" t="s">
        <v>18</v>
      </c>
      <c r="AY31" s="29" t="s">
        <v>22</v>
      </c>
      <c r="AZ31" s="29" t="s">
        <v>11</v>
      </c>
      <c r="BA31" s="29" t="s">
        <v>18</v>
      </c>
      <c r="BB31" s="29" t="s">
        <v>22</v>
      </c>
      <c r="BC31" s="29" t="s">
        <v>18</v>
      </c>
      <c r="BD31" s="29" t="s">
        <v>22</v>
      </c>
      <c r="BE31" s="29" t="s">
        <v>11</v>
      </c>
      <c r="BF31" s="29" t="s">
        <v>22</v>
      </c>
      <c r="BG31" s="29" t="s">
        <v>18</v>
      </c>
      <c r="BH31" s="29" t="s">
        <v>11</v>
      </c>
      <c r="BI31" s="29" t="s">
        <v>11</v>
      </c>
      <c r="BJ31" s="29" t="s">
        <v>18</v>
      </c>
      <c r="BK31" s="29" t="s">
        <v>22</v>
      </c>
      <c r="BL31" s="29" t="s">
        <v>18</v>
      </c>
      <c r="BM31" s="29" t="s">
        <v>17</v>
      </c>
      <c r="BN31" s="29" t="s">
        <v>17</v>
      </c>
      <c r="BO31" s="29" t="s">
        <v>17</v>
      </c>
      <c r="BP31" s="29" t="s">
        <v>17</v>
      </c>
      <c r="BQ31" s="29" t="s">
        <v>17</v>
      </c>
      <c r="BR31" s="29" t="s">
        <v>17</v>
      </c>
      <c r="BS31" s="29" t="s">
        <v>17</v>
      </c>
      <c r="BT31" s="29" t="s">
        <v>17</v>
      </c>
      <c r="BU31" s="29" t="s">
        <v>17</v>
      </c>
    </row>
    <row r="32" spans="1:73" x14ac:dyDescent="0.3">
      <c r="A32" s="2">
        <f t="shared" si="14"/>
        <v>113</v>
      </c>
      <c r="B32" s="12">
        <f t="shared" si="14"/>
        <v>30</v>
      </c>
      <c r="C32" s="24">
        <v>44674.708333333336</v>
      </c>
      <c r="D32" s="4">
        <v>24</v>
      </c>
      <c r="E32" s="4">
        <f t="shared" si="0"/>
        <v>696</v>
      </c>
      <c r="F32" s="5">
        <f t="shared" si="12"/>
        <v>29</v>
      </c>
      <c r="G32">
        <f t="shared" si="13"/>
        <v>0</v>
      </c>
      <c r="H32">
        <f t="shared" si="1"/>
        <v>0</v>
      </c>
      <c r="I32">
        <f t="shared" si="2"/>
        <v>0</v>
      </c>
      <c r="J32">
        <f t="shared" si="3"/>
        <v>3</v>
      </c>
      <c r="K32">
        <f t="shared" si="4"/>
        <v>20</v>
      </c>
      <c r="L32" s="86">
        <f>COUNTIF($X32:$BU32, "AM")</f>
        <v>0</v>
      </c>
      <c r="M32" s="86">
        <f>COUNTIF($X32:$BU32, "AF")</f>
        <v>0</v>
      </c>
      <c r="N32" s="28"/>
      <c r="O32">
        <f t="shared" si="5"/>
        <v>9</v>
      </c>
      <c r="P32">
        <f>COUNTIF($X32:$BU32, "L1_D")</f>
        <v>11</v>
      </c>
      <c r="Q32">
        <f t="shared" si="6"/>
        <v>7</v>
      </c>
      <c r="R32">
        <f t="shared" si="7"/>
        <v>0</v>
      </c>
      <c r="S32">
        <f t="shared" si="8"/>
        <v>0</v>
      </c>
      <c r="T32">
        <f t="shared" si="9"/>
        <v>0</v>
      </c>
      <c r="U32">
        <f t="shared" si="10"/>
        <v>0</v>
      </c>
      <c r="V32" s="28"/>
      <c r="X32" s="29" t="s">
        <v>11</v>
      </c>
      <c r="Y32" s="29" t="s">
        <v>11</v>
      </c>
      <c r="Z32" s="29" t="s">
        <v>11</v>
      </c>
      <c r="AA32" s="29" t="s">
        <v>18</v>
      </c>
      <c r="AB32" s="29" t="s">
        <v>22</v>
      </c>
      <c r="AC32" s="29" t="s">
        <v>11</v>
      </c>
      <c r="AD32" s="29" t="s">
        <v>11</v>
      </c>
      <c r="AE32" s="29" t="s">
        <v>18</v>
      </c>
      <c r="AF32" s="29" t="s">
        <v>11</v>
      </c>
      <c r="AG32" s="29" t="s">
        <v>11</v>
      </c>
      <c r="AH32" s="29" t="s">
        <v>11</v>
      </c>
      <c r="AI32" s="29" t="s">
        <v>18</v>
      </c>
      <c r="AJ32" s="29" t="s">
        <v>11</v>
      </c>
      <c r="AK32" s="29" t="s">
        <v>11</v>
      </c>
      <c r="AL32" s="29" t="s">
        <v>11</v>
      </c>
      <c r="AM32" s="29" t="s">
        <v>11</v>
      </c>
      <c r="AN32" s="29" t="s">
        <v>11</v>
      </c>
      <c r="AO32" s="29" t="s">
        <v>18</v>
      </c>
      <c r="AP32" s="29" t="s">
        <v>11</v>
      </c>
      <c r="AQ32" s="29" t="s">
        <v>18</v>
      </c>
      <c r="AR32" s="29" t="s">
        <v>22</v>
      </c>
      <c r="AS32" s="29" t="s">
        <v>10</v>
      </c>
      <c r="AT32" s="29" t="s">
        <v>11</v>
      </c>
      <c r="AU32" s="29" t="s">
        <v>11</v>
      </c>
      <c r="AV32" s="29" t="s">
        <v>10</v>
      </c>
      <c r="AW32" s="29" t="s">
        <v>10</v>
      </c>
      <c r="AX32" s="29" t="s">
        <v>18</v>
      </c>
      <c r="AY32" s="29" t="s">
        <v>22</v>
      </c>
      <c r="AZ32" s="29" t="s">
        <v>11</v>
      </c>
      <c r="BA32" s="29" t="s">
        <v>18</v>
      </c>
      <c r="BB32" s="29" t="s">
        <v>22</v>
      </c>
      <c r="BC32" s="29" t="s">
        <v>18</v>
      </c>
      <c r="BD32" s="29" t="s">
        <v>22</v>
      </c>
      <c r="BE32" s="29" t="s">
        <v>11</v>
      </c>
      <c r="BF32" s="29" t="s">
        <v>22</v>
      </c>
      <c r="BG32" s="29" t="s">
        <v>18</v>
      </c>
      <c r="BH32" s="29" t="s">
        <v>11</v>
      </c>
      <c r="BI32" s="29" t="s">
        <v>11</v>
      </c>
      <c r="BJ32" s="29" t="s">
        <v>18</v>
      </c>
      <c r="BK32" s="29" t="s">
        <v>22</v>
      </c>
      <c r="BL32" s="29" t="s">
        <v>18</v>
      </c>
      <c r="BM32" s="29" t="s">
        <v>17</v>
      </c>
      <c r="BN32" s="29" t="s">
        <v>17</v>
      </c>
      <c r="BO32" s="29" t="s">
        <v>17</v>
      </c>
      <c r="BP32" s="29" t="s">
        <v>17</v>
      </c>
      <c r="BQ32" s="29" t="s">
        <v>17</v>
      </c>
      <c r="BR32" s="29" t="s">
        <v>17</v>
      </c>
      <c r="BS32" s="29" t="s">
        <v>17</v>
      </c>
      <c r="BT32" s="29" t="s">
        <v>17</v>
      </c>
      <c r="BU32" s="29" t="s">
        <v>17</v>
      </c>
    </row>
    <row r="33" spans="1:73" x14ac:dyDescent="0.3">
      <c r="A33" s="2">
        <f t="shared" si="14"/>
        <v>114</v>
      </c>
      <c r="B33" s="12">
        <f t="shared" si="14"/>
        <v>31</v>
      </c>
      <c r="C33" s="24">
        <v>44675.708333333336</v>
      </c>
      <c r="D33" s="4">
        <v>24</v>
      </c>
      <c r="E33" s="4">
        <f t="shared" si="0"/>
        <v>720</v>
      </c>
      <c r="F33" s="5">
        <f t="shared" si="12"/>
        <v>30</v>
      </c>
      <c r="G33">
        <f t="shared" si="13"/>
        <v>0</v>
      </c>
      <c r="H33">
        <f t="shared" si="1"/>
        <v>0</v>
      </c>
      <c r="I33">
        <f t="shared" si="2"/>
        <v>0</v>
      </c>
      <c r="J33">
        <f t="shared" si="3"/>
        <v>2</v>
      </c>
      <c r="K33">
        <f t="shared" si="4"/>
        <v>21</v>
      </c>
      <c r="L33" s="86">
        <f>COUNTIF($X33:$BU33, "AM")</f>
        <v>0</v>
      </c>
      <c r="M33" s="86">
        <f>COUNTIF($X33:$BU33, "AF")</f>
        <v>0</v>
      </c>
      <c r="N33" s="28"/>
      <c r="O33">
        <f t="shared" si="5"/>
        <v>9</v>
      </c>
      <c r="P33">
        <f>COUNTIF($X33:$BU33, "L1_D")</f>
        <v>11</v>
      </c>
      <c r="Q33">
        <f t="shared" si="6"/>
        <v>7</v>
      </c>
      <c r="R33">
        <f t="shared" si="7"/>
        <v>0</v>
      </c>
      <c r="S33">
        <f t="shared" si="8"/>
        <v>0</v>
      </c>
      <c r="T33">
        <f t="shared" si="9"/>
        <v>0</v>
      </c>
      <c r="U33">
        <f t="shared" si="10"/>
        <v>0</v>
      </c>
      <c r="V33" s="28"/>
      <c r="X33" s="29" t="s">
        <v>11</v>
      </c>
      <c r="Y33" s="29" t="s">
        <v>11</v>
      </c>
      <c r="Z33" s="29" t="s">
        <v>11</v>
      </c>
      <c r="AA33" s="29" t="s">
        <v>18</v>
      </c>
      <c r="AB33" s="29" t="s">
        <v>22</v>
      </c>
      <c r="AC33" s="29" t="s">
        <v>11</v>
      </c>
      <c r="AD33" s="29" t="s">
        <v>11</v>
      </c>
      <c r="AE33" s="29" t="s">
        <v>18</v>
      </c>
      <c r="AF33" s="29" t="s">
        <v>11</v>
      </c>
      <c r="AG33" s="29" t="s">
        <v>11</v>
      </c>
      <c r="AH33" s="29" t="s">
        <v>11</v>
      </c>
      <c r="AI33" s="29" t="s">
        <v>18</v>
      </c>
      <c r="AJ33" s="29" t="s">
        <v>11</v>
      </c>
      <c r="AK33" s="29" t="s">
        <v>11</v>
      </c>
      <c r="AL33" s="29" t="s">
        <v>11</v>
      </c>
      <c r="AM33" s="29" t="s">
        <v>11</v>
      </c>
      <c r="AN33" s="29" t="s">
        <v>11</v>
      </c>
      <c r="AO33" s="29" t="s">
        <v>18</v>
      </c>
      <c r="AP33" s="29" t="s">
        <v>11</v>
      </c>
      <c r="AQ33" s="29" t="s">
        <v>18</v>
      </c>
      <c r="AR33" s="29" t="s">
        <v>22</v>
      </c>
      <c r="AS33" s="29" t="s">
        <v>11</v>
      </c>
      <c r="AT33" s="29" t="s">
        <v>11</v>
      </c>
      <c r="AU33" s="29" t="s">
        <v>11</v>
      </c>
      <c r="AV33" s="29" t="s">
        <v>10</v>
      </c>
      <c r="AW33" s="29" t="s">
        <v>10</v>
      </c>
      <c r="AX33" s="29" t="s">
        <v>18</v>
      </c>
      <c r="AY33" s="29" t="s">
        <v>22</v>
      </c>
      <c r="AZ33" s="29" t="s">
        <v>11</v>
      </c>
      <c r="BA33" s="29" t="s">
        <v>18</v>
      </c>
      <c r="BB33" s="29" t="s">
        <v>22</v>
      </c>
      <c r="BC33" s="29" t="s">
        <v>18</v>
      </c>
      <c r="BD33" s="29" t="s">
        <v>22</v>
      </c>
      <c r="BE33" s="29" t="s">
        <v>11</v>
      </c>
      <c r="BF33" s="29" t="s">
        <v>22</v>
      </c>
      <c r="BG33" s="29" t="s">
        <v>18</v>
      </c>
      <c r="BH33" s="29" t="s">
        <v>11</v>
      </c>
      <c r="BI33" s="29" t="s">
        <v>11</v>
      </c>
      <c r="BJ33" s="29" t="s">
        <v>18</v>
      </c>
      <c r="BK33" s="29" t="s">
        <v>22</v>
      </c>
      <c r="BL33" s="29" t="s">
        <v>18</v>
      </c>
      <c r="BM33" s="29" t="s">
        <v>17</v>
      </c>
      <c r="BN33" s="29" t="s">
        <v>17</v>
      </c>
      <c r="BO33" s="29" t="s">
        <v>17</v>
      </c>
      <c r="BP33" s="29" t="s">
        <v>17</v>
      </c>
      <c r="BQ33" s="29" t="s">
        <v>17</v>
      </c>
      <c r="BR33" s="29" t="s">
        <v>17</v>
      </c>
      <c r="BS33" s="29" t="s">
        <v>17</v>
      </c>
      <c r="BT33" s="29" t="s">
        <v>17</v>
      </c>
      <c r="BU33" s="29" t="s">
        <v>17</v>
      </c>
    </row>
    <row r="34" spans="1:73" x14ac:dyDescent="0.3">
      <c r="A34" s="2">
        <f t="shared" si="14"/>
        <v>115</v>
      </c>
      <c r="B34" s="12">
        <f t="shared" si="14"/>
        <v>32</v>
      </c>
      <c r="C34" s="24">
        <v>44676.708333333336</v>
      </c>
      <c r="D34" s="4">
        <v>24</v>
      </c>
      <c r="E34" s="4">
        <f t="shared" si="0"/>
        <v>744</v>
      </c>
      <c r="F34" s="5">
        <f t="shared" si="12"/>
        <v>31</v>
      </c>
      <c r="G34">
        <f t="shared" si="13"/>
        <v>0</v>
      </c>
      <c r="H34">
        <f t="shared" si="1"/>
        <v>0</v>
      </c>
      <c r="I34">
        <f t="shared" si="2"/>
        <v>0</v>
      </c>
      <c r="J34">
        <f t="shared" si="3"/>
        <v>2</v>
      </c>
      <c r="K34">
        <f t="shared" si="4"/>
        <v>21</v>
      </c>
      <c r="L34" s="86">
        <f>COUNTIF($X34:$BU34, "AM")</f>
        <v>0</v>
      </c>
      <c r="M34" s="86">
        <f>COUNTIF($X34:$BU34, "AF")</f>
        <v>0</v>
      </c>
      <c r="N34" s="28"/>
      <c r="O34">
        <f t="shared" si="5"/>
        <v>9</v>
      </c>
      <c r="P34">
        <f>COUNTIF($X34:$BU34, "L1_D")</f>
        <v>11</v>
      </c>
      <c r="Q34">
        <f t="shared" si="6"/>
        <v>7</v>
      </c>
      <c r="R34">
        <f t="shared" si="7"/>
        <v>0</v>
      </c>
      <c r="S34">
        <f t="shared" si="8"/>
        <v>0</v>
      </c>
      <c r="T34">
        <f t="shared" si="9"/>
        <v>0</v>
      </c>
      <c r="U34">
        <f t="shared" si="10"/>
        <v>0</v>
      </c>
      <c r="V34" s="28"/>
      <c r="X34" s="29" t="s">
        <v>11</v>
      </c>
      <c r="Y34" s="29" t="s">
        <v>11</v>
      </c>
      <c r="Z34" s="29" t="s">
        <v>11</v>
      </c>
      <c r="AA34" s="29" t="s">
        <v>18</v>
      </c>
      <c r="AB34" s="29" t="s">
        <v>22</v>
      </c>
      <c r="AC34" s="29" t="s">
        <v>11</v>
      </c>
      <c r="AD34" s="29" t="s">
        <v>11</v>
      </c>
      <c r="AE34" s="29" t="s">
        <v>18</v>
      </c>
      <c r="AF34" s="29" t="s">
        <v>11</v>
      </c>
      <c r="AG34" s="29" t="s">
        <v>11</v>
      </c>
      <c r="AH34" s="29" t="s">
        <v>11</v>
      </c>
      <c r="AI34" s="29" t="s">
        <v>18</v>
      </c>
      <c r="AJ34" s="29" t="s">
        <v>11</v>
      </c>
      <c r="AK34" s="29" t="s">
        <v>11</v>
      </c>
      <c r="AL34" s="29" t="s">
        <v>11</v>
      </c>
      <c r="AM34" s="29" t="s">
        <v>11</v>
      </c>
      <c r="AN34" s="29" t="s">
        <v>11</v>
      </c>
      <c r="AO34" s="29" t="s">
        <v>18</v>
      </c>
      <c r="AP34" s="29" t="s">
        <v>11</v>
      </c>
      <c r="AQ34" s="29" t="s">
        <v>18</v>
      </c>
      <c r="AR34" s="29" t="s">
        <v>22</v>
      </c>
      <c r="AS34" s="29" t="s">
        <v>11</v>
      </c>
      <c r="AT34" s="29" t="s">
        <v>11</v>
      </c>
      <c r="AU34" s="29" t="s">
        <v>11</v>
      </c>
      <c r="AV34" s="29" t="s">
        <v>10</v>
      </c>
      <c r="AW34" s="29" t="s">
        <v>10</v>
      </c>
      <c r="AX34" s="29" t="s">
        <v>18</v>
      </c>
      <c r="AY34" s="29" t="s">
        <v>22</v>
      </c>
      <c r="AZ34" s="29" t="s">
        <v>11</v>
      </c>
      <c r="BA34" s="29" t="s">
        <v>18</v>
      </c>
      <c r="BB34" s="29" t="s">
        <v>22</v>
      </c>
      <c r="BC34" s="29" t="s">
        <v>18</v>
      </c>
      <c r="BD34" s="29" t="s">
        <v>22</v>
      </c>
      <c r="BE34" s="29" t="s">
        <v>11</v>
      </c>
      <c r="BF34" s="29" t="s">
        <v>22</v>
      </c>
      <c r="BG34" s="29" t="s">
        <v>18</v>
      </c>
      <c r="BH34" s="29" t="s">
        <v>11</v>
      </c>
      <c r="BI34" s="29" t="s">
        <v>11</v>
      </c>
      <c r="BJ34" s="29" t="s">
        <v>18</v>
      </c>
      <c r="BK34" s="29" t="s">
        <v>22</v>
      </c>
      <c r="BL34" s="29" t="s">
        <v>18</v>
      </c>
      <c r="BM34" s="29" t="s">
        <v>17</v>
      </c>
      <c r="BN34" s="29" t="s">
        <v>17</v>
      </c>
      <c r="BO34" s="29" t="s">
        <v>17</v>
      </c>
      <c r="BP34" s="29" t="s">
        <v>17</v>
      </c>
      <c r="BQ34" s="29" t="s">
        <v>17</v>
      </c>
      <c r="BR34" s="29" t="s">
        <v>17</v>
      </c>
      <c r="BS34" s="29" t="s">
        <v>17</v>
      </c>
      <c r="BT34" s="29" t="s">
        <v>17</v>
      </c>
      <c r="BU34" s="29" t="s">
        <v>17</v>
      </c>
    </row>
    <row r="35" spans="1:73" x14ac:dyDescent="0.3">
      <c r="A35" s="2">
        <f t="shared" si="14"/>
        <v>116</v>
      </c>
      <c r="B35" s="12">
        <f t="shared" si="14"/>
        <v>33</v>
      </c>
      <c r="C35" s="24">
        <v>44677.708333333336</v>
      </c>
      <c r="D35" s="4">
        <v>24</v>
      </c>
      <c r="E35" s="4">
        <f t="shared" si="0"/>
        <v>768</v>
      </c>
      <c r="F35" s="5">
        <f t="shared" si="12"/>
        <v>32</v>
      </c>
      <c r="G35">
        <f t="shared" si="13"/>
        <v>0</v>
      </c>
      <c r="H35">
        <f t="shared" si="1"/>
        <v>0</v>
      </c>
      <c r="I35">
        <f t="shared" si="2"/>
        <v>0</v>
      </c>
      <c r="J35">
        <f t="shared" si="3"/>
        <v>0</v>
      </c>
      <c r="K35">
        <f t="shared" si="4"/>
        <v>23</v>
      </c>
      <c r="L35" s="86">
        <f>COUNTIF($X35:$BU35, "AM")</f>
        <v>0</v>
      </c>
      <c r="M35" s="86">
        <f>COUNTIF($X35:$BU35, "AF")</f>
        <v>0</v>
      </c>
      <c r="N35" s="28"/>
      <c r="O35">
        <f t="shared" si="5"/>
        <v>9</v>
      </c>
      <c r="P35">
        <f>COUNTIF($X35:$BU35, "L1_D")</f>
        <v>11</v>
      </c>
      <c r="Q35">
        <f t="shared" si="6"/>
        <v>7</v>
      </c>
      <c r="R35">
        <f t="shared" si="7"/>
        <v>0</v>
      </c>
      <c r="S35">
        <f t="shared" si="8"/>
        <v>0</v>
      </c>
      <c r="T35">
        <f t="shared" si="9"/>
        <v>0</v>
      </c>
      <c r="U35">
        <f t="shared" si="10"/>
        <v>0</v>
      </c>
      <c r="V35" s="28"/>
      <c r="X35" s="29" t="s">
        <v>11</v>
      </c>
      <c r="Y35" s="29" t="s">
        <v>11</v>
      </c>
      <c r="Z35" s="29" t="s">
        <v>11</v>
      </c>
      <c r="AA35" s="29" t="s">
        <v>18</v>
      </c>
      <c r="AB35" s="29" t="s">
        <v>22</v>
      </c>
      <c r="AC35" s="29" t="s">
        <v>11</v>
      </c>
      <c r="AD35" s="29" t="s">
        <v>11</v>
      </c>
      <c r="AE35" s="29" t="s">
        <v>18</v>
      </c>
      <c r="AF35" s="29" t="s">
        <v>11</v>
      </c>
      <c r="AG35" s="29" t="s">
        <v>11</v>
      </c>
      <c r="AH35" s="29" t="s">
        <v>11</v>
      </c>
      <c r="AI35" s="29" t="s">
        <v>18</v>
      </c>
      <c r="AJ35" s="29" t="s">
        <v>11</v>
      </c>
      <c r="AK35" s="29" t="s">
        <v>11</v>
      </c>
      <c r="AL35" s="29" t="s">
        <v>11</v>
      </c>
      <c r="AM35" s="29" t="s">
        <v>11</v>
      </c>
      <c r="AN35" s="29" t="s">
        <v>11</v>
      </c>
      <c r="AO35" s="29" t="s">
        <v>18</v>
      </c>
      <c r="AP35" s="29" t="s">
        <v>11</v>
      </c>
      <c r="AQ35" s="29" t="s">
        <v>18</v>
      </c>
      <c r="AR35" s="29" t="s">
        <v>22</v>
      </c>
      <c r="AS35" s="29" t="s">
        <v>11</v>
      </c>
      <c r="AT35" s="29" t="s">
        <v>11</v>
      </c>
      <c r="AU35" s="29" t="s">
        <v>11</v>
      </c>
      <c r="AV35" s="29" t="s">
        <v>11</v>
      </c>
      <c r="AW35" s="29" t="s">
        <v>11</v>
      </c>
      <c r="AX35" s="29" t="s">
        <v>18</v>
      </c>
      <c r="AY35" s="29" t="s">
        <v>22</v>
      </c>
      <c r="AZ35" s="29" t="s">
        <v>11</v>
      </c>
      <c r="BA35" s="29" t="s">
        <v>18</v>
      </c>
      <c r="BB35" s="29" t="s">
        <v>22</v>
      </c>
      <c r="BC35" s="29" t="s">
        <v>18</v>
      </c>
      <c r="BD35" s="29" t="s">
        <v>22</v>
      </c>
      <c r="BE35" s="29" t="s">
        <v>11</v>
      </c>
      <c r="BF35" s="29" t="s">
        <v>22</v>
      </c>
      <c r="BG35" s="29" t="s">
        <v>18</v>
      </c>
      <c r="BH35" s="29" t="s">
        <v>11</v>
      </c>
      <c r="BI35" s="29" t="s">
        <v>11</v>
      </c>
      <c r="BJ35" s="29" t="s">
        <v>18</v>
      </c>
      <c r="BK35" s="29" t="s">
        <v>22</v>
      </c>
      <c r="BL35" s="29" t="s">
        <v>18</v>
      </c>
      <c r="BM35" s="29" t="s">
        <v>17</v>
      </c>
      <c r="BN35" s="29" t="s">
        <v>17</v>
      </c>
      <c r="BO35" s="29" t="s">
        <v>17</v>
      </c>
      <c r="BP35" s="29" t="s">
        <v>17</v>
      </c>
      <c r="BQ35" s="29" t="s">
        <v>17</v>
      </c>
      <c r="BR35" s="29" t="s">
        <v>17</v>
      </c>
      <c r="BS35" s="29" t="s">
        <v>17</v>
      </c>
      <c r="BT35" s="29" t="s">
        <v>17</v>
      </c>
      <c r="BU35" s="29" t="s">
        <v>17</v>
      </c>
    </row>
    <row r="36" spans="1:73" x14ac:dyDescent="0.3">
      <c r="A36" s="2">
        <f t="shared" si="14"/>
        <v>117</v>
      </c>
      <c r="B36" s="12">
        <f t="shared" si="14"/>
        <v>34</v>
      </c>
      <c r="C36" s="24">
        <v>44678.708333333336</v>
      </c>
      <c r="D36" s="4">
        <v>24</v>
      </c>
      <c r="E36" s="4">
        <f t="shared" ref="E36:E54" si="15">E35+D36</f>
        <v>792</v>
      </c>
      <c r="F36" s="5">
        <f t="shared" ref="F36:F55" si="16">E36/24</f>
        <v>33</v>
      </c>
      <c r="G36">
        <f t="shared" si="13"/>
        <v>0</v>
      </c>
      <c r="H36">
        <f t="shared" si="1"/>
        <v>0</v>
      </c>
      <c r="I36">
        <f t="shared" si="2"/>
        <v>0</v>
      </c>
      <c r="J36">
        <f t="shared" si="3"/>
        <v>0</v>
      </c>
      <c r="K36">
        <f t="shared" si="4"/>
        <v>23</v>
      </c>
      <c r="L36" s="86">
        <f>COUNTIF($X36:$BU36, "AM")</f>
        <v>0</v>
      </c>
      <c r="M36" s="86">
        <f>COUNTIF($X36:$BU36, "AF")</f>
        <v>0</v>
      </c>
      <c r="N36" s="28"/>
      <c r="O36">
        <f t="shared" si="5"/>
        <v>9</v>
      </c>
      <c r="P36">
        <f>COUNTIF($X36:$BU36, "L1_D")</f>
        <v>11</v>
      </c>
      <c r="Q36">
        <f t="shared" si="6"/>
        <v>7</v>
      </c>
      <c r="R36">
        <f t="shared" si="7"/>
        <v>0</v>
      </c>
      <c r="S36">
        <f t="shared" si="8"/>
        <v>0</v>
      </c>
      <c r="T36">
        <f t="shared" si="9"/>
        <v>0</v>
      </c>
      <c r="U36">
        <f t="shared" si="10"/>
        <v>0</v>
      </c>
      <c r="V36" s="28"/>
      <c r="X36" s="29" t="s">
        <v>11</v>
      </c>
      <c r="Y36" s="29" t="s">
        <v>11</v>
      </c>
      <c r="Z36" s="29" t="s">
        <v>11</v>
      </c>
      <c r="AA36" s="29" t="s">
        <v>18</v>
      </c>
      <c r="AB36" s="29" t="s">
        <v>22</v>
      </c>
      <c r="AC36" s="29" t="s">
        <v>11</v>
      </c>
      <c r="AD36" s="29" t="s">
        <v>11</v>
      </c>
      <c r="AE36" s="29" t="s">
        <v>18</v>
      </c>
      <c r="AF36" s="29" t="s">
        <v>11</v>
      </c>
      <c r="AG36" s="29" t="s">
        <v>11</v>
      </c>
      <c r="AH36" s="29" t="s">
        <v>11</v>
      </c>
      <c r="AI36" s="29" t="s">
        <v>18</v>
      </c>
      <c r="AJ36" s="29" t="s">
        <v>11</v>
      </c>
      <c r="AK36" s="29" t="s">
        <v>11</v>
      </c>
      <c r="AL36" s="29" t="s">
        <v>11</v>
      </c>
      <c r="AM36" s="29" t="s">
        <v>11</v>
      </c>
      <c r="AN36" s="29" t="s">
        <v>11</v>
      </c>
      <c r="AO36" s="29" t="s">
        <v>18</v>
      </c>
      <c r="AP36" s="29" t="s">
        <v>11</v>
      </c>
      <c r="AQ36" s="29" t="s">
        <v>18</v>
      </c>
      <c r="AR36" s="29" t="s">
        <v>22</v>
      </c>
      <c r="AS36" s="29" t="s">
        <v>11</v>
      </c>
      <c r="AT36" s="29" t="s">
        <v>11</v>
      </c>
      <c r="AU36" s="29" t="s">
        <v>11</v>
      </c>
      <c r="AV36" s="29" t="s">
        <v>11</v>
      </c>
      <c r="AW36" s="29" t="s">
        <v>11</v>
      </c>
      <c r="AX36" s="29" t="s">
        <v>18</v>
      </c>
      <c r="AY36" s="29" t="s">
        <v>22</v>
      </c>
      <c r="AZ36" s="29" t="s">
        <v>11</v>
      </c>
      <c r="BA36" s="29" t="s">
        <v>18</v>
      </c>
      <c r="BB36" s="29" t="s">
        <v>22</v>
      </c>
      <c r="BC36" s="29" t="s">
        <v>18</v>
      </c>
      <c r="BD36" s="29" t="s">
        <v>22</v>
      </c>
      <c r="BE36" s="29" t="s">
        <v>11</v>
      </c>
      <c r="BF36" s="29" t="s">
        <v>22</v>
      </c>
      <c r="BG36" s="29" t="s">
        <v>18</v>
      </c>
      <c r="BH36" s="29" t="s">
        <v>11</v>
      </c>
      <c r="BI36" s="29" t="s">
        <v>11</v>
      </c>
      <c r="BJ36" s="29" t="s">
        <v>18</v>
      </c>
      <c r="BK36" s="29" t="s">
        <v>22</v>
      </c>
      <c r="BL36" s="29" t="s">
        <v>18</v>
      </c>
      <c r="BM36" s="29" t="s">
        <v>17</v>
      </c>
      <c r="BN36" s="29" t="s">
        <v>17</v>
      </c>
      <c r="BO36" s="29" t="s">
        <v>17</v>
      </c>
      <c r="BP36" s="29" t="s">
        <v>17</v>
      </c>
      <c r="BQ36" s="29" t="s">
        <v>17</v>
      </c>
      <c r="BR36" s="29" t="s">
        <v>17</v>
      </c>
      <c r="BS36" s="29" t="s">
        <v>17</v>
      </c>
      <c r="BT36" s="29" t="s">
        <v>17</v>
      </c>
      <c r="BU36" s="29" t="s">
        <v>17</v>
      </c>
    </row>
    <row r="37" spans="1:73" x14ac:dyDescent="0.3">
      <c r="A37" s="2">
        <f t="shared" ref="A37:B52" si="17">A36+1</f>
        <v>118</v>
      </c>
      <c r="B37" s="12">
        <f t="shared" si="17"/>
        <v>35</v>
      </c>
      <c r="C37" s="24">
        <v>44679.708333333336</v>
      </c>
      <c r="D37" s="4">
        <v>24</v>
      </c>
      <c r="E37" s="4">
        <f t="shared" si="15"/>
        <v>816</v>
      </c>
      <c r="F37" s="5">
        <f t="shared" si="16"/>
        <v>34</v>
      </c>
      <c r="G37">
        <f t="shared" si="13"/>
        <v>0</v>
      </c>
      <c r="H37">
        <f t="shared" si="1"/>
        <v>0</v>
      </c>
      <c r="I37">
        <f t="shared" si="2"/>
        <v>0</v>
      </c>
      <c r="J37">
        <f t="shared" si="3"/>
        <v>0</v>
      </c>
      <c r="K37">
        <f t="shared" si="4"/>
        <v>23</v>
      </c>
      <c r="L37" s="86">
        <f>COUNTIF($X37:$BU37, "AM")</f>
        <v>0</v>
      </c>
      <c r="M37" s="86">
        <f>COUNTIF($X37:$BU37, "AF")</f>
        <v>0</v>
      </c>
      <c r="N37" s="28"/>
      <c r="O37">
        <f t="shared" si="5"/>
        <v>9</v>
      </c>
      <c r="P37">
        <f>COUNTIF($X37:$BU37, "L1_D")</f>
        <v>11</v>
      </c>
      <c r="Q37">
        <f t="shared" si="6"/>
        <v>7</v>
      </c>
      <c r="R37">
        <f t="shared" si="7"/>
        <v>0</v>
      </c>
      <c r="S37">
        <f t="shared" si="8"/>
        <v>0</v>
      </c>
      <c r="T37">
        <f t="shared" si="9"/>
        <v>0</v>
      </c>
      <c r="U37">
        <f t="shared" si="10"/>
        <v>0</v>
      </c>
      <c r="V37" s="28"/>
      <c r="X37" s="29" t="s">
        <v>11</v>
      </c>
      <c r="Y37" s="29" t="s">
        <v>11</v>
      </c>
      <c r="Z37" s="29" t="s">
        <v>11</v>
      </c>
      <c r="AA37" s="29" t="s">
        <v>18</v>
      </c>
      <c r="AB37" s="29" t="s">
        <v>22</v>
      </c>
      <c r="AC37" s="29" t="s">
        <v>11</v>
      </c>
      <c r="AD37" s="29" t="s">
        <v>11</v>
      </c>
      <c r="AE37" s="29" t="s">
        <v>18</v>
      </c>
      <c r="AF37" s="29" t="s">
        <v>11</v>
      </c>
      <c r="AG37" s="29" t="s">
        <v>11</v>
      </c>
      <c r="AH37" s="29" t="s">
        <v>11</v>
      </c>
      <c r="AI37" s="29" t="s">
        <v>18</v>
      </c>
      <c r="AJ37" s="29" t="s">
        <v>11</v>
      </c>
      <c r="AK37" s="29" t="s">
        <v>11</v>
      </c>
      <c r="AL37" s="29" t="s">
        <v>11</v>
      </c>
      <c r="AM37" s="29" t="s">
        <v>11</v>
      </c>
      <c r="AN37" s="29" t="s">
        <v>11</v>
      </c>
      <c r="AO37" s="29" t="s">
        <v>18</v>
      </c>
      <c r="AP37" s="29" t="s">
        <v>11</v>
      </c>
      <c r="AQ37" s="29" t="s">
        <v>18</v>
      </c>
      <c r="AR37" s="29" t="s">
        <v>22</v>
      </c>
      <c r="AS37" s="29" t="s">
        <v>11</v>
      </c>
      <c r="AT37" s="29" t="s">
        <v>11</v>
      </c>
      <c r="AU37" s="29" t="s">
        <v>11</v>
      </c>
      <c r="AV37" s="29" t="s">
        <v>11</v>
      </c>
      <c r="AW37" s="29" t="s">
        <v>11</v>
      </c>
      <c r="AX37" s="29" t="s">
        <v>18</v>
      </c>
      <c r="AY37" s="29" t="s">
        <v>22</v>
      </c>
      <c r="AZ37" s="29" t="s">
        <v>11</v>
      </c>
      <c r="BA37" s="29" t="s">
        <v>18</v>
      </c>
      <c r="BB37" s="29" t="s">
        <v>22</v>
      </c>
      <c r="BC37" s="29" t="s">
        <v>18</v>
      </c>
      <c r="BD37" s="29" t="s">
        <v>22</v>
      </c>
      <c r="BE37" s="29" t="s">
        <v>11</v>
      </c>
      <c r="BF37" s="29" t="s">
        <v>22</v>
      </c>
      <c r="BG37" s="29" t="s">
        <v>18</v>
      </c>
      <c r="BH37" s="29" t="s">
        <v>11</v>
      </c>
      <c r="BI37" s="29" t="s">
        <v>11</v>
      </c>
      <c r="BJ37" s="29" t="s">
        <v>18</v>
      </c>
      <c r="BK37" s="29" t="s">
        <v>22</v>
      </c>
      <c r="BL37" s="29" t="s">
        <v>18</v>
      </c>
      <c r="BM37" s="29" t="s">
        <v>17</v>
      </c>
      <c r="BN37" s="29" t="s">
        <v>17</v>
      </c>
      <c r="BO37" s="29" t="s">
        <v>17</v>
      </c>
      <c r="BP37" s="29" t="s">
        <v>17</v>
      </c>
      <c r="BQ37" s="29" t="s">
        <v>17</v>
      </c>
      <c r="BR37" s="29" t="s">
        <v>17</v>
      </c>
      <c r="BS37" s="29" t="s">
        <v>17</v>
      </c>
      <c r="BT37" s="29" t="s">
        <v>17</v>
      </c>
      <c r="BU37" s="29" t="s">
        <v>17</v>
      </c>
    </row>
    <row r="38" spans="1:73" x14ac:dyDescent="0.3">
      <c r="A38" s="2">
        <f t="shared" si="17"/>
        <v>119</v>
      </c>
      <c r="B38" s="12">
        <f t="shared" si="17"/>
        <v>36</v>
      </c>
      <c r="C38" s="24">
        <v>44680.708333333336</v>
      </c>
      <c r="D38" s="4">
        <v>24</v>
      </c>
      <c r="E38" s="4">
        <f t="shared" si="15"/>
        <v>840</v>
      </c>
      <c r="F38" s="5">
        <f t="shared" si="16"/>
        <v>35</v>
      </c>
      <c r="G38">
        <f t="shared" si="13"/>
        <v>0</v>
      </c>
      <c r="H38">
        <f t="shared" si="1"/>
        <v>0</v>
      </c>
      <c r="I38">
        <f t="shared" si="2"/>
        <v>0</v>
      </c>
      <c r="J38">
        <f t="shared" si="3"/>
        <v>0</v>
      </c>
      <c r="K38">
        <f t="shared" si="4"/>
        <v>23</v>
      </c>
      <c r="L38" s="86">
        <f>COUNTIF($X38:$BU38, "AM")</f>
        <v>0</v>
      </c>
      <c r="M38" s="86">
        <f>COUNTIF($X38:$BU38, "AF")</f>
        <v>0</v>
      </c>
      <c r="N38" s="28"/>
      <c r="O38">
        <f t="shared" si="5"/>
        <v>9</v>
      </c>
      <c r="P38">
        <f>COUNTIF($X38:$BU38, "L1_D")</f>
        <v>11</v>
      </c>
      <c r="Q38">
        <f t="shared" si="6"/>
        <v>7</v>
      </c>
      <c r="R38">
        <f t="shared" si="7"/>
        <v>0</v>
      </c>
      <c r="S38">
        <f t="shared" si="8"/>
        <v>0</v>
      </c>
      <c r="T38">
        <f t="shared" si="9"/>
        <v>0</v>
      </c>
      <c r="U38">
        <f t="shared" si="10"/>
        <v>0</v>
      </c>
      <c r="V38" s="28"/>
      <c r="X38" s="29" t="s">
        <v>11</v>
      </c>
      <c r="Y38" s="29" t="s">
        <v>11</v>
      </c>
      <c r="Z38" s="29" t="s">
        <v>11</v>
      </c>
      <c r="AA38" s="29" t="s">
        <v>18</v>
      </c>
      <c r="AB38" s="29" t="s">
        <v>22</v>
      </c>
      <c r="AC38" s="29" t="s">
        <v>11</v>
      </c>
      <c r="AD38" s="29" t="s">
        <v>11</v>
      </c>
      <c r="AE38" s="29" t="s">
        <v>18</v>
      </c>
      <c r="AF38" s="29" t="s">
        <v>11</v>
      </c>
      <c r="AG38" s="29" t="s">
        <v>11</v>
      </c>
      <c r="AH38" s="29" t="s">
        <v>11</v>
      </c>
      <c r="AI38" s="29" t="s">
        <v>18</v>
      </c>
      <c r="AJ38" s="29" t="s">
        <v>11</v>
      </c>
      <c r="AK38" s="29" t="s">
        <v>11</v>
      </c>
      <c r="AL38" s="29" t="s">
        <v>11</v>
      </c>
      <c r="AM38" s="29" t="s">
        <v>11</v>
      </c>
      <c r="AN38" s="29" t="s">
        <v>11</v>
      </c>
      <c r="AO38" s="29" t="s">
        <v>18</v>
      </c>
      <c r="AP38" s="29" t="s">
        <v>11</v>
      </c>
      <c r="AQ38" s="29" t="s">
        <v>18</v>
      </c>
      <c r="AR38" s="29" t="s">
        <v>22</v>
      </c>
      <c r="AS38" s="29" t="s">
        <v>11</v>
      </c>
      <c r="AT38" s="29" t="s">
        <v>11</v>
      </c>
      <c r="AU38" s="29" t="s">
        <v>11</v>
      </c>
      <c r="AV38" s="29" t="s">
        <v>11</v>
      </c>
      <c r="AW38" s="29" t="s">
        <v>11</v>
      </c>
      <c r="AX38" s="29" t="s">
        <v>18</v>
      </c>
      <c r="AY38" s="29" t="s">
        <v>22</v>
      </c>
      <c r="AZ38" s="29" t="s">
        <v>11</v>
      </c>
      <c r="BA38" s="29" t="s">
        <v>18</v>
      </c>
      <c r="BB38" s="29" t="s">
        <v>22</v>
      </c>
      <c r="BC38" s="29" t="s">
        <v>18</v>
      </c>
      <c r="BD38" s="29" t="s">
        <v>22</v>
      </c>
      <c r="BE38" s="29" t="s">
        <v>11</v>
      </c>
      <c r="BF38" s="29" t="s">
        <v>22</v>
      </c>
      <c r="BG38" s="29" t="s">
        <v>18</v>
      </c>
      <c r="BH38" s="29" t="s">
        <v>11</v>
      </c>
      <c r="BI38" s="29" t="s">
        <v>11</v>
      </c>
      <c r="BJ38" s="29" t="s">
        <v>18</v>
      </c>
      <c r="BK38" s="29" t="s">
        <v>22</v>
      </c>
      <c r="BL38" s="29" t="s">
        <v>18</v>
      </c>
      <c r="BM38" s="29" t="s">
        <v>17</v>
      </c>
      <c r="BN38" s="29" t="s">
        <v>17</v>
      </c>
      <c r="BO38" s="29" t="s">
        <v>17</v>
      </c>
      <c r="BP38" s="29" t="s">
        <v>17</v>
      </c>
      <c r="BQ38" s="29" t="s">
        <v>17</v>
      </c>
      <c r="BR38" s="29" t="s">
        <v>17</v>
      </c>
      <c r="BS38" s="29" t="s">
        <v>17</v>
      </c>
      <c r="BT38" s="29" t="s">
        <v>17</v>
      </c>
      <c r="BU38" s="29" t="s">
        <v>17</v>
      </c>
    </row>
    <row r="39" spans="1:73" x14ac:dyDescent="0.3">
      <c r="A39" s="2">
        <f t="shared" si="17"/>
        <v>120</v>
      </c>
      <c r="B39" s="12">
        <f t="shared" si="17"/>
        <v>37</v>
      </c>
      <c r="C39" s="24">
        <v>44681.708333333336</v>
      </c>
      <c r="D39" s="4">
        <v>24</v>
      </c>
      <c r="E39" s="4">
        <f t="shared" si="15"/>
        <v>864</v>
      </c>
      <c r="F39" s="5">
        <f t="shared" si="16"/>
        <v>36</v>
      </c>
      <c r="G39">
        <f t="shared" si="13"/>
        <v>0</v>
      </c>
      <c r="H39">
        <f t="shared" si="1"/>
        <v>0</v>
      </c>
      <c r="I39">
        <f t="shared" si="2"/>
        <v>0</v>
      </c>
      <c r="J39">
        <f t="shared" si="3"/>
        <v>0</v>
      </c>
      <c r="K39">
        <f t="shared" si="4"/>
        <v>23</v>
      </c>
      <c r="L39" s="86">
        <f>COUNTIF($X39:$BU39, "AM")</f>
        <v>0</v>
      </c>
      <c r="M39" s="86">
        <f>COUNTIF($X39:$BU39, "AF")</f>
        <v>0</v>
      </c>
      <c r="N39" s="28"/>
      <c r="O39">
        <f t="shared" si="5"/>
        <v>9</v>
      </c>
      <c r="P39">
        <f>COUNTIF($X39:$BU39, "L1_D")</f>
        <v>11</v>
      </c>
      <c r="Q39">
        <f t="shared" si="6"/>
        <v>7</v>
      </c>
      <c r="R39">
        <f t="shared" si="7"/>
        <v>0</v>
      </c>
      <c r="S39">
        <f t="shared" si="8"/>
        <v>0</v>
      </c>
      <c r="T39">
        <f t="shared" si="9"/>
        <v>0</v>
      </c>
      <c r="U39">
        <f t="shared" si="10"/>
        <v>0</v>
      </c>
      <c r="V39" s="28"/>
      <c r="X39" s="29" t="s">
        <v>11</v>
      </c>
      <c r="Y39" s="29" t="s">
        <v>11</v>
      </c>
      <c r="Z39" s="29" t="s">
        <v>11</v>
      </c>
      <c r="AA39" s="29" t="s">
        <v>18</v>
      </c>
      <c r="AB39" s="29" t="s">
        <v>22</v>
      </c>
      <c r="AC39" s="29" t="s">
        <v>11</v>
      </c>
      <c r="AD39" s="29" t="s">
        <v>11</v>
      </c>
      <c r="AE39" s="29" t="s">
        <v>18</v>
      </c>
      <c r="AF39" s="29" t="s">
        <v>11</v>
      </c>
      <c r="AG39" s="29" t="s">
        <v>11</v>
      </c>
      <c r="AH39" s="29" t="s">
        <v>11</v>
      </c>
      <c r="AI39" s="29" t="s">
        <v>18</v>
      </c>
      <c r="AJ39" s="29" t="s">
        <v>11</v>
      </c>
      <c r="AK39" s="29" t="s">
        <v>11</v>
      </c>
      <c r="AL39" s="29" t="s">
        <v>11</v>
      </c>
      <c r="AM39" s="29" t="s">
        <v>11</v>
      </c>
      <c r="AN39" s="29" t="s">
        <v>11</v>
      </c>
      <c r="AO39" s="29" t="s">
        <v>18</v>
      </c>
      <c r="AP39" s="29" t="s">
        <v>11</v>
      </c>
      <c r="AQ39" s="29" t="s">
        <v>18</v>
      </c>
      <c r="AR39" s="29" t="s">
        <v>22</v>
      </c>
      <c r="AS39" s="29" t="s">
        <v>11</v>
      </c>
      <c r="AT39" s="29" t="s">
        <v>11</v>
      </c>
      <c r="AU39" s="29" t="s">
        <v>11</v>
      </c>
      <c r="AV39" s="29" t="s">
        <v>11</v>
      </c>
      <c r="AW39" s="29" t="s">
        <v>11</v>
      </c>
      <c r="AX39" s="29" t="s">
        <v>18</v>
      </c>
      <c r="AY39" s="29" t="s">
        <v>22</v>
      </c>
      <c r="AZ39" s="29" t="s">
        <v>11</v>
      </c>
      <c r="BA39" s="29" t="s">
        <v>18</v>
      </c>
      <c r="BB39" s="29" t="s">
        <v>22</v>
      </c>
      <c r="BC39" s="29" t="s">
        <v>18</v>
      </c>
      <c r="BD39" s="29" t="s">
        <v>22</v>
      </c>
      <c r="BE39" s="29" t="s">
        <v>11</v>
      </c>
      <c r="BF39" s="29" t="s">
        <v>22</v>
      </c>
      <c r="BG39" s="29" t="s">
        <v>18</v>
      </c>
      <c r="BH39" s="29" t="s">
        <v>11</v>
      </c>
      <c r="BI39" s="29" t="s">
        <v>11</v>
      </c>
      <c r="BJ39" s="29" t="s">
        <v>18</v>
      </c>
      <c r="BK39" s="29" t="s">
        <v>22</v>
      </c>
      <c r="BL39" s="29" t="s">
        <v>18</v>
      </c>
      <c r="BM39" s="29" t="s">
        <v>17</v>
      </c>
      <c r="BN39" s="29" t="s">
        <v>17</v>
      </c>
      <c r="BO39" s="29" t="s">
        <v>17</v>
      </c>
      <c r="BP39" s="29" t="s">
        <v>17</v>
      </c>
      <c r="BQ39" s="29" t="s">
        <v>17</v>
      </c>
      <c r="BR39" s="29" t="s">
        <v>17</v>
      </c>
      <c r="BS39" s="29" t="s">
        <v>17</v>
      </c>
      <c r="BT39" s="29" t="s">
        <v>17</v>
      </c>
      <c r="BU39" s="29" t="s">
        <v>17</v>
      </c>
    </row>
    <row r="40" spans="1:73" x14ac:dyDescent="0.3">
      <c r="A40" s="2">
        <f t="shared" si="17"/>
        <v>121</v>
      </c>
      <c r="B40" s="12">
        <f t="shared" si="17"/>
        <v>38</v>
      </c>
      <c r="C40" s="24">
        <v>44682.708333333336</v>
      </c>
      <c r="D40" s="4">
        <v>24</v>
      </c>
      <c r="E40" s="4">
        <f t="shared" si="15"/>
        <v>888</v>
      </c>
      <c r="F40" s="5">
        <f t="shared" si="16"/>
        <v>37</v>
      </c>
      <c r="G40">
        <f t="shared" si="13"/>
        <v>0</v>
      </c>
      <c r="H40">
        <f t="shared" si="1"/>
        <v>0</v>
      </c>
      <c r="I40">
        <f t="shared" si="2"/>
        <v>0</v>
      </c>
      <c r="J40">
        <f t="shared" si="3"/>
        <v>0</v>
      </c>
      <c r="K40">
        <f t="shared" si="4"/>
        <v>23</v>
      </c>
      <c r="L40" s="86">
        <f>COUNTIF($X40:$BU40, "AM")</f>
        <v>0</v>
      </c>
      <c r="M40" s="86">
        <f>COUNTIF($X40:$BU40, "AF")</f>
        <v>0</v>
      </c>
      <c r="N40" s="28"/>
      <c r="O40">
        <f t="shared" si="5"/>
        <v>9</v>
      </c>
      <c r="P40">
        <f>COUNTIF($X40:$BU40, "L1_D")</f>
        <v>11</v>
      </c>
      <c r="Q40">
        <f t="shared" si="6"/>
        <v>7</v>
      </c>
      <c r="R40">
        <f t="shared" si="7"/>
        <v>0</v>
      </c>
      <c r="S40">
        <f t="shared" si="8"/>
        <v>0</v>
      </c>
      <c r="T40">
        <f t="shared" si="9"/>
        <v>0</v>
      </c>
      <c r="U40">
        <f t="shared" si="10"/>
        <v>0</v>
      </c>
      <c r="V40" s="28"/>
      <c r="X40" s="29" t="s">
        <v>11</v>
      </c>
      <c r="Y40" s="29" t="s">
        <v>11</v>
      </c>
      <c r="Z40" s="29" t="s">
        <v>11</v>
      </c>
      <c r="AA40" s="29" t="s">
        <v>18</v>
      </c>
      <c r="AB40" s="29" t="s">
        <v>22</v>
      </c>
      <c r="AC40" s="29" t="s">
        <v>11</v>
      </c>
      <c r="AD40" s="29" t="s">
        <v>11</v>
      </c>
      <c r="AE40" s="29" t="s">
        <v>18</v>
      </c>
      <c r="AF40" s="29" t="s">
        <v>11</v>
      </c>
      <c r="AG40" s="29" t="s">
        <v>11</v>
      </c>
      <c r="AH40" s="29" t="s">
        <v>11</v>
      </c>
      <c r="AI40" s="29" t="s">
        <v>18</v>
      </c>
      <c r="AJ40" s="29" t="s">
        <v>11</v>
      </c>
      <c r="AK40" s="29" t="s">
        <v>11</v>
      </c>
      <c r="AL40" s="29" t="s">
        <v>11</v>
      </c>
      <c r="AM40" s="29" t="s">
        <v>11</v>
      </c>
      <c r="AN40" s="29" t="s">
        <v>11</v>
      </c>
      <c r="AO40" s="29" t="s">
        <v>18</v>
      </c>
      <c r="AP40" s="29" t="s">
        <v>11</v>
      </c>
      <c r="AQ40" s="29" t="s">
        <v>18</v>
      </c>
      <c r="AR40" s="29" t="s">
        <v>22</v>
      </c>
      <c r="AS40" s="29" t="s">
        <v>11</v>
      </c>
      <c r="AT40" s="29" t="s">
        <v>11</v>
      </c>
      <c r="AU40" s="29" t="s">
        <v>11</v>
      </c>
      <c r="AV40" s="29" t="s">
        <v>11</v>
      </c>
      <c r="AW40" s="29" t="s">
        <v>11</v>
      </c>
      <c r="AX40" s="29" t="s">
        <v>18</v>
      </c>
      <c r="AY40" s="29" t="s">
        <v>22</v>
      </c>
      <c r="AZ40" s="29" t="s">
        <v>11</v>
      </c>
      <c r="BA40" s="29" t="s">
        <v>18</v>
      </c>
      <c r="BB40" s="29" t="s">
        <v>22</v>
      </c>
      <c r="BC40" s="29" t="s">
        <v>18</v>
      </c>
      <c r="BD40" s="29" t="s">
        <v>22</v>
      </c>
      <c r="BE40" s="29" t="s">
        <v>11</v>
      </c>
      <c r="BF40" s="29" t="s">
        <v>22</v>
      </c>
      <c r="BG40" s="29" t="s">
        <v>18</v>
      </c>
      <c r="BH40" s="29" t="s">
        <v>11</v>
      </c>
      <c r="BI40" s="29" t="s">
        <v>11</v>
      </c>
      <c r="BJ40" s="29" t="s">
        <v>18</v>
      </c>
      <c r="BK40" s="29" t="s">
        <v>22</v>
      </c>
      <c r="BL40" s="29" t="s">
        <v>18</v>
      </c>
      <c r="BM40" s="29" t="s">
        <v>17</v>
      </c>
      <c r="BN40" s="29" t="s">
        <v>17</v>
      </c>
      <c r="BO40" s="29" t="s">
        <v>17</v>
      </c>
      <c r="BP40" s="29" t="s">
        <v>17</v>
      </c>
      <c r="BQ40" s="29" t="s">
        <v>17</v>
      </c>
      <c r="BR40" s="29" t="s">
        <v>17</v>
      </c>
      <c r="BS40" s="29" t="s">
        <v>17</v>
      </c>
      <c r="BT40" s="29" t="s">
        <v>17</v>
      </c>
      <c r="BU40" s="29" t="s">
        <v>17</v>
      </c>
    </row>
    <row r="41" spans="1:73" x14ac:dyDescent="0.3">
      <c r="A41" s="2">
        <f t="shared" si="17"/>
        <v>122</v>
      </c>
      <c r="B41" s="12">
        <f t="shared" si="17"/>
        <v>39</v>
      </c>
      <c r="C41" s="24">
        <v>44683.708333333336</v>
      </c>
      <c r="D41" s="4">
        <v>24</v>
      </c>
      <c r="E41" s="4">
        <f t="shared" si="15"/>
        <v>912</v>
      </c>
      <c r="F41" s="5">
        <f t="shared" si="16"/>
        <v>38</v>
      </c>
      <c r="G41">
        <f t="shared" si="13"/>
        <v>0</v>
      </c>
      <c r="H41">
        <f t="shared" si="1"/>
        <v>0</v>
      </c>
      <c r="I41">
        <f t="shared" si="2"/>
        <v>0</v>
      </c>
      <c r="J41">
        <f t="shared" si="3"/>
        <v>0</v>
      </c>
      <c r="K41">
        <f t="shared" si="4"/>
        <v>23</v>
      </c>
      <c r="L41" s="86">
        <f>COUNTIF($X41:$BU41, "AM")</f>
        <v>0</v>
      </c>
      <c r="M41" s="86">
        <f>COUNTIF($X41:$BU41, "AF")</f>
        <v>0</v>
      </c>
      <c r="N41" s="28"/>
      <c r="O41">
        <f t="shared" si="5"/>
        <v>9</v>
      </c>
      <c r="P41">
        <f>COUNTIF($X41:$BU41, "L1_D")</f>
        <v>11</v>
      </c>
      <c r="Q41">
        <f t="shared" si="6"/>
        <v>7</v>
      </c>
      <c r="R41">
        <f t="shared" si="7"/>
        <v>0</v>
      </c>
      <c r="S41">
        <f t="shared" si="8"/>
        <v>0</v>
      </c>
      <c r="T41">
        <f t="shared" si="9"/>
        <v>0</v>
      </c>
      <c r="U41">
        <f t="shared" si="10"/>
        <v>0</v>
      </c>
      <c r="V41" s="28"/>
      <c r="X41" s="29" t="s">
        <v>11</v>
      </c>
      <c r="Y41" s="29" t="s">
        <v>11</v>
      </c>
      <c r="Z41" s="29" t="s">
        <v>11</v>
      </c>
      <c r="AA41" s="29" t="s">
        <v>18</v>
      </c>
      <c r="AB41" s="29" t="s">
        <v>22</v>
      </c>
      <c r="AC41" s="29" t="s">
        <v>11</v>
      </c>
      <c r="AD41" s="29" t="s">
        <v>11</v>
      </c>
      <c r="AE41" s="29" t="s">
        <v>18</v>
      </c>
      <c r="AF41" s="29" t="s">
        <v>11</v>
      </c>
      <c r="AG41" s="29" t="s">
        <v>11</v>
      </c>
      <c r="AH41" s="29" t="s">
        <v>11</v>
      </c>
      <c r="AI41" s="29" t="s">
        <v>18</v>
      </c>
      <c r="AJ41" s="29" t="s">
        <v>11</v>
      </c>
      <c r="AK41" s="29" t="s">
        <v>11</v>
      </c>
      <c r="AL41" s="29" t="s">
        <v>11</v>
      </c>
      <c r="AM41" s="29" t="s">
        <v>11</v>
      </c>
      <c r="AN41" s="29" t="s">
        <v>11</v>
      </c>
      <c r="AO41" s="29" t="s">
        <v>18</v>
      </c>
      <c r="AP41" s="29" t="s">
        <v>11</v>
      </c>
      <c r="AQ41" s="29" t="s">
        <v>18</v>
      </c>
      <c r="AR41" s="29" t="s">
        <v>22</v>
      </c>
      <c r="AS41" s="29" t="s">
        <v>11</v>
      </c>
      <c r="AT41" s="29" t="s">
        <v>11</v>
      </c>
      <c r="AU41" s="29" t="s">
        <v>11</v>
      </c>
      <c r="AV41" s="29" t="s">
        <v>11</v>
      </c>
      <c r="AW41" s="29" t="s">
        <v>11</v>
      </c>
      <c r="AX41" s="29" t="s">
        <v>18</v>
      </c>
      <c r="AY41" s="29" t="s">
        <v>22</v>
      </c>
      <c r="AZ41" s="29" t="s">
        <v>11</v>
      </c>
      <c r="BA41" s="29" t="s">
        <v>18</v>
      </c>
      <c r="BB41" s="29" t="s">
        <v>22</v>
      </c>
      <c r="BC41" s="29" t="s">
        <v>18</v>
      </c>
      <c r="BD41" s="29" t="s">
        <v>22</v>
      </c>
      <c r="BE41" s="29" t="s">
        <v>11</v>
      </c>
      <c r="BF41" s="29" t="s">
        <v>22</v>
      </c>
      <c r="BG41" s="29" t="s">
        <v>18</v>
      </c>
      <c r="BH41" s="29" t="s">
        <v>11</v>
      </c>
      <c r="BI41" s="29" t="s">
        <v>11</v>
      </c>
      <c r="BJ41" s="29" t="s">
        <v>18</v>
      </c>
      <c r="BK41" s="29" t="s">
        <v>22</v>
      </c>
      <c r="BL41" s="29" t="s">
        <v>18</v>
      </c>
      <c r="BM41" s="29" t="s">
        <v>17</v>
      </c>
      <c r="BN41" s="29" t="s">
        <v>17</v>
      </c>
      <c r="BO41" s="29" t="s">
        <v>17</v>
      </c>
      <c r="BP41" s="29" t="s">
        <v>17</v>
      </c>
      <c r="BQ41" s="29" t="s">
        <v>17</v>
      </c>
      <c r="BR41" s="29" t="s">
        <v>17</v>
      </c>
      <c r="BS41" s="29" t="s">
        <v>17</v>
      </c>
      <c r="BT41" s="29" t="s">
        <v>17</v>
      </c>
      <c r="BU41" s="29" t="s">
        <v>17</v>
      </c>
    </row>
    <row r="42" spans="1:73" x14ac:dyDescent="0.3">
      <c r="A42" s="2">
        <f t="shared" si="17"/>
        <v>123</v>
      </c>
      <c r="B42" s="12">
        <f t="shared" si="17"/>
        <v>40</v>
      </c>
      <c r="C42" s="24">
        <v>44684.708333333336</v>
      </c>
      <c r="D42" s="4">
        <v>24</v>
      </c>
      <c r="E42" s="4">
        <f t="shared" si="15"/>
        <v>936</v>
      </c>
      <c r="F42" s="5">
        <f t="shared" si="16"/>
        <v>39</v>
      </c>
      <c r="G42">
        <f t="shared" si="13"/>
        <v>0</v>
      </c>
      <c r="H42">
        <f t="shared" si="1"/>
        <v>0</v>
      </c>
      <c r="I42">
        <f t="shared" si="2"/>
        <v>0</v>
      </c>
      <c r="J42">
        <f t="shared" si="3"/>
        <v>0</v>
      </c>
      <c r="K42">
        <f t="shared" si="4"/>
        <v>23</v>
      </c>
      <c r="L42" s="86">
        <f>COUNTIF($X42:$BU42, "AM")</f>
        <v>0</v>
      </c>
      <c r="M42" s="86">
        <f>COUNTIF($X42:$BU42, "AF")</f>
        <v>0</v>
      </c>
      <c r="N42" s="28"/>
      <c r="O42">
        <f t="shared" si="5"/>
        <v>9</v>
      </c>
      <c r="P42">
        <f>COUNTIF($X42:$BU42, "L1_D")</f>
        <v>11</v>
      </c>
      <c r="Q42">
        <f t="shared" si="6"/>
        <v>7</v>
      </c>
      <c r="R42">
        <f t="shared" si="7"/>
        <v>0</v>
      </c>
      <c r="S42">
        <f t="shared" si="8"/>
        <v>0</v>
      </c>
      <c r="T42">
        <f t="shared" si="9"/>
        <v>0</v>
      </c>
      <c r="U42">
        <f t="shared" si="10"/>
        <v>0</v>
      </c>
      <c r="V42" s="28"/>
      <c r="X42" s="29" t="s">
        <v>11</v>
      </c>
      <c r="Y42" s="29" t="s">
        <v>11</v>
      </c>
      <c r="Z42" s="29" t="s">
        <v>11</v>
      </c>
      <c r="AA42" s="29" t="s">
        <v>18</v>
      </c>
      <c r="AB42" s="29" t="s">
        <v>22</v>
      </c>
      <c r="AC42" s="29" t="s">
        <v>11</v>
      </c>
      <c r="AD42" s="29" t="s">
        <v>11</v>
      </c>
      <c r="AE42" s="29" t="s">
        <v>18</v>
      </c>
      <c r="AF42" s="29" t="s">
        <v>11</v>
      </c>
      <c r="AG42" s="29" t="s">
        <v>11</v>
      </c>
      <c r="AH42" s="29" t="s">
        <v>11</v>
      </c>
      <c r="AI42" s="29" t="s">
        <v>18</v>
      </c>
      <c r="AJ42" s="29" t="s">
        <v>11</v>
      </c>
      <c r="AK42" s="29" t="s">
        <v>11</v>
      </c>
      <c r="AL42" s="29" t="s">
        <v>11</v>
      </c>
      <c r="AM42" s="29" t="s">
        <v>11</v>
      </c>
      <c r="AN42" s="29" t="s">
        <v>11</v>
      </c>
      <c r="AO42" s="29" t="s">
        <v>18</v>
      </c>
      <c r="AP42" s="29" t="s">
        <v>11</v>
      </c>
      <c r="AQ42" s="29" t="s">
        <v>18</v>
      </c>
      <c r="AR42" s="29" t="s">
        <v>22</v>
      </c>
      <c r="AS42" s="29" t="s">
        <v>11</v>
      </c>
      <c r="AT42" s="29" t="s">
        <v>11</v>
      </c>
      <c r="AU42" s="29" t="s">
        <v>11</v>
      </c>
      <c r="AV42" s="29" t="s">
        <v>11</v>
      </c>
      <c r="AW42" s="29" t="s">
        <v>11</v>
      </c>
      <c r="AX42" s="29" t="s">
        <v>18</v>
      </c>
      <c r="AY42" s="29" t="s">
        <v>22</v>
      </c>
      <c r="AZ42" s="29" t="s">
        <v>11</v>
      </c>
      <c r="BA42" s="29" t="s">
        <v>18</v>
      </c>
      <c r="BB42" s="29" t="s">
        <v>22</v>
      </c>
      <c r="BC42" s="29" t="s">
        <v>18</v>
      </c>
      <c r="BD42" s="29" t="s">
        <v>22</v>
      </c>
      <c r="BE42" s="29" t="s">
        <v>11</v>
      </c>
      <c r="BF42" s="29" t="s">
        <v>22</v>
      </c>
      <c r="BG42" s="29" t="s">
        <v>18</v>
      </c>
      <c r="BH42" s="29" t="s">
        <v>11</v>
      </c>
      <c r="BI42" s="29" t="s">
        <v>11</v>
      </c>
      <c r="BJ42" s="29" t="s">
        <v>18</v>
      </c>
      <c r="BK42" s="29" t="s">
        <v>22</v>
      </c>
      <c r="BL42" s="29" t="s">
        <v>18</v>
      </c>
      <c r="BM42" s="29" t="s">
        <v>17</v>
      </c>
      <c r="BN42" s="29" t="s">
        <v>17</v>
      </c>
      <c r="BO42" s="29" t="s">
        <v>17</v>
      </c>
      <c r="BP42" s="29" t="s">
        <v>17</v>
      </c>
      <c r="BQ42" s="29" t="s">
        <v>17</v>
      </c>
      <c r="BR42" s="29" t="s">
        <v>17</v>
      </c>
      <c r="BS42" s="29" t="s">
        <v>17</v>
      </c>
      <c r="BT42" s="29" t="s">
        <v>17</v>
      </c>
      <c r="BU42" s="29" t="s">
        <v>17</v>
      </c>
    </row>
    <row r="43" spans="1:73" x14ac:dyDescent="0.3">
      <c r="A43" s="2">
        <f t="shared" si="17"/>
        <v>124</v>
      </c>
      <c r="B43" s="12">
        <f t="shared" si="17"/>
        <v>41</v>
      </c>
      <c r="C43" s="24">
        <v>44685.708333333336</v>
      </c>
      <c r="D43" s="4">
        <v>24</v>
      </c>
      <c r="E43" s="4">
        <f t="shared" si="15"/>
        <v>960</v>
      </c>
      <c r="F43" s="5">
        <f t="shared" si="16"/>
        <v>40</v>
      </c>
      <c r="G43">
        <f t="shared" si="13"/>
        <v>0</v>
      </c>
      <c r="H43">
        <f t="shared" si="1"/>
        <v>0</v>
      </c>
      <c r="I43">
        <f t="shared" si="2"/>
        <v>0</v>
      </c>
      <c r="J43">
        <f t="shared" si="3"/>
        <v>0</v>
      </c>
      <c r="K43">
        <f t="shared" si="4"/>
        <v>23</v>
      </c>
      <c r="L43" s="86">
        <f>COUNTIF($X43:$BU43, "AM")</f>
        <v>0</v>
      </c>
      <c r="M43" s="86">
        <f>COUNTIF($X43:$BU43, "AF")</f>
        <v>0</v>
      </c>
      <c r="N43" s="28"/>
      <c r="O43">
        <f t="shared" si="5"/>
        <v>9</v>
      </c>
      <c r="P43">
        <f>COUNTIF($X43:$BU43, "L1_D")</f>
        <v>11</v>
      </c>
      <c r="Q43">
        <f t="shared" si="6"/>
        <v>7</v>
      </c>
      <c r="R43">
        <f t="shared" si="7"/>
        <v>0</v>
      </c>
      <c r="S43">
        <f t="shared" si="8"/>
        <v>0</v>
      </c>
      <c r="T43">
        <f t="shared" si="9"/>
        <v>0</v>
      </c>
      <c r="U43">
        <f t="shared" si="10"/>
        <v>0</v>
      </c>
      <c r="V43" s="28"/>
      <c r="X43" s="29" t="s">
        <v>11</v>
      </c>
      <c r="Y43" s="29" t="s">
        <v>11</v>
      </c>
      <c r="Z43" s="29" t="s">
        <v>11</v>
      </c>
      <c r="AA43" s="29" t="s">
        <v>18</v>
      </c>
      <c r="AB43" s="29" t="s">
        <v>22</v>
      </c>
      <c r="AC43" s="29" t="s">
        <v>11</v>
      </c>
      <c r="AD43" s="29" t="s">
        <v>11</v>
      </c>
      <c r="AE43" s="29" t="s">
        <v>18</v>
      </c>
      <c r="AF43" s="29" t="s">
        <v>11</v>
      </c>
      <c r="AG43" s="29" t="s">
        <v>11</v>
      </c>
      <c r="AH43" s="29" t="s">
        <v>11</v>
      </c>
      <c r="AI43" s="29" t="s">
        <v>18</v>
      </c>
      <c r="AJ43" s="29" t="s">
        <v>11</v>
      </c>
      <c r="AK43" s="29" t="s">
        <v>11</v>
      </c>
      <c r="AL43" s="29" t="s">
        <v>11</v>
      </c>
      <c r="AM43" s="29" t="s">
        <v>11</v>
      </c>
      <c r="AN43" s="29" t="s">
        <v>11</v>
      </c>
      <c r="AO43" s="29" t="s">
        <v>18</v>
      </c>
      <c r="AP43" s="29" t="s">
        <v>11</v>
      </c>
      <c r="AQ43" s="29" t="s">
        <v>18</v>
      </c>
      <c r="AR43" s="29" t="s">
        <v>22</v>
      </c>
      <c r="AS43" s="29" t="s">
        <v>11</v>
      </c>
      <c r="AT43" s="29" t="s">
        <v>11</v>
      </c>
      <c r="AU43" s="29" t="s">
        <v>11</v>
      </c>
      <c r="AV43" s="29" t="s">
        <v>11</v>
      </c>
      <c r="AW43" s="29" t="s">
        <v>11</v>
      </c>
      <c r="AX43" s="29" t="s">
        <v>18</v>
      </c>
      <c r="AY43" s="29" t="s">
        <v>22</v>
      </c>
      <c r="AZ43" s="29" t="s">
        <v>11</v>
      </c>
      <c r="BA43" s="29" t="s">
        <v>18</v>
      </c>
      <c r="BB43" s="29" t="s">
        <v>22</v>
      </c>
      <c r="BC43" s="29" t="s">
        <v>18</v>
      </c>
      <c r="BD43" s="29" t="s">
        <v>22</v>
      </c>
      <c r="BE43" s="29" t="s">
        <v>11</v>
      </c>
      <c r="BF43" s="29" t="s">
        <v>22</v>
      </c>
      <c r="BG43" s="29" t="s">
        <v>18</v>
      </c>
      <c r="BH43" s="29" t="s">
        <v>11</v>
      </c>
      <c r="BI43" s="29" t="s">
        <v>11</v>
      </c>
      <c r="BJ43" s="29" t="s">
        <v>18</v>
      </c>
      <c r="BK43" s="29" t="s">
        <v>22</v>
      </c>
      <c r="BL43" s="29" t="s">
        <v>18</v>
      </c>
      <c r="BM43" s="29" t="s">
        <v>17</v>
      </c>
      <c r="BN43" s="29" t="s">
        <v>17</v>
      </c>
      <c r="BO43" s="29" t="s">
        <v>17</v>
      </c>
      <c r="BP43" s="29" t="s">
        <v>17</v>
      </c>
      <c r="BQ43" s="29" t="s">
        <v>17</v>
      </c>
      <c r="BR43" s="29" t="s">
        <v>17</v>
      </c>
      <c r="BS43" s="29" t="s">
        <v>17</v>
      </c>
      <c r="BT43" s="29" t="s">
        <v>17</v>
      </c>
      <c r="BU43" s="29" t="s">
        <v>17</v>
      </c>
    </row>
    <row r="44" spans="1:73" x14ac:dyDescent="0.3">
      <c r="A44" s="2">
        <f t="shared" si="17"/>
        <v>125</v>
      </c>
      <c r="B44" s="12">
        <f t="shared" si="17"/>
        <v>42</v>
      </c>
      <c r="C44" s="24">
        <v>44686.708333333336</v>
      </c>
      <c r="D44" s="4">
        <v>24</v>
      </c>
      <c r="E44" s="4">
        <f t="shared" si="15"/>
        <v>984</v>
      </c>
      <c r="F44" s="5">
        <f t="shared" si="16"/>
        <v>41</v>
      </c>
      <c r="G44">
        <f t="shared" si="13"/>
        <v>0</v>
      </c>
      <c r="H44">
        <f t="shared" si="1"/>
        <v>0</v>
      </c>
      <c r="I44">
        <f t="shared" si="2"/>
        <v>0</v>
      </c>
      <c r="J44">
        <f t="shared" si="3"/>
        <v>0</v>
      </c>
      <c r="K44">
        <f t="shared" si="4"/>
        <v>23</v>
      </c>
      <c r="L44" s="86">
        <f>COUNTIF($X44:$BU44, "AM")</f>
        <v>0</v>
      </c>
      <c r="M44" s="86">
        <f>COUNTIF($X44:$BU44, "AF")</f>
        <v>0</v>
      </c>
      <c r="N44" s="28"/>
      <c r="O44">
        <f t="shared" si="5"/>
        <v>9</v>
      </c>
      <c r="P44">
        <f>COUNTIF($X44:$BU44, "L1_D")</f>
        <v>11</v>
      </c>
      <c r="Q44">
        <f t="shared" si="6"/>
        <v>7</v>
      </c>
      <c r="R44">
        <f t="shared" si="7"/>
        <v>0</v>
      </c>
      <c r="S44">
        <f t="shared" si="8"/>
        <v>0</v>
      </c>
      <c r="T44">
        <f t="shared" si="9"/>
        <v>0</v>
      </c>
      <c r="U44">
        <f t="shared" si="10"/>
        <v>0</v>
      </c>
      <c r="V44" s="28"/>
      <c r="X44" s="29" t="s">
        <v>11</v>
      </c>
      <c r="Y44" s="29" t="s">
        <v>11</v>
      </c>
      <c r="Z44" s="29" t="s">
        <v>11</v>
      </c>
      <c r="AA44" s="29" t="s">
        <v>18</v>
      </c>
      <c r="AB44" s="29" t="s">
        <v>22</v>
      </c>
      <c r="AC44" s="29" t="s">
        <v>11</v>
      </c>
      <c r="AD44" s="29" t="s">
        <v>11</v>
      </c>
      <c r="AE44" s="29" t="s">
        <v>18</v>
      </c>
      <c r="AF44" s="29" t="s">
        <v>11</v>
      </c>
      <c r="AG44" s="29" t="s">
        <v>11</v>
      </c>
      <c r="AH44" s="29" t="s">
        <v>11</v>
      </c>
      <c r="AI44" s="29" t="s">
        <v>18</v>
      </c>
      <c r="AJ44" s="29" t="s">
        <v>11</v>
      </c>
      <c r="AK44" s="29" t="s">
        <v>11</v>
      </c>
      <c r="AL44" s="29" t="s">
        <v>11</v>
      </c>
      <c r="AM44" s="29" t="s">
        <v>11</v>
      </c>
      <c r="AN44" s="29" t="s">
        <v>11</v>
      </c>
      <c r="AO44" s="29" t="s">
        <v>18</v>
      </c>
      <c r="AP44" s="29" t="s">
        <v>11</v>
      </c>
      <c r="AQ44" s="29" t="s">
        <v>18</v>
      </c>
      <c r="AR44" s="29" t="s">
        <v>22</v>
      </c>
      <c r="AS44" s="29" t="s">
        <v>11</v>
      </c>
      <c r="AT44" s="29" t="s">
        <v>11</v>
      </c>
      <c r="AU44" s="29" t="s">
        <v>11</v>
      </c>
      <c r="AV44" s="29" t="s">
        <v>11</v>
      </c>
      <c r="AW44" s="29" t="s">
        <v>11</v>
      </c>
      <c r="AX44" s="29" t="s">
        <v>18</v>
      </c>
      <c r="AY44" s="29" t="s">
        <v>22</v>
      </c>
      <c r="AZ44" s="29" t="s">
        <v>11</v>
      </c>
      <c r="BA44" s="29" t="s">
        <v>18</v>
      </c>
      <c r="BB44" s="29" t="s">
        <v>22</v>
      </c>
      <c r="BC44" s="29" t="s">
        <v>18</v>
      </c>
      <c r="BD44" s="29" t="s">
        <v>22</v>
      </c>
      <c r="BE44" s="29" t="s">
        <v>11</v>
      </c>
      <c r="BF44" s="29" t="s">
        <v>22</v>
      </c>
      <c r="BG44" s="29" t="s">
        <v>18</v>
      </c>
      <c r="BH44" s="29" t="s">
        <v>11</v>
      </c>
      <c r="BI44" s="29" t="s">
        <v>11</v>
      </c>
      <c r="BJ44" s="29" t="s">
        <v>18</v>
      </c>
      <c r="BK44" s="29" t="s">
        <v>22</v>
      </c>
      <c r="BL44" s="29" t="s">
        <v>18</v>
      </c>
      <c r="BM44" s="29" t="s">
        <v>17</v>
      </c>
      <c r="BN44" s="29" t="s">
        <v>17</v>
      </c>
      <c r="BO44" s="29" t="s">
        <v>17</v>
      </c>
      <c r="BP44" s="29" t="s">
        <v>17</v>
      </c>
      <c r="BQ44" s="29" t="s">
        <v>17</v>
      </c>
      <c r="BR44" s="29" t="s">
        <v>17</v>
      </c>
      <c r="BS44" s="29" t="s">
        <v>17</v>
      </c>
      <c r="BT44" s="29" t="s">
        <v>17</v>
      </c>
      <c r="BU44" s="29" t="s">
        <v>17</v>
      </c>
    </row>
    <row r="45" spans="1:73" x14ac:dyDescent="0.3">
      <c r="A45" s="2">
        <f t="shared" si="17"/>
        <v>126</v>
      </c>
      <c r="B45" s="12">
        <f t="shared" si="17"/>
        <v>43</v>
      </c>
      <c r="C45" s="24">
        <v>44687.708333333336</v>
      </c>
      <c r="D45" s="4">
        <v>24</v>
      </c>
      <c r="E45" s="4">
        <f t="shared" si="15"/>
        <v>1008</v>
      </c>
      <c r="F45" s="5">
        <f t="shared" si="16"/>
        <v>42</v>
      </c>
      <c r="G45">
        <f t="shared" si="13"/>
        <v>0</v>
      </c>
      <c r="H45">
        <f t="shared" si="1"/>
        <v>0</v>
      </c>
      <c r="I45">
        <f t="shared" si="2"/>
        <v>0</v>
      </c>
      <c r="J45">
        <f t="shared" si="3"/>
        <v>0</v>
      </c>
      <c r="K45">
        <f t="shared" si="4"/>
        <v>22</v>
      </c>
      <c r="L45" s="86">
        <f>COUNTIF($X45:$BU45, "AM")</f>
        <v>0</v>
      </c>
      <c r="M45" s="86">
        <f>COUNTIF($X45:$BU45, "AF")</f>
        <v>0</v>
      </c>
      <c r="N45" s="28"/>
      <c r="O45">
        <f t="shared" si="5"/>
        <v>9</v>
      </c>
      <c r="P45">
        <f>COUNTIF($X45:$BU45, "L1_D")</f>
        <v>11</v>
      </c>
      <c r="Q45">
        <f t="shared" si="6"/>
        <v>7</v>
      </c>
      <c r="R45">
        <f t="shared" si="7"/>
        <v>0</v>
      </c>
      <c r="S45">
        <f t="shared" si="8"/>
        <v>1</v>
      </c>
      <c r="T45">
        <f t="shared" si="9"/>
        <v>0</v>
      </c>
      <c r="U45">
        <f t="shared" si="10"/>
        <v>0</v>
      </c>
      <c r="V45" s="28"/>
      <c r="X45" s="29" t="s">
        <v>11</v>
      </c>
      <c r="Y45" s="90" t="s">
        <v>26</v>
      </c>
      <c r="Z45" s="29" t="s">
        <v>11</v>
      </c>
      <c r="AA45" s="29" t="s">
        <v>18</v>
      </c>
      <c r="AB45" s="29" t="s">
        <v>22</v>
      </c>
      <c r="AC45" s="29" t="s">
        <v>11</v>
      </c>
      <c r="AD45" s="29" t="s">
        <v>11</v>
      </c>
      <c r="AE45" s="29" t="s">
        <v>18</v>
      </c>
      <c r="AF45" s="29" t="s">
        <v>11</v>
      </c>
      <c r="AG45" s="29" t="s">
        <v>11</v>
      </c>
      <c r="AH45" s="29" t="s">
        <v>11</v>
      </c>
      <c r="AI45" s="29" t="s">
        <v>18</v>
      </c>
      <c r="AJ45" s="29" t="s">
        <v>11</v>
      </c>
      <c r="AK45" s="29" t="s">
        <v>11</v>
      </c>
      <c r="AL45" s="29" t="s">
        <v>11</v>
      </c>
      <c r="AM45" s="29" t="s">
        <v>11</v>
      </c>
      <c r="AN45" s="29" t="s">
        <v>11</v>
      </c>
      <c r="AO45" s="29" t="s">
        <v>18</v>
      </c>
      <c r="AP45" s="29" t="s">
        <v>11</v>
      </c>
      <c r="AQ45" s="29" t="s">
        <v>18</v>
      </c>
      <c r="AR45" s="29" t="s">
        <v>22</v>
      </c>
      <c r="AS45" s="29" t="s">
        <v>11</v>
      </c>
      <c r="AT45" s="29" t="s">
        <v>11</v>
      </c>
      <c r="AU45" s="29" t="s">
        <v>11</v>
      </c>
      <c r="AV45" s="29" t="s">
        <v>11</v>
      </c>
      <c r="AW45" s="29" t="s">
        <v>11</v>
      </c>
      <c r="AX45" s="29" t="s">
        <v>18</v>
      </c>
      <c r="AY45" s="29" t="s">
        <v>22</v>
      </c>
      <c r="AZ45" s="29" t="s">
        <v>11</v>
      </c>
      <c r="BA45" s="29" t="s">
        <v>18</v>
      </c>
      <c r="BB45" s="29" t="s">
        <v>22</v>
      </c>
      <c r="BC45" s="29" t="s">
        <v>18</v>
      </c>
      <c r="BD45" s="29" t="s">
        <v>22</v>
      </c>
      <c r="BE45" s="29" t="s">
        <v>11</v>
      </c>
      <c r="BF45" s="29" t="s">
        <v>22</v>
      </c>
      <c r="BG45" s="29" t="s">
        <v>18</v>
      </c>
      <c r="BH45" s="29" t="s">
        <v>11</v>
      </c>
      <c r="BI45" s="29" t="s">
        <v>11</v>
      </c>
      <c r="BJ45" s="29" t="s">
        <v>18</v>
      </c>
      <c r="BK45" s="29" t="s">
        <v>22</v>
      </c>
      <c r="BL45" s="29" t="s">
        <v>18</v>
      </c>
      <c r="BM45" s="29" t="s">
        <v>17</v>
      </c>
      <c r="BN45" s="29" t="s">
        <v>17</v>
      </c>
      <c r="BO45" s="29" t="s">
        <v>17</v>
      </c>
      <c r="BP45" s="29" t="s">
        <v>17</v>
      </c>
      <c r="BQ45" s="29" t="s">
        <v>17</v>
      </c>
      <c r="BR45" s="29" t="s">
        <v>17</v>
      </c>
      <c r="BS45" s="29" t="s">
        <v>17</v>
      </c>
      <c r="BT45" s="29" t="s">
        <v>17</v>
      </c>
      <c r="BU45" s="29" t="s">
        <v>17</v>
      </c>
    </row>
    <row r="46" spans="1:73" x14ac:dyDescent="0.3">
      <c r="A46" s="2">
        <f t="shared" si="17"/>
        <v>127</v>
      </c>
      <c r="B46" s="12">
        <f t="shared" si="17"/>
        <v>44</v>
      </c>
      <c r="C46" s="24">
        <v>44688.708333333336</v>
      </c>
      <c r="D46" s="4">
        <v>24</v>
      </c>
      <c r="E46" s="4">
        <f t="shared" si="15"/>
        <v>1032</v>
      </c>
      <c r="F46" s="5">
        <f t="shared" si="16"/>
        <v>43</v>
      </c>
      <c r="G46">
        <f t="shared" si="13"/>
        <v>0</v>
      </c>
      <c r="H46">
        <f t="shared" si="1"/>
        <v>0</v>
      </c>
      <c r="I46">
        <f t="shared" si="2"/>
        <v>0</v>
      </c>
      <c r="J46">
        <f t="shared" si="3"/>
        <v>0</v>
      </c>
      <c r="K46">
        <f t="shared" si="4"/>
        <v>22</v>
      </c>
      <c r="L46" s="86">
        <f>COUNTIF($X46:$BU46, "AM")</f>
        <v>0</v>
      </c>
      <c r="M46" s="86">
        <f>COUNTIF($X46:$BU46, "AF")</f>
        <v>0</v>
      </c>
      <c r="N46" s="28"/>
      <c r="O46">
        <f t="shared" si="5"/>
        <v>9</v>
      </c>
      <c r="P46">
        <f>COUNTIF($X46:$BU46, "L1_D")</f>
        <v>11</v>
      </c>
      <c r="Q46">
        <f t="shared" si="6"/>
        <v>7</v>
      </c>
      <c r="R46">
        <f t="shared" si="7"/>
        <v>0</v>
      </c>
      <c r="S46">
        <f t="shared" si="8"/>
        <v>1</v>
      </c>
      <c r="T46">
        <f t="shared" si="9"/>
        <v>0</v>
      </c>
      <c r="U46">
        <f t="shared" si="10"/>
        <v>0</v>
      </c>
      <c r="V46" s="28"/>
      <c r="X46" s="29" t="s">
        <v>11</v>
      </c>
      <c r="Y46" s="90" t="s">
        <v>26</v>
      </c>
      <c r="Z46" s="29" t="s">
        <v>11</v>
      </c>
      <c r="AA46" s="29" t="s">
        <v>18</v>
      </c>
      <c r="AB46" s="29" t="s">
        <v>22</v>
      </c>
      <c r="AC46" s="29" t="s">
        <v>11</v>
      </c>
      <c r="AD46" s="29" t="s">
        <v>11</v>
      </c>
      <c r="AE46" s="29" t="s">
        <v>18</v>
      </c>
      <c r="AF46" s="29" t="s">
        <v>11</v>
      </c>
      <c r="AG46" s="29" t="s">
        <v>11</v>
      </c>
      <c r="AH46" s="29" t="s">
        <v>11</v>
      </c>
      <c r="AI46" s="29" t="s">
        <v>18</v>
      </c>
      <c r="AJ46" s="29" t="s">
        <v>11</v>
      </c>
      <c r="AK46" s="29" t="s">
        <v>11</v>
      </c>
      <c r="AL46" s="29" t="s">
        <v>11</v>
      </c>
      <c r="AM46" s="29" t="s">
        <v>11</v>
      </c>
      <c r="AN46" s="29" t="s">
        <v>11</v>
      </c>
      <c r="AO46" s="29" t="s">
        <v>18</v>
      </c>
      <c r="AP46" s="29" t="s">
        <v>11</v>
      </c>
      <c r="AQ46" s="29" t="s">
        <v>18</v>
      </c>
      <c r="AR46" s="29" t="s">
        <v>22</v>
      </c>
      <c r="AS46" s="29" t="s">
        <v>11</v>
      </c>
      <c r="AT46" s="29" t="s">
        <v>11</v>
      </c>
      <c r="AU46" s="29" t="s">
        <v>11</v>
      </c>
      <c r="AV46" s="29" t="s">
        <v>11</v>
      </c>
      <c r="AW46" s="29" t="s">
        <v>11</v>
      </c>
      <c r="AX46" s="29" t="s">
        <v>18</v>
      </c>
      <c r="AY46" s="29" t="s">
        <v>22</v>
      </c>
      <c r="AZ46" s="29" t="s">
        <v>11</v>
      </c>
      <c r="BA46" s="29" t="s">
        <v>18</v>
      </c>
      <c r="BB46" s="29" t="s">
        <v>22</v>
      </c>
      <c r="BC46" s="29" t="s">
        <v>18</v>
      </c>
      <c r="BD46" s="29" t="s">
        <v>22</v>
      </c>
      <c r="BE46" s="29" t="s">
        <v>11</v>
      </c>
      <c r="BF46" s="29" t="s">
        <v>22</v>
      </c>
      <c r="BG46" s="29" t="s">
        <v>18</v>
      </c>
      <c r="BH46" s="29" t="s">
        <v>11</v>
      </c>
      <c r="BI46" s="29" t="s">
        <v>11</v>
      </c>
      <c r="BJ46" s="29" t="s">
        <v>18</v>
      </c>
      <c r="BK46" s="29" t="s">
        <v>22</v>
      </c>
      <c r="BL46" s="29" t="s">
        <v>18</v>
      </c>
      <c r="BM46" s="29" t="s">
        <v>17</v>
      </c>
      <c r="BN46" s="29" t="s">
        <v>17</v>
      </c>
      <c r="BO46" s="29" t="s">
        <v>17</v>
      </c>
      <c r="BP46" s="29" t="s">
        <v>17</v>
      </c>
      <c r="BQ46" s="29" t="s">
        <v>17</v>
      </c>
      <c r="BR46" s="29" t="s">
        <v>17</v>
      </c>
      <c r="BS46" s="29" t="s">
        <v>17</v>
      </c>
      <c r="BT46" s="29" t="s">
        <v>17</v>
      </c>
      <c r="BU46" s="29" t="s">
        <v>17</v>
      </c>
    </row>
    <row r="47" spans="1:73" x14ac:dyDescent="0.3">
      <c r="A47" s="2">
        <f t="shared" si="17"/>
        <v>128</v>
      </c>
      <c r="B47" s="12">
        <f t="shared" si="17"/>
        <v>45</v>
      </c>
      <c r="C47" s="24">
        <v>44689.708333333336</v>
      </c>
      <c r="D47" s="4">
        <v>24</v>
      </c>
      <c r="E47" s="4">
        <f t="shared" si="15"/>
        <v>1056</v>
      </c>
      <c r="F47" s="5">
        <f t="shared" si="16"/>
        <v>44</v>
      </c>
      <c r="G47">
        <f t="shared" si="13"/>
        <v>0</v>
      </c>
      <c r="H47">
        <f t="shared" si="1"/>
        <v>0</v>
      </c>
      <c r="I47">
        <f t="shared" si="2"/>
        <v>0</v>
      </c>
      <c r="J47">
        <f t="shared" si="3"/>
        <v>0</v>
      </c>
      <c r="K47">
        <f t="shared" si="4"/>
        <v>22</v>
      </c>
      <c r="L47" s="86">
        <f>COUNTIF($X47:$BU47, "AM")</f>
        <v>0</v>
      </c>
      <c r="M47" s="86">
        <f>COUNTIF($X47:$BU47, "AF")</f>
        <v>0</v>
      </c>
      <c r="N47" s="28"/>
      <c r="O47">
        <f t="shared" si="5"/>
        <v>9</v>
      </c>
      <c r="P47">
        <f>COUNTIF($X47:$BU47, "L1_D")</f>
        <v>11</v>
      </c>
      <c r="Q47">
        <f t="shared" si="6"/>
        <v>7</v>
      </c>
      <c r="R47">
        <f t="shared" si="7"/>
        <v>0</v>
      </c>
      <c r="S47">
        <f t="shared" si="8"/>
        <v>1</v>
      </c>
      <c r="T47">
        <f t="shared" si="9"/>
        <v>0</v>
      </c>
      <c r="U47">
        <f t="shared" si="10"/>
        <v>0</v>
      </c>
      <c r="V47" s="28"/>
      <c r="X47" s="29" t="s">
        <v>11</v>
      </c>
      <c r="Y47" s="90" t="s">
        <v>26</v>
      </c>
      <c r="Z47" s="29" t="s">
        <v>11</v>
      </c>
      <c r="AA47" s="29" t="s">
        <v>18</v>
      </c>
      <c r="AB47" s="29" t="s">
        <v>22</v>
      </c>
      <c r="AC47" s="29" t="s">
        <v>11</v>
      </c>
      <c r="AD47" s="29" t="s">
        <v>11</v>
      </c>
      <c r="AE47" s="29" t="s">
        <v>18</v>
      </c>
      <c r="AF47" s="29" t="s">
        <v>11</v>
      </c>
      <c r="AG47" s="29" t="s">
        <v>11</v>
      </c>
      <c r="AH47" s="29" t="s">
        <v>11</v>
      </c>
      <c r="AI47" s="29" t="s">
        <v>18</v>
      </c>
      <c r="AJ47" s="29" t="s">
        <v>11</v>
      </c>
      <c r="AK47" s="29" t="s">
        <v>11</v>
      </c>
      <c r="AL47" s="29" t="s">
        <v>11</v>
      </c>
      <c r="AM47" s="29" t="s">
        <v>11</v>
      </c>
      <c r="AN47" s="29" t="s">
        <v>11</v>
      </c>
      <c r="AO47" s="29" t="s">
        <v>18</v>
      </c>
      <c r="AP47" s="29" t="s">
        <v>11</v>
      </c>
      <c r="AQ47" s="29" t="s">
        <v>18</v>
      </c>
      <c r="AR47" s="29" t="s">
        <v>22</v>
      </c>
      <c r="AS47" s="29" t="s">
        <v>11</v>
      </c>
      <c r="AT47" s="29" t="s">
        <v>11</v>
      </c>
      <c r="AU47" s="29" t="s">
        <v>11</v>
      </c>
      <c r="AV47" s="29" t="s">
        <v>11</v>
      </c>
      <c r="AW47" s="29" t="s">
        <v>11</v>
      </c>
      <c r="AX47" s="29" t="s">
        <v>18</v>
      </c>
      <c r="AY47" s="29" t="s">
        <v>22</v>
      </c>
      <c r="AZ47" s="29" t="s">
        <v>11</v>
      </c>
      <c r="BA47" s="29" t="s">
        <v>18</v>
      </c>
      <c r="BB47" s="29" t="s">
        <v>22</v>
      </c>
      <c r="BC47" s="29" t="s">
        <v>18</v>
      </c>
      <c r="BD47" s="29" t="s">
        <v>22</v>
      </c>
      <c r="BE47" s="29" t="s">
        <v>11</v>
      </c>
      <c r="BF47" s="29" t="s">
        <v>22</v>
      </c>
      <c r="BG47" s="29" t="s">
        <v>18</v>
      </c>
      <c r="BH47" s="29" t="s">
        <v>11</v>
      </c>
      <c r="BI47" s="29" t="s">
        <v>11</v>
      </c>
      <c r="BJ47" s="29" t="s">
        <v>18</v>
      </c>
      <c r="BK47" s="29" t="s">
        <v>22</v>
      </c>
      <c r="BL47" s="29" t="s">
        <v>18</v>
      </c>
      <c r="BM47" s="29" t="s">
        <v>17</v>
      </c>
      <c r="BN47" s="29" t="s">
        <v>17</v>
      </c>
      <c r="BO47" s="29" t="s">
        <v>17</v>
      </c>
      <c r="BP47" s="29" t="s">
        <v>17</v>
      </c>
      <c r="BQ47" s="29" t="s">
        <v>17</v>
      </c>
      <c r="BR47" s="29" t="s">
        <v>17</v>
      </c>
      <c r="BS47" s="29" t="s">
        <v>17</v>
      </c>
      <c r="BT47" s="29" t="s">
        <v>17</v>
      </c>
      <c r="BU47" s="29" t="s">
        <v>17</v>
      </c>
    </row>
    <row r="48" spans="1:73" x14ac:dyDescent="0.3">
      <c r="A48" s="2">
        <f t="shared" si="17"/>
        <v>129</v>
      </c>
      <c r="B48" s="12">
        <f t="shared" si="17"/>
        <v>46</v>
      </c>
      <c r="C48" s="24">
        <v>44690.708333333336</v>
      </c>
      <c r="D48" s="4">
        <v>24</v>
      </c>
      <c r="E48" s="4">
        <f t="shared" si="15"/>
        <v>1080</v>
      </c>
      <c r="F48" s="5">
        <f t="shared" si="16"/>
        <v>45</v>
      </c>
      <c r="G48">
        <f t="shared" si="13"/>
        <v>0</v>
      </c>
      <c r="H48">
        <f t="shared" si="1"/>
        <v>0</v>
      </c>
      <c r="I48">
        <f t="shared" si="2"/>
        <v>0</v>
      </c>
      <c r="J48">
        <f t="shared" si="3"/>
        <v>0</v>
      </c>
      <c r="K48">
        <f t="shared" si="4"/>
        <v>20</v>
      </c>
      <c r="L48" s="86">
        <f>COUNTIF($X48:$BU48, "AM")</f>
        <v>1</v>
      </c>
      <c r="M48" s="86">
        <f>COUNTIF($X48:$BU48, "AF")</f>
        <v>1</v>
      </c>
      <c r="N48" s="28"/>
      <c r="O48">
        <f t="shared" si="5"/>
        <v>9</v>
      </c>
      <c r="P48">
        <f>COUNTIF($X48:$BU48, "L1_D")</f>
        <v>11</v>
      </c>
      <c r="Q48">
        <f t="shared" si="6"/>
        <v>7</v>
      </c>
      <c r="R48">
        <f t="shared" si="7"/>
        <v>0</v>
      </c>
      <c r="S48">
        <f t="shared" si="8"/>
        <v>1</v>
      </c>
      <c r="T48">
        <f t="shared" si="9"/>
        <v>0</v>
      </c>
      <c r="U48">
        <f t="shared" si="10"/>
        <v>0</v>
      </c>
      <c r="V48" s="28"/>
      <c r="X48" s="29" t="s">
        <v>11</v>
      </c>
      <c r="Y48" s="90" t="s">
        <v>26</v>
      </c>
      <c r="Z48" s="29" t="s">
        <v>11</v>
      </c>
      <c r="AA48" s="29" t="s">
        <v>18</v>
      </c>
      <c r="AB48" s="29" t="s">
        <v>22</v>
      </c>
      <c r="AC48" s="29" t="s">
        <v>11</v>
      </c>
      <c r="AD48" s="29" t="s">
        <v>11</v>
      </c>
      <c r="AE48" s="29" t="s">
        <v>18</v>
      </c>
      <c r="AF48" s="29" t="s">
        <v>11</v>
      </c>
      <c r="AG48" s="29" t="s">
        <v>11</v>
      </c>
      <c r="AH48" s="89" t="s">
        <v>14</v>
      </c>
      <c r="AI48" s="29" t="s">
        <v>18</v>
      </c>
      <c r="AJ48" s="29" t="s">
        <v>11</v>
      </c>
      <c r="AK48" s="29" t="s">
        <v>11</v>
      </c>
      <c r="AL48" s="89" t="s">
        <v>13</v>
      </c>
      <c r="AM48" s="29" t="s">
        <v>11</v>
      </c>
      <c r="AN48" s="29" t="s">
        <v>11</v>
      </c>
      <c r="AO48" s="29" t="s">
        <v>18</v>
      </c>
      <c r="AP48" s="29" t="s">
        <v>11</v>
      </c>
      <c r="AQ48" s="29" t="s">
        <v>18</v>
      </c>
      <c r="AR48" s="29" t="s">
        <v>22</v>
      </c>
      <c r="AS48" s="29" t="s">
        <v>11</v>
      </c>
      <c r="AT48" s="29" t="s">
        <v>11</v>
      </c>
      <c r="AU48" s="29" t="s">
        <v>11</v>
      </c>
      <c r="AV48" s="29" t="s">
        <v>11</v>
      </c>
      <c r="AW48" s="29" t="s">
        <v>11</v>
      </c>
      <c r="AX48" s="29" t="s">
        <v>18</v>
      </c>
      <c r="AY48" s="29" t="s">
        <v>22</v>
      </c>
      <c r="AZ48" s="29" t="s">
        <v>11</v>
      </c>
      <c r="BA48" s="29" t="s">
        <v>18</v>
      </c>
      <c r="BB48" s="29" t="s">
        <v>22</v>
      </c>
      <c r="BC48" s="29" t="s">
        <v>18</v>
      </c>
      <c r="BD48" s="29" t="s">
        <v>22</v>
      </c>
      <c r="BE48" s="29" t="s">
        <v>11</v>
      </c>
      <c r="BF48" s="29" t="s">
        <v>22</v>
      </c>
      <c r="BG48" s="29" t="s">
        <v>18</v>
      </c>
      <c r="BH48" s="29" t="s">
        <v>11</v>
      </c>
      <c r="BI48" s="29" t="s">
        <v>11</v>
      </c>
      <c r="BJ48" s="29" t="s">
        <v>18</v>
      </c>
      <c r="BK48" s="29" t="s">
        <v>22</v>
      </c>
      <c r="BL48" s="29" t="s">
        <v>18</v>
      </c>
      <c r="BM48" s="29" t="s">
        <v>17</v>
      </c>
      <c r="BN48" s="29" t="s">
        <v>17</v>
      </c>
      <c r="BO48" s="29" t="s">
        <v>17</v>
      </c>
      <c r="BP48" s="29" t="s">
        <v>17</v>
      </c>
      <c r="BQ48" s="29" t="s">
        <v>17</v>
      </c>
      <c r="BR48" s="29" t="s">
        <v>17</v>
      </c>
      <c r="BS48" s="29" t="s">
        <v>17</v>
      </c>
      <c r="BT48" s="29" t="s">
        <v>17</v>
      </c>
      <c r="BU48" s="29" t="s">
        <v>17</v>
      </c>
    </row>
    <row r="49" spans="1:73" x14ac:dyDescent="0.3">
      <c r="A49" s="2">
        <f t="shared" si="17"/>
        <v>130</v>
      </c>
      <c r="B49" s="12">
        <f t="shared" si="17"/>
        <v>47</v>
      </c>
      <c r="C49" s="24">
        <v>44691.708333333336</v>
      </c>
      <c r="D49" s="4">
        <v>24</v>
      </c>
      <c r="E49" s="4">
        <f t="shared" si="15"/>
        <v>1104</v>
      </c>
      <c r="F49" s="5">
        <f t="shared" si="16"/>
        <v>46</v>
      </c>
      <c r="G49">
        <f t="shared" si="13"/>
        <v>0</v>
      </c>
      <c r="H49">
        <f t="shared" si="1"/>
        <v>0</v>
      </c>
      <c r="I49">
        <f t="shared" si="2"/>
        <v>0</v>
      </c>
      <c r="J49">
        <f t="shared" si="3"/>
        <v>0</v>
      </c>
      <c r="K49">
        <f t="shared" si="4"/>
        <v>20</v>
      </c>
      <c r="L49" s="86">
        <f>COUNTIF($X49:$BU49, "AM")</f>
        <v>1</v>
      </c>
      <c r="M49" s="86">
        <f>COUNTIF($X49:$BU49, "AF")</f>
        <v>1</v>
      </c>
      <c r="N49" s="28"/>
      <c r="O49">
        <f t="shared" si="5"/>
        <v>9</v>
      </c>
      <c r="P49">
        <f>COUNTIF($X49:$BU49, "L1_D")</f>
        <v>11</v>
      </c>
      <c r="Q49">
        <f t="shared" si="6"/>
        <v>7</v>
      </c>
      <c r="R49">
        <f t="shared" si="7"/>
        <v>0</v>
      </c>
      <c r="S49">
        <f t="shared" si="8"/>
        <v>1</v>
      </c>
      <c r="T49">
        <f t="shared" si="9"/>
        <v>0</v>
      </c>
      <c r="U49">
        <f t="shared" si="10"/>
        <v>0</v>
      </c>
      <c r="V49" s="28"/>
      <c r="X49" s="29" t="s">
        <v>11</v>
      </c>
      <c r="Y49" s="90" t="s">
        <v>26</v>
      </c>
      <c r="Z49" s="29" t="s">
        <v>11</v>
      </c>
      <c r="AA49" s="29" t="s">
        <v>18</v>
      </c>
      <c r="AB49" s="29" t="s">
        <v>22</v>
      </c>
      <c r="AC49" s="29" t="s">
        <v>11</v>
      </c>
      <c r="AD49" s="29" t="s">
        <v>11</v>
      </c>
      <c r="AE49" s="29" t="s">
        <v>18</v>
      </c>
      <c r="AF49" s="29" t="s">
        <v>11</v>
      </c>
      <c r="AG49" s="29" t="s">
        <v>11</v>
      </c>
      <c r="AH49" s="89" t="s">
        <v>14</v>
      </c>
      <c r="AI49" s="29" t="s">
        <v>18</v>
      </c>
      <c r="AJ49" s="29" t="s">
        <v>11</v>
      </c>
      <c r="AK49" s="29" t="s">
        <v>11</v>
      </c>
      <c r="AL49" s="89" t="s">
        <v>13</v>
      </c>
      <c r="AM49" s="29" t="s">
        <v>11</v>
      </c>
      <c r="AN49" s="29" t="s">
        <v>11</v>
      </c>
      <c r="AO49" s="29" t="s">
        <v>18</v>
      </c>
      <c r="AP49" s="29" t="s">
        <v>11</v>
      </c>
      <c r="AQ49" s="29" t="s">
        <v>18</v>
      </c>
      <c r="AR49" s="29" t="s">
        <v>22</v>
      </c>
      <c r="AS49" s="29" t="s">
        <v>11</v>
      </c>
      <c r="AT49" s="29" t="s">
        <v>11</v>
      </c>
      <c r="AU49" s="29" t="s">
        <v>11</v>
      </c>
      <c r="AV49" s="29" t="s">
        <v>11</v>
      </c>
      <c r="AW49" s="29" t="s">
        <v>11</v>
      </c>
      <c r="AX49" s="29" t="s">
        <v>18</v>
      </c>
      <c r="AY49" s="29" t="s">
        <v>22</v>
      </c>
      <c r="AZ49" s="29" t="s">
        <v>11</v>
      </c>
      <c r="BA49" s="29" t="s">
        <v>18</v>
      </c>
      <c r="BB49" s="29" t="s">
        <v>22</v>
      </c>
      <c r="BC49" s="29" t="s">
        <v>18</v>
      </c>
      <c r="BD49" s="29" t="s">
        <v>22</v>
      </c>
      <c r="BE49" s="29" t="s">
        <v>11</v>
      </c>
      <c r="BF49" s="29" t="s">
        <v>22</v>
      </c>
      <c r="BG49" s="29" t="s">
        <v>18</v>
      </c>
      <c r="BH49" s="29" t="s">
        <v>11</v>
      </c>
      <c r="BI49" s="29" t="s">
        <v>11</v>
      </c>
      <c r="BJ49" s="29" t="s">
        <v>18</v>
      </c>
      <c r="BK49" s="29" t="s">
        <v>22</v>
      </c>
      <c r="BL49" s="29" t="s">
        <v>18</v>
      </c>
      <c r="BM49" s="29" t="s">
        <v>17</v>
      </c>
      <c r="BN49" s="29" t="s">
        <v>17</v>
      </c>
      <c r="BO49" s="29" t="s">
        <v>17</v>
      </c>
      <c r="BP49" s="29" t="s">
        <v>17</v>
      </c>
      <c r="BQ49" s="29" t="s">
        <v>17</v>
      </c>
      <c r="BR49" s="29" t="s">
        <v>17</v>
      </c>
      <c r="BS49" s="29" t="s">
        <v>17</v>
      </c>
      <c r="BT49" s="29" t="s">
        <v>17</v>
      </c>
      <c r="BU49" s="29" t="s">
        <v>17</v>
      </c>
    </row>
    <row r="50" spans="1:73" x14ac:dyDescent="0.3">
      <c r="A50" s="2">
        <f t="shared" si="17"/>
        <v>131</v>
      </c>
      <c r="B50" s="12">
        <f t="shared" si="17"/>
        <v>48</v>
      </c>
      <c r="C50" s="24">
        <v>44692.708333333336</v>
      </c>
      <c r="D50" s="4">
        <v>24</v>
      </c>
      <c r="E50" s="4">
        <f t="shared" si="15"/>
        <v>1128</v>
      </c>
      <c r="F50" s="5">
        <f t="shared" si="16"/>
        <v>47</v>
      </c>
      <c r="G50">
        <f t="shared" si="13"/>
        <v>0</v>
      </c>
      <c r="H50">
        <f t="shared" si="1"/>
        <v>0</v>
      </c>
      <c r="I50">
        <f t="shared" si="2"/>
        <v>0</v>
      </c>
      <c r="J50">
        <f t="shared" si="3"/>
        <v>0</v>
      </c>
      <c r="K50">
        <f t="shared" si="4"/>
        <v>20</v>
      </c>
      <c r="L50" s="86">
        <f>COUNTIF($X50:$BU50, "AM")</f>
        <v>1</v>
      </c>
      <c r="M50" s="86">
        <f>COUNTIF($X50:$BU50, "AF")</f>
        <v>1</v>
      </c>
      <c r="N50" s="28"/>
      <c r="O50">
        <f t="shared" si="5"/>
        <v>9</v>
      </c>
      <c r="P50">
        <f>COUNTIF($X50:$BU50, "L1_D")</f>
        <v>11</v>
      </c>
      <c r="Q50">
        <f t="shared" si="6"/>
        <v>7</v>
      </c>
      <c r="R50">
        <f t="shared" si="7"/>
        <v>0</v>
      </c>
      <c r="S50">
        <f t="shared" si="8"/>
        <v>1</v>
      </c>
      <c r="T50">
        <f t="shared" si="9"/>
        <v>0</v>
      </c>
      <c r="U50">
        <f t="shared" si="10"/>
        <v>0</v>
      </c>
      <c r="V50" s="28"/>
      <c r="X50" s="29" t="s">
        <v>11</v>
      </c>
      <c r="Y50" s="90" t="s">
        <v>26</v>
      </c>
      <c r="Z50" s="29" t="s">
        <v>11</v>
      </c>
      <c r="AA50" s="29" t="s">
        <v>18</v>
      </c>
      <c r="AB50" s="29" t="s">
        <v>22</v>
      </c>
      <c r="AC50" s="29" t="s">
        <v>11</v>
      </c>
      <c r="AD50" s="29" t="s">
        <v>11</v>
      </c>
      <c r="AE50" s="29" t="s">
        <v>18</v>
      </c>
      <c r="AF50" s="29" t="s">
        <v>11</v>
      </c>
      <c r="AG50" s="29" t="s">
        <v>11</v>
      </c>
      <c r="AH50" s="89" t="s">
        <v>14</v>
      </c>
      <c r="AI50" s="29" t="s">
        <v>18</v>
      </c>
      <c r="AJ50" s="29" t="s">
        <v>11</v>
      </c>
      <c r="AK50" s="29" t="s">
        <v>11</v>
      </c>
      <c r="AL50" s="89" t="s">
        <v>13</v>
      </c>
      <c r="AM50" s="29" t="s">
        <v>11</v>
      </c>
      <c r="AN50" s="29" t="s">
        <v>11</v>
      </c>
      <c r="AO50" s="29" t="s">
        <v>18</v>
      </c>
      <c r="AP50" s="29" t="s">
        <v>11</v>
      </c>
      <c r="AQ50" s="29" t="s">
        <v>18</v>
      </c>
      <c r="AR50" s="29" t="s">
        <v>22</v>
      </c>
      <c r="AS50" s="29" t="s">
        <v>11</v>
      </c>
      <c r="AT50" s="29" t="s">
        <v>11</v>
      </c>
      <c r="AU50" s="29" t="s">
        <v>11</v>
      </c>
      <c r="AV50" s="29" t="s">
        <v>11</v>
      </c>
      <c r="AW50" s="29" t="s">
        <v>11</v>
      </c>
      <c r="AX50" s="29" t="s">
        <v>18</v>
      </c>
      <c r="AY50" s="29" t="s">
        <v>22</v>
      </c>
      <c r="AZ50" s="29" t="s">
        <v>11</v>
      </c>
      <c r="BA50" s="29" t="s">
        <v>18</v>
      </c>
      <c r="BB50" s="29" t="s">
        <v>22</v>
      </c>
      <c r="BC50" s="29" t="s">
        <v>18</v>
      </c>
      <c r="BD50" s="29" t="s">
        <v>22</v>
      </c>
      <c r="BE50" s="29" t="s">
        <v>11</v>
      </c>
      <c r="BF50" s="29" t="s">
        <v>22</v>
      </c>
      <c r="BG50" s="29" t="s">
        <v>18</v>
      </c>
      <c r="BH50" s="29" t="s">
        <v>11</v>
      </c>
      <c r="BI50" s="29" t="s">
        <v>11</v>
      </c>
      <c r="BJ50" s="29" t="s">
        <v>18</v>
      </c>
      <c r="BK50" s="29" t="s">
        <v>22</v>
      </c>
      <c r="BL50" s="29" t="s">
        <v>18</v>
      </c>
      <c r="BM50" s="29" t="s">
        <v>17</v>
      </c>
      <c r="BN50" s="29" t="s">
        <v>17</v>
      </c>
      <c r="BO50" s="29" t="s">
        <v>17</v>
      </c>
      <c r="BP50" s="29" t="s">
        <v>17</v>
      </c>
      <c r="BQ50" s="29" t="s">
        <v>17</v>
      </c>
      <c r="BR50" s="29" t="s">
        <v>17</v>
      </c>
      <c r="BS50" s="29" t="s">
        <v>17</v>
      </c>
      <c r="BT50" s="29" t="s">
        <v>17</v>
      </c>
      <c r="BU50" s="29" t="s">
        <v>17</v>
      </c>
    </row>
    <row r="51" spans="1:73" x14ac:dyDescent="0.3">
      <c r="A51" s="2">
        <f t="shared" si="17"/>
        <v>132</v>
      </c>
      <c r="B51" s="12">
        <f t="shared" si="17"/>
        <v>49</v>
      </c>
      <c r="C51" s="24">
        <v>44693.708333333336</v>
      </c>
      <c r="D51" s="4">
        <v>24</v>
      </c>
      <c r="E51" s="4">
        <f t="shared" si="15"/>
        <v>1152</v>
      </c>
      <c r="F51" s="5">
        <f t="shared" si="16"/>
        <v>48</v>
      </c>
      <c r="G51">
        <f t="shared" si="13"/>
        <v>0</v>
      </c>
      <c r="H51">
        <f t="shared" si="1"/>
        <v>0</v>
      </c>
      <c r="I51">
        <f t="shared" si="2"/>
        <v>0</v>
      </c>
      <c r="J51">
        <f t="shared" si="3"/>
        <v>0</v>
      </c>
      <c r="K51">
        <f t="shared" si="4"/>
        <v>20</v>
      </c>
      <c r="L51" s="86">
        <f>COUNTIF($X51:$BU51, "AM")</f>
        <v>1</v>
      </c>
      <c r="M51" s="86">
        <f>COUNTIF($X51:$BU51, "AF")</f>
        <v>1</v>
      </c>
      <c r="N51" s="28"/>
      <c r="O51">
        <f t="shared" si="5"/>
        <v>9</v>
      </c>
      <c r="P51">
        <f>COUNTIF($X51:$BU51, "L1_D")</f>
        <v>11</v>
      </c>
      <c r="Q51">
        <f t="shared" si="6"/>
        <v>7</v>
      </c>
      <c r="R51">
        <f t="shared" si="7"/>
        <v>0</v>
      </c>
      <c r="S51">
        <f t="shared" si="8"/>
        <v>1</v>
      </c>
      <c r="T51">
        <f t="shared" si="9"/>
        <v>0</v>
      </c>
      <c r="U51">
        <f t="shared" si="10"/>
        <v>0</v>
      </c>
      <c r="V51" s="28"/>
      <c r="X51" s="29" t="s">
        <v>11</v>
      </c>
      <c r="Y51" s="90" t="s">
        <v>26</v>
      </c>
      <c r="Z51" s="29" t="s">
        <v>11</v>
      </c>
      <c r="AA51" s="29" t="s">
        <v>18</v>
      </c>
      <c r="AB51" s="29" t="s">
        <v>22</v>
      </c>
      <c r="AC51" s="29" t="s">
        <v>11</v>
      </c>
      <c r="AD51" s="29" t="s">
        <v>11</v>
      </c>
      <c r="AE51" s="29" t="s">
        <v>18</v>
      </c>
      <c r="AF51" s="29" t="s">
        <v>11</v>
      </c>
      <c r="AG51" s="29" t="s">
        <v>11</v>
      </c>
      <c r="AH51" s="89" t="s">
        <v>14</v>
      </c>
      <c r="AI51" s="29" t="s">
        <v>18</v>
      </c>
      <c r="AJ51" s="29" t="s">
        <v>11</v>
      </c>
      <c r="AK51" s="29" t="s">
        <v>11</v>
      </c>
      <c r="AL51" s="89" t="s">
        <v>13</v>
      </c>
      <c r="AM51" s="29" t="s">
        <v>11</v>
      </c>
      <c r="AN51" s="29" t="s">
        <v>11</v>
      </c>
      <c r="AO51" s="29" t="s">
        <v>18</v>
      </c>
      <c r="AP51" s="29" t="s">
        <v>11</v>
      </c>
      <c r="AQ51" s="29" t="s">
        <v>18</v>
      </c>
      <c r="AR51" s="29" t="s">
        <v>22</v>
      </c>
      <c r="AS51" s="29" t="s">
        <v>11</v>
      </c>
      <c r="AT51" s="29" t="s">
        <v>11</v>
      </c>
      <c r="AU51" s="29" t="s">
        <v>11</v>
      </c>
      <c r="AV51" s="29" t="s">
        <v>11</v>
      </c>
      <c r="AW51" s="29" t="s">
        <v>11</v>
      </c>
      <c r="AX51" s="29" t="s">
        <v>18</v>
      </c>
      <c r="AY51" s="29" t="s">
        <v>22</v>
      </c>
      <c r="AZ51" s="29" t="s">
        <v>11</v>
      </c>
      <c r="BA51" s="29" t="s">
        <v>18</v>
      </c>
      <c r="BB51" s="29" t="s">
        <v>22</v>
      </c>
      <c r="BC51" s="29" t="s">
        <v>18</v>
      </c>
      <c r="BD51" s="29" t="s">
        <v>22</v>
      </c>
      <c r="BE51" s="29" t="s">
        <v>11</v>
      </c>
      <c r="BF51" s="29" t="s">
        <v>22</v>
      </c>
      <c r="BG51" s="29" t="s">
        <v>18</v>
      </c>
      <c r="BH51" s="29" t="s">
        <v>11</v>
      </c>
      <c r="BI51" s="29" t="s">
        <v>11</v>
      </c>
      <c r="BJ51" s="29" t="s">
        <v>18</v>
      </c>
      <c r="BK51" s="29" t="s">
        <v>22</v>
      </c>
      <c r="BL51" s="29" t="s">
        <v>18</v>
      </c>
      <c r="BM51" s="29" t="s">
        <v>17</v>
      </c>
      <c r="BN51" s="29" t="s">
        <v>17</v>
      </c>
      <c r="BO51" s="29" t="s">
        <v>17</v>
      </c>
      <c r="BP51" s="29" t="s">
        <v>17</v>
      </c>
      <c r="BQ51" s="29" t="s">
        <v>17</v>
      </c>
      <c r="BR51" s="29" t="s">
        <v>17</v>
      </c>
      <c r="BS51" s="29" t="s">
        <v>17</v>
      </c>
      <c r="BT51" s="29" t="s">
        <v>17</v>
      </c>
      <c r="BU51" s="29" t="s">
        <v>17</v>
      </c>
    </row>
    <row r="52" spans="1:73" x14ac:dyDescent="0.3">
      <c r="A52" s="2">
        <f t="shared" si="17"/>
        <v>133</v>
      </c>
      <c r="B52" s="12">
        <f t="shared" si="17"/>
        <v>50</v>
      </c>
      <c r="C52" s="24">
        <v>44694.708333333336</v>
      </c>
      <c r="D52" s="4">
        <v>24</v>
      </c>
      <c r="E52" s="4">
        <f t="shared" si="15"/>
        <v>1176</v>
      </c>
      <c r="F52" s="5">
        <f t="shared" si="16"/>
        <v>49</v>
      </c>
      <c r="G52">
        <f t="shared" si="13"/>
        <v>0</v>
      </c>
      <c r="H52">
        <f t="shared" si="1"/>
        <v>0</v>
      </c>
      <c r="I52">
        <f t="shared" si="2"/>
        <v>0</v>
      </c>
      <c r="J52">
        <f t="shared" si="3"/>
        <v>0</v>
      </c>
      <c r="K52">
        <f t="shared" si="4"/>
        <v>13</v>
      </c>
      <c r="L52" s="86">
        <f>COUNTIF($X52:$BU52, "AM")</f>
        <v>3</v>
      </c>
      <c r="M52" s="86">
        <f>COUNTIF($X52:$BU52, "AF")</f>
        <v>3</v>
      </c>
      <c r="N52" s="28"/>
      <c r="O52">
        <f t="shared" si="5"/>
        <v>9</v>
      </c>
      <c r="P52">
        <f>COUNTIF($X52:$BU52, "L1_D")</f>
        <v>11</v>
      </c>
      <c r="Q52">
        <f t="shared" si="6"/>
        <v>7</v>
      </c>
      <c r="R52">
        <f t="shared" si="7"/>
        <v>0</v>
      </c>
      <c r="S52">
        <f t="shared" si="8"/>
        <v>4</v>
      </c>
      <c r="T52">
        <f t="shared" si="9"/>
        <v>0</v>
      </c>
      <c r="U52">
        <f t="shared" si="10"/>
        <v>0</v>
      </c>
      <c r="V52" s="28"/>
      <c r="X52" s="29" t="s">
        <v>11</v>
      </c>
      <c r="Y52" s="90" t="s">
        <v>26</v>
      </c>
      <c r="Z52" s="29" t="s">
        <v>11</v>
      </c>
      <c r="AA52" s="29" t="s">
        <v>18</v>
      </c>
      <c r="AB52" s="29" t="s">
        <v>22</v>
      </c>
      <c r="AC52" s="29" t="s">
        <v>11</v>
      </c>
      <c r="AD52" s="29" t="s">
        <v>11</v>
      </c>
      <c r="AE52" s="29" t="s">
        <v>18</v>
      </c>
      <c r="AF52" s="29" t="s">
        <v>11</v>
      </c>
      <c r="AG52" s="89" t="s">
        <v>14</v>
      </c>
      <c r="AH52" s="89" t="s">
        <v>14</v>
      </c>
      <c r="AI52" s="29" t="s">
        <v>18</v>
      </c>
      <c r="AJ52" s="89" t="s">
        <v>14</v>
      </c>
      <c r="AK52" s="29" t="s">
        <v>11</v>
      </c>
      <c r="AL52" s="89" t="s">
        <v>13</v>
      </c>
      <c r="AM52" s="89" t="s">
        <v>13</v>
      </c>
      <c r="AN52" s="29" t="s">
        <v>11</v>
      </c>
      <c r="AO52" s="29" t="s">
        <v>18</v>
      </c>
      <c r="AP52" s="89" t="s">
        <v>13</v>
      </c>
      <c r="AQ52" s="29" t="s">
        <v>18</v>
      </c>
      <c r="AR52" s="29" t="s">
        <v>22</v>
      </c>
      <c r="AS52" s="29" t="s">
        <v>11</v>
      </c>
      <c r="AT52" s="29" t="s">
        <v>11</v>
      </c>
      <c r="AU52" s="90" t="s">
        <v>26</v>
      </c>
      <c r="AV52" s="90" t="s">
        <v>26</v>
      </c>
      <c r="AW52" s="29" t="s">
        <v>11</v>
      </c>
      <c r="AX52" s="29" t="s">
        <v>18</v>
      </c>
      <c r="AY52" s="29" t="s">
        <v>22</v>
      </c>
      <c r="AZ52" s="90" t="s">
        <v>26</v>
      </c>
      <c r="BA52" s="29" t="s">
        <v>18</v>
      </c>
      <c r="BB52" s="29" t="s">
        <v>22</v>
      </c>
      <c r="BC52" s="29" t="s">
        <v>18</v>
      </c>
      <c r="BD52" s="29" t="s">
        <v>22</v>
      </c>
      <c r="BE52" s="29" t="s">
        <v>11</v>
      </c>
      <c r="BF52" s="29" t="s">
        <v>22</v>
      </c>
      <c r="BG52" s="29" t="s">
        <v>18</v>
      </c>
      <c r="BH52" s="29" t="s">
        <v>11</v>
      </c>
      <c r="BI52" s="29" t="s">
        <v>11</v>
      </c>
      <c r="BJ52" s="29" t="s">
        <v>18</v>
      </c>
      <c r="BK52" s="29" t="s">
        <v>22</v>
      </c>
      <c r="BL52" s="29" t="s">
        <v>18</v>
      </c>
      <c r="BM52" s="29" t="s">
        <v>17</v>
      </c>
      <c r="BN52" s="29" t="s">
        <v>17</v>
      </c>
      <c r="BO52" s="29" t="s">
        <v>17</v>
      </c>
      <c r="BP52" s="29" t="s">
        <v>17</v>
      </c>
      <c r="BQ52" s="29" t="s">
        <v>17</v>
      </c>
      <c r="BR52" s="29" t="s">
        <v>17</v>
      </c>
      <c r="BS52" s="29" t="s">
        <v>17</v>
      </c>
      <c r="BT52" s="29" t="s">
        <v>17</v>
      </c>
      <c r="BU52" s="29" t="s">
        <v>17</v>
      </c>
    </row>
    <row r="53" spans="1:73" x14ac:dyDescent="0.3">
      <c r="A53" s="2">
        <f t="shared" ref="A53:B55" si="18">A52+1</f>
        <v>134</v>
      </c>
      <c r="B53" s="12">
        <f t="shared" si="18"/>
        <v>51</v>
      </c>
      <c r="C53" s="24">
        <v>44695.708333333336</v>
      </c>
      <c r="D53" s="4">
        <v>24</v>
      </c>
      <c r="E53" s="4">
        <f t="shared" si="15"/>
        <v>1200</v>
      </c>
      <c r="F53" s="5">
        <f t="shared" si="16"/>
        <v>50</v>
      </c>
      <c r="G53">
        <f t="shared" si="13"/>
        <v>0</v>
      </c>
      <c r="H53">
        <f t="shared" si="1"/>
        <v>0</v>
      </c>
      <c r="I53">
        <f t="shared" si="2"/>
        <v>0</v>
      </c>
      <c r="J53">
        <f t="shared" si="3"/>
        <v>0</v>
      </c>
      <c r="K53">
        <f t="shared" si="4"/>
        <v>4</v>
      </c>
      <c r="L53" s="86">
        <f>COUNTIF($X53:$BU53, "AM")</f>
        <v>5</v>
      </c>
      <c r="M53" s="86">
        <f>COUNTIF($X53:$BU53, "AF")</f>
        <v>5</v>
      </c>
      <c r="N53" s="28"/>
      <c r="O53">
        <f t="shared" si="5"/>
        <v>9</v>
      </c>
      <c r="P53">
        <f>COUNTIF($X53:$BU53, "L1_D")</f>
        <v>11</v>
      </c>
      <c r="Q53">
        <f t="shared" si="6"/>
        <v>7</v>
      </c>
      <c r="R53">
        <f t="shared" si="7"/>
        <v>0</v>
      </c>
      <c r="S53">
        <f t="shared" si="8"/>
        <v>9</v>
      </c>
      <c r="T53">
        <f t="shared" si="9"/>
        <v>0</v>
      </c>
      <c r="U53">
        <f t="shared" si="10"/>
        <v>0</v>
      </c>
      <c r="V53" s="28"/>
      <c r="X53" s="29" t="s">
        <v>11</v>
      </c>
      <c r="Y53" s="90" t="s">
        <v>26</v>
      </c>
      <c r="Z53" s="90" t="s">
        <v>26</v>
      </c>
      <c r="AA53" s="29" t="s">
        <v>18</v>
      </c>
      <c r="AB53" s="29" t="s">
        <v>22</v>
      </c>
      <c r="AC53" s="29" t="s">
        <v>11</v>
      </c>
      <c r="AD53" s="89" t="s">
        <v>14</v>
      </c>
      <c r="AE53" s="29" t="s">
        <v>18</v>
      </c>
      <c r="AF53" s="89" t="s">
        <v>13</v>
      </c>
      <c r="AG53" s="89" t="s">
        <v>14</v>
      </c>
      <c r="AH53" s="89" t="s">
        <v>14</v>
      </c>
      <c r="AI53" s="29" t="s">
        <v>18</v>
      </c>
      <c r="AJ53" s="89" t="s">
        <v>14</v>
      </c>
      <c r="AK53" s="90" t="s">
        <v>26</v>
      </c>
      <c r="AL53" s="89" t="s">
        <v>13</v>
      </c>
      <c r="AM53" s="89" t="s">
        <v>13</v>
      </c>
      <c r="AN53" s="89" t="s">
        <v>13</v>
      </c>
      <c r="AO53" s="29" t="s">
        <v>18</v>
      </c>
      <c r="AP53" s="89" t="s">
        <v>13</v>
      </c>
      <c r="AQ53" s="29" t="s">
        <v>18</v>
      </c>
      <c r="AR53" s="29" t="s">
        <v>22</v>
      </c>
      <c r="AS53" s="29" t="s">
        <v>11</v>
      </c>
      <c r="AT53" s="29" t="s">
        <v>11</v>
      </c>
      <c r="AU53" s="90" t="s">
        <v>26</v>
      </c>
      <c r="AV53" s="90" t="s">
        <v>26</v>
      </c>
      <c r="AW53" s="89" t="s">
        <v>14</v>
      </c>
      <c r="AX53" s="29" t="s">
        <v>18</v>
      </c>
      <c r="AY53" s="29" t="s">
        <v>22</v>
      </c>
      <c r="AZ53" s="90" t="s">
        <v>26</v>
      </c>
      <c r="BA53" s="29" t="s">
        <v>18</v>
      </c>
      <c r="BB53" s="29" t="s">
        <v>22</v>
      </c>
      <c r="BC53" s="29" t="s">
        <v>18</v>
      </c>
      <c r="BD53" s="29" t="s">
        <v>22</v>
      </c>
      <c r="BE53" s="90" t="s">
        <v>26</v>
      </c>
      <c r="BF53" s="29" t="s">
        <v>22</v>
      </c>
      <c r="BG53" s="29" t="s">
        <v>18</v>
      </c>
      <c r="BH53" s="90" t="s">
        <v>26</v>
      </c>
      <c r="BI53" s="90" t="s">
        <v>26</v>
      </c>
      <c r="BJ53" s="29" t="s">
        <v>18</v>
      </c>
      <c r="BK53" s="29" t="s">
        <v>22</v>
      </c>
      <c r="BL53" s="29" t="s">
        <v>18</v>
      </c>
      <c r="BM53" s="29" t="s">
        <v>17</v>
      </c>
      <c r="BN53" s="29" t="s">
        <v>17</v>
      </c>
      <c r="BO53" s="29" t="s">
        <v>17</v>
      </c>
      <c r="BP53" s="29" t="s">
        <v>17</v>
      </c>
      <c r="BQ53" s="29" t="s">
        <v>17</v>
      </c>
      <c r="BR53" s="29" t="s">
        <v>17</v>
      </c>
      <c r="BS53" s="29" t="s">
        <v>17</v>
      </c>
      <c r="BT53" s="29" t="s">
        <v>17</v>
      </c>
      <c r="BU53" s="29" t="s">
        <v>17</v>
      </c>
    </row>
    <row r="54" spans="1:73" x14ac:dyDescent="0.3">
      <c r="A54" s="2">
        <f t="shared" si="18"/>
        <v>135</v>
      </c>
      <c r="B54" s="12">
        <f t="shared" si="18"/>
        <v>52</v>
      </c>
      <c r="C54" s="24">
        <v>44696.708333333336</v>
      </c>
      <c r="D54" s="4">
        <v>24</v>
      </c>
      <c r="E54" s="4">
        <f t="shared" si="15"/>
        <v>1224</v>
      </c>
      <c r="F54" s="5">
        <f t="shared" si="16"/>
        <v>51</v>
      </c>
      <c r="G54">
        <f t="shared" si="13"/>
        <v>0</v>
      </c>
      <c r="H54">
        <f t="shared" si="1"/>
        <v>0</v>
      </c>
      <c r="I54">
        <f t="shared" si="2"/>
        <v>0</v>
      </c>
      <c r="J54">
        <f t="shared" si="3"/>
        <v>0</v>
      </c>
      <c r="K54">
        <f t="shared" si="4"/>
        <v>2</v>
      </c>
      <c r="L54" s="86">
        <f>COUNTIF($X54:$BU54, "AM")</f>
        <v>5</v>
      </c>
      <c r="M54" s="86">
        <f>COUNTIF($X54:$BU54, "AF")</f>
        <v>5</v>
      </c>
      <c r="N54" s="28"/>
      <c r="O54">
        <f t="shared" si="5"/>
        <v>9</v>
      </c>
      <c r="P54">
        <f>COUNTIF($X54:$BU54, "L1_D")</f>
        <v>11</v>
      </c>
      <c r="Q54">
        <f t="shared" si="6"/>
        <v>7</v>
      </c>
      <c r="R54">
        <f t="shared" si="7"/>
        <v>0</v>
      </c>
      <c r="S54">
        <f t="shared" si="8"/>
        <v>11</v>
      </c>
      <c r="T54">
        <f t="shared" si="9"/>
        <v>0</v>
      </c>
      <c r="U54">
        <f t="shared" si="10"/>
        <v>0</v>
      </c>
      <c r="V54" s="28"/>
      <c r="X54" s="90" t="s">
        <v>26</v>
      </c>
      <c r="Y54" s="90" t="s">
        <v>26</v>
      </c>
      <c r="Z54" s="90" t="s">
        <v>26</v>
      </c>
      <c r="AA54" s="29" t="s">
        <v>18</v>
      </c>
      <c r="AB54" s="29" t="s">
        <v>22</v>
      </c>
      <c r="AC54" s="90" t="s">
        <v>26</v>
      </c>
      <c r="AD54" s="89" t="s">
        <v>14</v>
      </c>
      <c r="AE54" s="29" t="s">
        <v>18</v>
      </c>
      <c r="AF54" s="89" t="s">
        <v>13</v>
      </c>
      <c r="AG54" s="89" t="s">
        <v>14</v>
      </c>
      <c r="AH54" s="89" t="s">
        <v>14</v>
      </c>
      <c r="AI54" s="29" t="s">
        <v>18</v>
      </c>
      <c r="AJ54" s="89" t="s">
        <v>14</v>
      </c>
      <c r="AK54" s="90" t="s">
        <v>26</v>
      </c>
      <c r="AL54" s="89" t="s">
        <v>13</v>
      </c>
      <c r="AM54" s="89" t="s">
        <v>13</v>
      </c>
      <c r="AN54" s="89" t="s">
        <v>13</v>
      </c>
      <c r="AO54" s="29" t="s">
        <v>18</v>
      </c>
      <c r="AP54" s="89" t="s">
        <v>13</v>
      </c>
      <c r="AQ54" s="29" t="s">
        <v>18</v>
      </c>
      <c r="AR54" s="29" t="s">
        <v>22</v>
      </c>
      <c r="AS54" s="29" t="s">
        <v>11</v>
      </c>
      <c r="AT54" s="29" t="s">
        <v>11</v>
      </c>
      <c r="AU54" s="90" t="s">
        <v>26</v>
      </c>
      <c r="AV54" s="90" t="s">
        <v>26</v>
      </c>
      <c r="AW54" s="89" t="s">
        <v>14</v>
      </c>
      <c r="AX54" s="29" t="s">
        <v>18</v>
      </c>
      <c r="AY54" s="29" t="s">
        <v>22</v>
      </c>
      <c r="AZ54" s="90" t="s">
        <v>26</v>
      </c>
      <c r="BA54" s="29" t="s">
        <v>18</v>
      </c>
      <c r="BB54" s="29" t="s">
        <v>22</v>
      </c>
      <c r="BC54" s="29" t="s">
        <v>18</v>
      </c>
      <c r="BD54" s="29" t="s">
        <v>22</v>
      </c>
      <c r="BE54" s="90" t="s">
        <v>26</v>
      </c>
      <c r="BF54" s="29" t="s">
        <v>22</v>
      </c>
      <c r="BG54" s="29" t="s">
        <v>18</v>
      </c>
      <c r="BH54" s="90" t="s">
        <v>26</v>
      </c>
      <c r="BI54" s="90" t="s">
        <v>26</v>
      </c>
      <c r="BJ54" s="29" t="s">
        <v>18</v>
      </c>
      <c r="BK54" s="29" t="s">
        <v>22</v>
      </c>
      <c r="BL54" s="29" t="s">
        <v>18</v>
      </c>
      <c r="BM54" s="29" t="s">
        <v>17</v>
      </c>
      <c r="BN54" s="29" t="s">
        <v>17</v>
      </c>
      <c r="BO54" s="29" t="s">
        <v>17</v>
      </c>
      <c r="BP54" s="29" t="s">
        <v>17</v>
      </c>
      <c r="BQ54" s="29" t="s">
        <v>17</v>
      </c>
      <c r="BR54" s="29" t="s">
        <v>17</v>
      </c>
      <c r="BS54" s="29" t="s">
        <v>17</v>
      </c>
      <c r="BT54" s="29" t="s">
        <v>17</v>
      </c>
      <c r="BU54" s="29" t="s">
        <v>17</v>
      </c>
    </row>
    <row r="55" spans="1:73" x14ac:dyDescent="0.3">
      <c r="A55" s="2">
        <f t="shared" si="18"/>
        <v>136</v>
      </c>
      <c r="B55" s="12">
        <f t="shared" si="18"/>
        <v>53</v>
      </c>
      <c r="C55" s="24">
        <v>44697.708333333336</v>
      </c>
      <c r="D55" s="4">
        <v>24</v>
      </c>
      <c r="E55" s="4">
        <f>E54+D55</f>
        <v>1248</v>
      </c>
      <c r="F55" s="5">
        <f t="shared" si="16"/>
        <v>52</v>
      </c>
      <c r="G55">
        <f t="shared" si="13"/>
        <v>0</v>
      </c>
      <c r="H55">
        <f t="shared" si="1"/>
        <v>0</v>
      </c>
      <c r="I55">
        <f t="shared" si="2"/>
        <v>0</v>
      </c>
      <c r="J55">
        <f t="shared" si="3"/>
        <v>0</v>
      </c>
      <c r="K55">
        <f t="shared" si="4"/>
        <v>0</v>
      </c>
      <c r="L55" s="86">
        <f>COUNTIF($X55:$BU55, "AM")</f>
        <v>5</v>
      </c>
      <c r="M55" s="86">
        <f>COUNTIF($X55:$BU55, "AF")</f>
        <v>5</v>
      </c>
      <c r="N55" s="28"/>
      <c r="O55">
        <f>COUNTIF($X55:$BU55, "E_D")</f>
        <v>9</v>
      </c>
      <c r="P55">
        <f>COUNTIF($X55:$BU55, "L1_D")</f>
        <v>11</v>
      </c>
      <c r="Q55">
        <f t="shared" si="6"/>
        <v>7</v>
      </c>
      <c r="R55">
        <f t="shared" si="7"/>
        <v>0</v>
      </c>
      <c r="S55">
        <f t="shared" si="8"/>
        <v>13</v>
      </c>
      <c r="T55">
        <f t="shared" si="9"/>
        <v>0</v>
      </c>
      <c r="U55">
        <f t="shared" si="10"/>
        <v>0</v>
      </c>
      <c r="V55" s="28"/>
      <c r="X55" s="90" t="s">
        <v>26</v>
      </c>
      <c r="Y55" s="90" t="s">
        <v>26</v>
      </c>
      <c r="Z55" s="90" t="s">
        <v>26</v>
      </c>
      <c r="AA55" s="29" t="s">
        <v>18</v>
      </c>
      <c r="AB55" s="29" t="s">
        <v>22</v>
      </c>
      <c r="AC55" s="90" t="s">
        <v>26</v>
      </c>
      <c r="AD55" s="89" t="s">
        <v>14</v>
      </c>
      <c r="AE55" s="29" t="s">
        <v>18</v>
      </c>
      <c r="AF55" s="89" t="s">
        <v>13</v>
      </c>
      <c r="AG55" s="89" t="s">
        <v>14</v>
      </c>
      <c r="AH55" s="89" t="s">
        <v>14</v>
      </c>
      <c r="AI55" s="29" t="s">
        <v>18</v>
      </c>
      <c r="AJ55" s="89" t="s">
        <v>14</v>
      </c>
      <c r="AK55" s="90" t="s">
        <v>26</v>
      </c>
      <c r="AL55" s="89" t="s">
        <v>13</v>
      </c>
      <c r="AM55" s="89" t="s">
        <v>13</v>
      </c>
      <c r="AN55" s="89" t="s">
        <v>13</v>
      </c>
      <c r="AO55" s="29" t="s">
        <v>18</v>
      </c>
      <c r="AP55" s="89" t="s">
        <v>13</v>
      </c>
      <c r="AQ55" s="29" t="s">
        <v>18</v>
      </c>
      <c r="AR55" s="29" t="s">
        <v>22</v>
      </c>
      <c r="AS55" s="90" t="s">
        <v>26</v>
      </c>
      <c r="AT55" s="90" t="s">
        <v>26</v>
      </c>
      <c r="AU55" s="90" t="s">
        <v>26</v>
      </c>
      <c r="AV55" s="90" t="s">
        <v>26</v>
      </c>
      <c r="AW55" s="89" t="s">
        <v>14</v>
      </c>
      <c r="AX55" s="29" t="s">
        <v>18</v>
      </c>
      <c r="AY55" s="29" t="s">
        <v>22</v>
      </c>
      <c r="AZ55" s="90" t="s">
        <v>26</v>
      </c>
      <c r="BA55" s="29" t="s">
        <v>18</v>
      </c>
      <c r="BB55" s="29" t="s">
        <v>22</v>
      </c>
      <c r="BC55" s="29" t="s">
        <v>18</v>
      </c>
      <c r="BD55" s="29" t="s">
        <v>22</v>
      </c>
      <c r="BE55" s="90" t="s">
        <v>26</v>
      </c>
      <c r="BF55" s="29" t="s">
        <v>22</v>
      </c>
      <c r="BG55" s="29" t="s">
        <v>18</v>
      </c>
      <c r="BH55" s="90" t="s">
        <v>26</v>
      </c>
      <c r="BI55" s="90" t="s">
        <v>26</v>
      </c>
      <c r="BJ55" s="29" t="s">
        <v>18</v>
      </c>
      <c r="BK55" s="29" t="s">
        <v>22</v>
      </c>
      <c r="BL55" s="29" t="s">
        <v>18</v>
      </c>
      <c r="BM55" s="29" t="s">
        <v>17</v>
      </c>
      <c r="BN55" s="29" t="s">
        <v>17</v>
      </c>
      <c r="BO55" s="29" t="s">
        <v>17</v>
      </c>
      <c r="BP55" s="29" t="s">
        <v>17</v>
      </c>
      <c r="BQ55" s="29" t="s">
        <v>17</v>
      </c>
      <c r="BR55" s="29" t="s">
        <v>17</v>
      </c>
      <c r="BS55" s="29" t="s">
        <v>17</v>
      </c>
      <c r="BT55" s="29" t="s">
        <v>17</v>
      </c>
      <c r="BU55" s="29" t="s">
        <v>17</v>
      </c>
    </row>
    <row r="56" spans="1:73" x14ac:dyDescent="0.3">
      <c r="A56" s="2">
        <f t="shared" ref="A56:B56" si="19">A55+1</f>
        <v>137</v>
      </c>
      <c r="B56" s="12">
        <f t="shared" si="19"/>
        <v>54</v>
      </c>
      <c r="C56" s="24">
        <v>44698.708333333336</v>
      </c>
      <c r="D56" s="4">
        <v>24</v>
      </c>
      <c r="E56" s="4">
        <f t="shared" ref="E56:E119" si="20">E55+D56</f>
        <v>1272</v>
      </c>
      <c r="F56" s="5">
        <f t="shared" ref="F56:F119" si="21">E56/24</f>
        <v>53</v>
      </c>
      <c r="G56">
        <f t="shared" si="13"/>
        <v>0</v>
      </c>
      <c r="H56">
        <f t="shared" si="1"/>
        <v>0</v>
      </c>
      <c r="I56">
        <f t="shared" si="2"/>
        <v>0</v>
      </c>
      <c r="J56">
        <f t="shared" si="3"/>
        <v>0</v>
      </c>
      <c r="K56">
        <f t="shared" si="4"/>
        <v>0</v>
      </c>
      <c r="L56" s="86">
        <f t="shared" ref="L56:L119" si="22">COUNTIF($X56:$BU56, "AM")</f>
        <v>5</v>
      </c>
      <c r="M56" s="86">
        <f t="shared" ref="M56:M119" si="23">COUNTIF($X56:$BU56, "AF")</f>
        <v>5</v>
      </c>
      <c r="N56" s="86"/>
      <c r="O56">
        <f t="shared" ref="O56:O119" si="24">COUNTIF($X56:$BU56, "E_D")</f>
        <v>9</v>
      </c>
      <c r="P56">
        <f t="shared" ref="P56:P119" si="25">COUNTIF($X56:$BU56, "L1_D")</f>
        <v>11</v>
      </c>
      <c r="Q56">
        <f t="shared" si="6"/>
        <v>7</v>
      </c>
      <c r="R56">
        <f t="shared" si="7"/>
        <v>0</v>
      </c>
      <c r="S56">
        <f t="shared" si="8"/>
        <v>11</v>
      </c>
      <c r="T56">
        <f t="shared" si="9"/>
        <v>0</v>
      </c>
      <c r="U56">
        <f t="shared" si="10"/>
        <v>0</v>
      </c>
      <c r="X56" s="90" t="s">
        <v>26</v>
      </c>
      <c r="Y56" s="90" t="s">
        <v>26</v>
      </c>
      <c r="Z56" s="90" t="s">
        <v>26</v>
      </c>
      <c r="AA56" s="29" t="s">
        <v>18</v>
      </c>
      <c r="AB56" s="29" t="s">
        <v>22</v>
      </c>
      <c r="AC56" s="90" t="s">
        <v>26</v>
      </c>
      <c r="AD56" s="90" t="s">
        <v>14</v>
      </c>
      <c r="AE56" s="29" t="s">
        <v>18</v>
      </c>
      <c r="AF56" s="90" t="s">
        <v>13</v>
      </c>
      <c r="AG56" s="90" t="s">
        <v>14</v>
      </c>
      <c r="AH56" s="90" t="s">
        <v>14</v>
      </c>
      <c r="AI56" s="29" t="s">
        <v>18</v>
      </c>
      <c r="AJ56" s="90" t="s">
        <v>14</v>
      </c>
      <c r="AK56" s="90" t="s">
        <v>26</v>
      </c>
      <c r="AL56" s="90" t="s">
        <v>13</v>
      </c>
      <c r="AM56" s="90" t="s">
        <v>13</v>
      </c>
      <c r="AN56" s="90" t="s">
        <v>13</v>
      </c>
      <c r="AO56" s="29" t="s">
        <v>18</v>
      </c>
      <c r="AP56" s="90" t="s">
        <v>13</v>
      </c>
      <c r="AQ56" s="29" t="s">
        <v>18</v>
      </c>
      <c r="AR56" s="29" t="s">
        <v>22</v>
      </c>
      <c r="AS56" s="90" t="s">
        <v>26</v>
      </c>
      <c r="AT56" s="90" t="s">
        <v>26</v>
      </c>
      <c r="AU56" s="90" t="s">
        <v>26</v>
      </c>
      <c r="AV56" s="90" t="s">
        <v>26</v>
      </c>
      <c r="AW56" s="90" t="s">
        <v>14</v>
      </c>
      <c r="AX56" s="29" t="s">
        <v>18</v>
      </c>
      <c r="AY56" s="29" t="s">
        <v>22</v>
      </c>
      <c r="AZ56" s="90" t="s">
        <v>26</v>
      </c>
      <c r="BA56" s="29" t="s">
        <v>18</v>
      </c>
      <c r="BB56" s="29" t="s">
        <v>22</v>
      </c>
      <c r="BC56" s="29" t="s">
        <v>18</v>
      </c>
      <c r="BD56" s="29" t="s">
        <v>22</v>
      </c>
      <c r="BE56" s="90" t="s">
        <v>26</v>
      </c>
      <c r="BF56" s="29" t="s">
        <v>22</v>
      </c>
      <c r="BG56" s="29" t="s">
        <v>18</v>
      </c>
      <c r="BJ56" s="29" t="s">
        <v>18</v>
      </c>
      <c r="BK56" s="29" t="s">
        <v>22</v>
      </c>
      <c r="BL56" s="29" t="s">
        <v>18</v>
      </c>
      <c r="BM56" s="29" t="s">
        <v>17</v>
      </c>
      <c r="BN56" s="29" t="s">
        <v>17</v>
      </c>
      <c r="BO56" s="29" t="s">
        <v>17</v>
      </c>
      <c r="BP56" s="29" t="s">
        <v>17</v>
      </c>
      <c r="BQ56" s="29" t="s">
        <v>17</v>
      </c>
      <c r="BR56" s="29" t="s">
        <v>17</v>
      </c>
      <c r="BS56" s="29" t="s">
        <v>17</v>
      </c>
      <c r="BT56" s="29" t="s">
        <v>17</v>
      </c>
      <c r="BU56" s="29" t="s">
        <v>17</v>
      </c>
    </row>
    <row r="57" spans="1:73" x14ac:dyDescent="0.3">
      <c r="A57" s="2">
        <f t="shared" ref="A57:B57" si="26">A56+1</f>
        <v>138</v>
      </c>
      <c r="B57" s="12">
        <f t="shared" si="26"/>
        <v>55</v>
      </c>
      <c r="C57" s="24">
        <v>44699.708333333336</v>
      </c>
      <c r="D57" s="4">
        <v>24</v>
      </c>
      <c r="E57" s="4">
        <f t="shared" si="20"/>
        <v>1296</v>
      </c>
      <c r="F57" s="5">
        <f t="shared" si="21"/>
        <v>54</v>
      </c>
      <c r="G57">
        <f t="shared" si="13"/>
        <v>0</v>
      </c>
      <c r="H57">
        <f t="shared" si="1"/>
        <v>0</v>
      </c>
      <c r="I57">
        <f t="shared" si="2"/>
        <v>0</v>
      </c>
      <c r="J57">
        <f t="shared" si="3"/>
        <v>0</v>
      </c>
      <c r="K57">
        <f t="shared" si="4"/>
        <v>0</v>
      </c>
      <c r="L57" s="86">
        <f t="shared" si="22"/>
        <v>5</v>
      </c>
      <c r="M57" s="86">
        <f t="shared" si="23"/>
        <v>5</v>
      </c>
      <c r="N57" s="85"/>
      <c r="O57">
        <f t="shared" si="24"/>
        <v>9</v>
      </c>
      <c r="P57">
        <f t="shared" si="25"/>
        <v>11</v>
      </c>
      <c r="Q57">
        <f t="shared" si="6"/>
        <v>7</v>
      </c>
      <c r="R57">
        <f t="shared" si="7"/>
        <v>0</v>
      </c>
      <c r="S57">
        <f t="shared" ref="S57:U120" si="27">COUNTIF($X57:$BU57, "P_D")</f>
        <v>11</v>
      </c>
      <c r="T57">
        <f t="shared" si="9"/>
        <v>0</v>
      </c>
      <c r="U57">
        <f t="shared" si="10"/>
        <v>0</v>
      </c>
      <c r="X57" s="90" t="s">
        <v>26</v>
      </c>
      <c r="Y57" s="90" t="s">
        <v>26</v>
      </c>
      <c r="Z57" s="90" t="s">
        <v>26</v>
      </c>
      <c r="AA57" s="29" t="s">
        <v>18</v>
      </c>
      <c r="AB57" s="29" t="s">
        <v>22</v>
      </c>
      <c r="AC57" s="90" t="s">
        <v>26</v>
      </c>
      <c r="AD57" s="90" t="s">
        <v>14</v>
      </c>
      <c r="AE57" s="29" t="s">
        <v>18</v>
      </c>
      <c r="AF57" s="90" t="s">
        <v>13</v>
      </c>
      <c r="AG57" s="90" t="s">
        <v>14</v>
      </c>
      <c r="AH57" s="90" t="s">
        <v>14</v>
      </c>
      <c r="AI57" s="29" t="s">
        <v>18</v>
      </c>
      <c r="AJ57" s="90" t="s">
        <v>14</v>
      </c>
      <c r="AK57" s="90" t="s">
        <v>26</v>
      </c>
      <c r="AL57" s="90" t="s">
        <v>13</v>
      </c>
      <c r="AM57" s="90" t="s">
        <v>13</v>
      </c>
      <c r="AN57" s="90" t="s">
        <v>13</v>
      </c>
      <c r="AO57" s="29" t="s">
        <v>18</v>
      </c>
      <c r="AP57" s="90" t="s">
        <v>13</v>
      </c>
      <c r="AQ57" s="29" t="s">
        <v>18</v>
      </c>
      <c r="AR57" s="29" t="s">
        <v>22</v>
      </c>
      <c r="AS57" s="90" t="s">
        <v>26</v>
      </c>
      <c r="AT57" s="90" t="s">
        <v>26</v>
      </c>
      <c r="AU57" s="90" t="s">
        <v>26</v>
      </c>
      <c r="AV57" s="90" t="s">
        <v>26</v>
      </c>
      <c r="AW57" s="90" t="s">
        <v>14</v>
      </c>
      <c r="AX57" s="29" t="s">
        <v>18</v>
      </c>
      <c r="AY57" s="29" t="s">
        <v>22</v>
      </c>
      <c r="AZ57" s="90" t="s">
        <v>26</v>
      </c>
      <c r="BA57" s="29" t="s">
        <v>18</v>
      </c>
      <c r="BB57" s="29" t="s">
        <v>22</v>
      </c>
      <c r="BC57" s="29" t="s">
        <v>18</v>
      </c>
      <c r="BD57" s="29" t="s">
        <v>22</v>
      </c>
      <c r="BE57" s="90" t="s">
        <v>26</v>
      </c>
      <c r="BF57" s="29" t="s">
        <v>22</v>
      </c>
      <c r="BG57" s="29" t="s">
        <v>18</v>
      </c>
      <c r="BJ57" s="29" t="s">
        <v>18</v>
      </c>
      <c r="BK57" s="29" t="s">
        <v>22</v>
      </c>
      <c r="BL57" s="29" t="s">
        <v>18</v>
      </c>
      <c r="BM57" s="29" t="s">
        <v>17</v>
      </c>
      <c r="BN57" s="29" t="s">
        <v>17</v>
      </c>
      <c r="BO57" s="29" t="s">
        <v>17</v>
      </c>
      <c r="BP57" s="29" t="s">
        <v>17</v>
      </c>
      <c r="BQ57" s="29" t="s">
        <v>17</v>
      </c>
      <c r="BR57" s="29" t="s">
        <v>17</v>
      </c>
      <c r="BS57" s="29" t="s">
        <v>17</v>
      </c>
      <c r="BT57" s="29" t="s">
        <v>17</v>
      </c>
      <c r="BU57" s="29" t="s">
        <v>17</v>
      </c>
    </row>
    <row r="58" spans="1:73" x14ac:dyDescent="0.3">
      <c r="A58" s="2">
        <f t="shared" ref="A58:B58" si="28">A57+1</f>
        <v>139</v>
      </c>
      <c r="B58" s="12">
        <f t="shared" si="28"/>
        <v>56</v>
      </c>
      <c r="C58" s="24">
        <v>44700.708333333336</v>
      </c>
      <c r="D58" s="4">
        <v>24</v>
      </c>
      <c r="E58" s="4">
        <f t="shared" si="20"/>
        <v>1320</v>
      </c>
      <c r="F58" s="5">
        <f t="shared" si="21"/>
        <v>55</v>
      </c>
      <c r="G58">
        <f t="shared" si="13"/>
        <v>0</v>
      </c>
      <c r="H58">
        <f t="shared" si="1"/>
        <v>0</v>
      </c>
      <c r="I58">
        <f t="shared" si="2"/>
        <v>0</v>
      </c>
      <c r="J58">
        <f t="shared" si="3"/>
        <v>0</v>
      </c>
      <c r="K58">
        <f t="shared" si="4"/>
        <v>0</v>
      </c>
      <c r="L58" s="86">
        <f t="shared" si="22"/>
        <v>5</v>
      </c>
      <c r="M58" s="86">
        <f t="shared" si="23"/>
        <v>5</v>
      </c>
      <c r="N58" s="91"/>
      <c r="O58">
        <f t="shared" si="24"/>
        <v>9</v>
      </c>
      <c r="P58">
        <f t="shared" si="25"/>
        <v>11</v>
      </c>
      <c r="Q58">
        <f t="shared" si="6"/>
        <v>7</v>
      </c>
      <c r="R58">
        <f t="shared" si="7"/>
        <v>0</v>
      </c>
      <c r="S58">
        <f t="shared" si="27"/>
        <v>11</v>
      </c>
      <c r="T58">
        <f t="shared" si="9"/>
        <v>0</v>
      </c>
      <c r="U58">
        <f t="shared" si="10"/>
        <v>0</v>
      </c>
      <c r="X58" s="90" t="s">
        <v>26</v>
      </c>
      <c r="Y58" s="90" t="s">
        <v>26</v>
      </c>
      <c r="Z58" s="90" t="s">
        <v>26</v>
      </c>
      <c r="AA58" s="29" t="s">
        <v>18</v>
      </c>
      <c r="AB58" s="29" t="s">
        <v>22</v>
      </c>
      <c r="AC58" s="90" t="s">
        <v>26</v>
      </c>
      <c r="AD58" s="90" t="s">
        <v>14</v>
      </c>
      <c r="AE58" s="29" t="s">
        <v>18</v>
      </c>
      <c r="AF58" s="90" t="s">
        <v>13</v>
      </c>
      <c r="AG58" s="90" t="s">
        <v>14</v>
      </c>
      <c r="AH58" s="90" t="s">
        <v>14</v>
      </c>
      <c r="AI58" s="29" t="s">
        <v>18</v>
      </c>
      <c r="AJ58" s="90" t="s">
        <v>14</v>
      </c>
      <c r="AK58" s="90" t="s">
        <v>26</v>
      </c>
      <c r="AL58" s="90" t="s">
        <v>13</v>
      </c>
      <c r="AM58" s="90" t="s">
        <v>13</v>
      </c>
      <c r="AN58" s="90" t="s">
        <v>13</v>
      </c>
      <c r="AO58" s="29" t="s">
        <v>18</v>
      </c>
      <c r="AP58" s="90" t="s">
        <v>13</v>
      </c>
      <c r="AQ58" s="29" t="s">
        <v>18</v>
      </c>
      <c r="AR58" s="29" t="s">
        <v>22</v>
      </c>
      <c r="AS58" s="90" t="s">
        <v>26</v>
      </c>
      <c r="AT58" s="90" t="s">
        <v>26</v>
      </c>
      <c r="AU58" s="90" t="s">
        <v>26</v>
      </c>
      <c r="AV58" s="90" t="s">
        <v>26</v>
      </c>
      <c r="AW58" s="90" t="s">
        <v>14</v>
      </c>
      <c r="AX58" s="29" t="s">
        <v>18</v>
      </c>
      <c r="AY58" s="29" t="s">
        <v>22</v>
      </c>
      <c r="AZ58" s="90" t="s">
        <v>26</v>
      </c>
      <c r="BA58" s="29" t="s">
        <v>18</v>
      </c>
      <c r="BB58" s="29" t="s">
        <v>22</v>
      </c>
      <c r="BC58" s="29" t="s">
        <v>18</v>
      </c>
      <c r="BD58" s="29" t="s">
        <v>22</v>
      </c>
      <c r="BE58" s="90" t="s">
        <v>26</v>
      </c>
      <c r="BF58" s="29" t="s">
        <v>22</v>
      </c>
      <c r="BG58" s="29" t="s">
        <v>18</v>
      </c>
      <c r="BJ58" s="29" t="s">
        <v>18</v>
      </c>
      <c r="BK58" s="29" t="s">
        <v>22</v>
      </c>
      <c r="BL58" s="29" t="s">
        <v>18</v>
      </c>
      <c r="BM58" s="29" t="s">
        <v>17</v>
      </c>
      <c r="BN58" s="29" t="s">
        <v>17</v>
      </c>
      <c r="BO58" s="29" t="s">
        <v>17</v>
      </c>
      <c r="BP58" s="29" t="s">
        <v>17</v>
      </c>
      <c r="BQ58" s="29" t="s">
        <v>17</v>
      </c>
      <c r="BR58" s="29" t="s">
        <v>17</v>
      </c>
      <c r="BS58" s="29" t="s">
        <v>17</v>
      </c>
      <c r="BT58" s="29" t="s">
        <v>17</v>
      </c>
      <c r="BU58" s="29" t="s">
        <v>17</v>
      </c>
    </row>
    <row r="59" spans="1:73" ht="14.4" customHeight="1" x14ac:dyDescent="0.3">
      <c r="A59" s="2">
        <f t="shared" ref="A59:B59" si="29">A58+1</f>
        <v>140</v>
      </c>
      <c r="B59" s="12">
        <f t="shared" si="29"/>
        <v>57</v>
      </c>
      <c r="C59" s="24">
        <v>44701.708333333336</v>
      </c>
      <c r="D59" s="4">
        <v>24</v>
      </c>
      <c r="E59" s="4">
        <f t="shared" si="20"/>
        <v>1344</v>
      </c>
      <c r="F59" s="5">
        <f t="shared" si="21"/>
        <v>56</v>
      </c>
      <c r="G59">
        <f t="shared" si="13"/>
        <v>0</v>
      </c>
      <c r="H59">
        <f t="shared" si="1"/>
        <v>0</v>
      </c>
      <c r="I59">
        <f t="shared" si="2"/>
        <v>0</v>
      </c>
      <c r="J59">
        <f t="shared" si="3"/>
        <v>0</v>
      </c>
      <c r="K59">
        <f t="shared" si="4"/>
        <v>0</v>
      </c>
      <c r="L59" s="86">
        <f t="shared" si="22"/>
        <v>5</v>
      </c>
      <c r="M59" s="86">
        <f t="shared" si="23"/>
        <v>5</v>
      </c>
      <c r="N59" s="91"/>
      <c r="O59">
        <f t="shared" si="24"/>
        <v>9</v>
      </c>
      <c r="P59">
        <f t="shared" si="25"/>
        <v>11</v>
      </c>
      <c r="Q59">
        <f t="shared" si="6"/>
        <v>7</v>
      </c>
      <c r="R59">
        <f t="shared" si="7"/>
        <v>0</v>
      </c>
      <c r="S59">
        <f t="shared" si="27"/>
        <v>11</v>
      </c>
      <c r="T59">
        <f t="shared" si="9"/>
        <v>0</v>
      </c>
      <c r="U59">
        <f t="shared" si="10"/>
        <v>0</v>
      </c>
      <c r="X59" s="90" t="s">
        <v>26</v>
      </c>
      <c r="Y59" s="90" t="s">
        <v>26</v>
      </c>
      <c r="Z59" s="90" t="s">
        <v>26</v>
      </c>
      <c r="AA59" s="29" t="s">
        <v>18</v>
      </c>
      <c r="AB59" s="29" t="s">
        <v>22</v>
      </c>
      <c r="AC59" s="90" t="s">
        <v>26</v>
      </c>
      <c r="AD59" s="90" t="s">
        <v>14</v>
      </c>
      <c r="AE59" s="29" t="s">
        <v>18</v>
      </c>
      <c r="AF59" s="90" t="s">
        <v>13</v>
      </c>
      <c r="AG59" s="90" t="s">
        <v>14</v>
      </c>
      <c r="AH59" s="90" t="s">
        <v>14</v>
      </c>
      <c r="AI59" s="29" t="s">
        <v>18</v>
      </c>
      <c r="AJ59" s="90" t="s">
        <v>14</v>
      </c>
      <c r="AK59" s="90" t="s">
        <v>26</v>
      </c>
      <c r="AL59" s="90" t="s">
        <v>13</v>
      </c>
      <c r="AM59" s="90" t="s">
        <v>13</v>
      </c>
      <c r="AN59" s="90" t="s">
        <v>13</v>
      </c>
      <c r="AO59" s="29" t="s">
        <v>18</v>
      </c>
      <c r="AP59" s="90" t="s">
        <v>13</v>
      </c>
      <c r="AQ59" s="29" t="s">
        <v>18</v>
      </c>
      <c r="AR59" s="29" t="s">
        <v>22</v>
      </c>
      <c r="AS59" s="90" t="s">
        <v>26</v>
      </c>
      <c r="AT59" s="90" t="s">
        <v>26</v>
      </c>
      <c r="AU59" s="90" t="s">
        <v>26</v>
      </c>
      <c r="AV59" s="90" t="s">
        <v>26</v>
      </c>
      <c r="AW59" s="90" t="s">
        <v>14</v>
      </c>
      <c r="AX59" s="29" t="s">
        <v>18</v>
      </c>
      <c r="AY59" s="29" t="s">
        <v>22</v>
      </c>
      <c r="AZ59" s="90" t="s">
        <v>26</v>
      </c>
      <c r="BA59" s="29" t="s">
        <v>18</v>
      </c>
      <c r="BB59" s="29" t="s">
        <v>22</v>
      </c>
      <c r="BC59" s="29" t="s">
        <v>18</v>
      </c>
      <c r="BD59" s="29" t="s">
        <v>22</v>
      </c>
      <c r="BE59" s="90" t="s">
        <v>26</v>
      </c>
      <c r="BF59" s="29" t="s">
        <v>22</v>
      </c>
      <c r="BG59" s="29" t="s">
        <v>18</v>
      </c>
      <c r="BJ59" s="29" t="s">
        <v>18</v>
      </c>
      <c r="BK59" s="29" t="s">
        <v>22</v>
      </c>
      <c r="BL59" s="29" t="s">
        <v>18</v>
      </c>
      <c r="BM59" s="29" t="s">
        <v>17</v>
      </c>
      <c r="BN59" s="29" t="s">
        <v>17</v>
      </c>
      <c r="BO59" s="29" t="s">
        <v>17</v>
      </c>
      <c r="BP59" s="29" t="s">
        <v>17</v>
      </c>
      <c r="BQ59" s="29" t="s">
        <v>17</v>
      </c>
      <c r="BR59" s="29" t="s">
        <v>17</v>
      </c>
      <c r="BS59" s="29" t="s">
        <v>17</v>
      </c>
      <c r="BT59" s="29" t="s">
        <v>17</v>
      </c>
      <c r="BU59" s="29" t="s">
        <v>17</v>
      </c>
    </row>
    <row r="60" spans="1:73" ht="14.4" customHeight="1" x14ac:dyDescent="0.3">
      <c r="A60" s="2">
        <f t="shared" ref="A60:B60" si="30">A59+1</f>
        <v>141</v>
      </c>
      <c r="B60" s="12">
        <f t="shared" si="30"/>
        <v>58</v>
      </c>
      <c r="C60" s="24">
        <v>44702.708333333336</v>
      </c>
      <c r="D60" s="4">
        <v>24</v>
      </c>
      <c r="E60" s="4">
        <f t="shared" si="20"/>
        <v>1368</v>
      </c>
      <c r="F60" s="5">
        <f t="shared" si="21"/>
        <v>57</v>
      </c>
      <c r="G60">
        <f t="shared" si="13"/>
        <v>0</v>
      </c>
      <c r="H60">
        <f t="shared" si="1"/>
        <v>0</v>
      </c>
      <c r="I60">
        <f t="shared" si="2"/>
        <v>0</v>
      </c>
      <c r="J60">
        <f t="shared" si="3"/>
        <v>0</v>
      </c>
      <c r="K60">
        <f t="shared" si="4"/>
        <v>0</v>
      </c>
      <c r="L60" s="86">
        <f t="shared" si="22"/>
        <v>5</v>
      </c>
      <c r="M60" s="86">
        <f t="shared" si="23"/>
        <v>5</v>
      </c>
      <c r="N60" s="91"/>
      <c r="O60">
        <f t="shared" si="24"/>
        <v>9</v>
      </c>
      <c r="P60">
        <f t="shared" si="25"/>
        <v>11</v>
      </c>
      <c r="Q60">
        <f t="shared" si="6"/>
        <v>7</v>
      </c>
      <c r="R60">
        <f t="shared" si="7"/>
        <v>0</v>
      </c>
      <c r="S60">
        <f t="shared" si="27"/>
        <v>11</v>
      </c>
      <c r="T60">
        <f t="shared" si="9"/>
        <v>0</v>
      </c>
      <c r="U60">
        <f t="shared" si="10"/>
        <v>0</v>
      </c>
      <c r="X60" s="90" t="s">
        <v>26</v>
      </c>
      <c r="Y60" s="90" t="s">
        <v>26</v>
      </c>
      <c r="Z60" s="90" t="s">
        <v>26</v>
      </c>
      <c r="AA60" s="29" t="s">
        <v>18</v>
      </c>
      <c r="AB60" s="29" t="s">
        <v>22</v>
      </c>
      <c r="AC60" s="90" t="s">
        <v>26</v>
      </c>
      <c r="AD60" s="90" t="s">
        <v>14</v>
      </c>
      <c r="AE60" s="29" t="s">
        <v>18</v>
      </c>
      <c r="AF60" s="90" t="s">
        <v>13</v>
      </c>
      <c r="AG60" s="90" t="s">
        <v>14</v>
      </c>
      <c r="AH60" s="90" t="s">
        <v>14</v>
      </c>
      <c r="AI60" s="29" t="s">
        <v>18</v>
      </c>
      <c r="AJ60" s="90" t="s">
        <v>14</v>
      </c>
      <c r="AK60" s="90" t="s">
        <v>26</v>
      </c>
      <c r="AL60" s="90" t="s">
        <v>13</v>
      </c>
      <c r="AM60" s="90" t="s">
        <v>13</v>
      </c>
      <c r="AN60" s="90" t="s">
        <v>13</v>
      </c>
      <c r="AO60" s="29" t="s">
        <v>18</v>
      </c>
      <c r="AP60" s="90" t="s">
        <v>13</v>
      </c>
      <c r="AQ60" s="29" t="s">
        <v>18</v>
      </c>
      <c r="AR60" s="29" t="s">
        <v>22</v>
      </c>
      <c r="AS60" s="90" t="s">
        <v>26</v>
      </c>
      <c r="AT60" s="90" t="s">
        <v>26</v>
      </c>
      <c r="AU60" s="90" t="s">
        <v>26</v>
      </c>
      <c r="AV60" s="90" t="s">
        <v>26</v>
      </c>
      <c r="AW60" s="90" t="s">
        <v>14</v>
      </c>
      <c r="AX60" s="29" t="s">
        <v>18</v>
      </c>
      <c r="AY60" s="29" t="s">
        <v>22</v>
      </c>
      <c r="AZ60" s="90" t="s">
        <v>26</v>
      </c>
      <c r="BA60" s="29" t="s">
        <v>18</v>
      </c>
      <c r="BB60" s="29" t="s">
        <v>22</v>
      </c>
      <c r="BC60" s="29" t="s">
        <v>18</v>
      </c>
      <c r="BD60" s="29" t="s">
        <v>22</v>
      </c>
      <c r="BE60" s="90" t="s">
        <v>26</v>
      </c>
      <c r="BF60" s="29" t="s">
        <v>22</v>
      </c>
      <c r="BG60" s="29" t="s">
        <v>18</v>
      </c>
      <c r="BJ60" s="29" t="s">
        <v>18</v>
      </c>
      <c r="BK60" s="29" t="s">
        <v>22</v>
      </c>
      <c r="BL60" s="29" t="s">
        <v>18</v>
      </c>
      <c r="BM60" s="29" t="s">
        <v>17</v>
      </c>
      <c r="BN60" s="29" t="s">
        <v>17</v>
      </c>
      <c r="BO60" s="29" t="s">
        <v>17</v>
      </c>
      <c r="BP60" s="29" t="s">
        <v>17</v>
      </c>
      <c r="BQ60" s="29" t="s">
        <v>17</v>
      </c>
      <c r="BR60" s="29" t="s">
        <v>17</v>
      </c>
      <c r="BS60" s="29" t="s">
        <v>17</v>
      </c>
      <c r="BT60" s="29" t="s">
        <v>17</v>
      </c>
      <c r="BU60" s="29" t="s">
        <v>17</v>
      </c>
    </row>
    <row r="61" spans="1:73" x14ac:dyDescent="0.3">
      <c r="A61" s="2">
        <f t="shared" ref="A61:B61" si="31">A60+1</f>
        <v>142</v>
      </c>
      <c r="B61" s="12">
        <f t="shared" si="31"/>
        <v>59</v>
      </c>
      <c r="C61" s="24">
        <v>44703.708333333336</v>
      </c>
      <c r="D61" s="4">
        <v>24</v>
      </c>
      <c r="E61" s="4">
        <f t="shared" si="20"/>
        <v>1392</v>
      </c>
      <c r="F61" s="5">
        <f t="shared" si="21"/>
        <v>58</v>
      </c>
      <c r="G61">
        <f t="shared" si="13"/>
        <v>0</v>
      </c>
      <c r="H61">
        <f t="shared" si="1"/>
        <v>0</v>
      </c>
      <c r="I61">
        <f t="shared" si="2"/>
        <v>0</v>
      </c>
      <c r="J61">
        <f t="shared" si="3"/>
        <v>0</v>
      </c>
      <c r="K61">
        <f t="shared" si="4"/>
        <v>0</v>
      </c>
      <c r="L61" s="86">
        <f t="shared" si="22"/>
        <v>5</v>
      </c>
      <c r="M61" s="86">
        <f t="shared" si="23"/>
        <v>5</v>
      </c>
      <c r="N61" s="91"/>
      <c r="O61">
        <f t="shared" si="24"/>
        <v>9</v>
      </c>
      <c r="P61">
        <f t="shared" si="25"/>
        <v>11</v>
      </c>
      <c r="Q61">
        <f t="shared" si="6"/>
        <v>7</v>
      </c>
      <c r="R61">
        <f t="shared" si="7"/>
        <v>0</v>
      </c>
      <c r="S61">
        <f t="shared" si="27"/>
        <v>11</v>
      </c>
      <c r="T61">
        <f t="shared" si="9"/>
        <v>0</v>
      </c>
      <c r="U61">
        <f t="shared" si="10"/>
        <v>0</v>
      </c>
      <c r="X61" s="90" t="s">
        <v>26</v>
      </c>
      <c r="Y61" s="90" t="s">
        <v>26</v>
      </c>
      <c r="Z61" s="90" t="s">
        <v>26</v>
      </c>
      <c r="AA61" s="29" t="s">
        <v>18</v>
      </c>
      <c r="AB61" s="29" t="s">
        <v>22</v>
      </c>
      <c r="AC61" s="90" t="s">
        <v>26</v>
      </c>
      <c r="AD61" s="90" t="s">
        <v>14</v>
      </c>
      <c r="AE61" s="29" t="s">
        <v>18</v>
      </c>
      <c r="AF61" s="90" t="s">
        <v>13</v>
      </c>
      <c r="AG61" s="90" t="s">
        <v>14</v>
      </c>
      <c r="AH61" s="90" t="s">
        <v>14</v>
      </c>
      <c r="AI61" s="29" t="s">
        <v>18</v>
      </c>
      <c r="AJ61" s="90" t="s">
        <v>14</v>
      </c>
      <c r="AK61" s="90" t="s">
        <v>26</v>
      </c>
      <c r="AL61" s="90" t="s">
        <v>13</v>
      </c>
      <c r="AM61" s="90" t="s">
        <v>13</v>
      </c>
      <c r="AN61" s="90" t="s">
        <v>13</v>
      </c>
      <c r="AO61" s="29" t="s">
        <v>18</v>
      </c>
      <c r="AP61" s="90" t="s">
        <v>13</v>
      </c>
      <c r="AQ61" s="29" t="s">
        <v>18</v>
      </c>
      <c r="AR61" s="29" t="s">
        <v>22</v>
      </c>
      <c r="AS61" s="90" t="s">
        <v>26</v>
      </c>
      <c r="AT61" s="90" t="s">
        <v>26</v>
      </c>
      <c r="AU61" s="90" t="s">
        <v>26</v>
      </c>
      <c r="AV61" s="90" t="s">
        <v>26</v>
      </c>
      <c r="AW61" s="90" t="s">
        <v>14</v>
      </c>
      <c r="AX61" s="29" t="s">
        <v>18</v>
      </c>
      <c r="AY61" s="29" t="s">
        <v>22</v>
      </c>
      <c r="AZ61" s="90" t="s">
        <v>26</v>
      </c>
      <c r="BA61" s="29" t="s">
        <v>18</v>
      </c>
      <c r="BB61" s="29" t="s">
        <v>22</v>
      </c>
      <c r="BC61" s="29" t="s">
        <v>18</v>
      </c>
      <c r="BD61" s="29" t="s">
        <v>22</v>
      </c>
      <c r="BE61" s="90" t="s">
        <v>26</v>
      </c>
      <c r="BF61" s="29" t="s">
        <v>22</v>
      </c>
      <c r="BG61" s="29" t="s">
        <v>18</v>
      </c>
      <c r="BJ61" s="29" t="s">
        <v>18</v>
      </c>
      <c r="BK61" s="29" t="s">
        <v>22</v>
      </c>
      <c r="BL61" s="29" t="s">
        <v>18</v>
      </c>
      <c r="BM61" s="29" t="s">
        <v>17</v>
      </c>
      <c r="BN61" s="29" t="s">
        <v>17</v>
      </c>
      <c r="BO61" s="29" t="s">
        <v>17</v>
      </c>
      <c r="BP61" s="29" t="s">
        <v>17</v>
      </c>
      <c r="BQ61" s="29" t="s">
        <v>17</v>
      </c>
      <c r="BR61" s="29" t="s">
        <v>17</v>
      </c>
      <c r="BS61" s="29" t="s">
        <v>17</v>
      </c>
      <c r="BT61" s="29" t="s">
        <v>17</v>
      </c>
      <c r="BU61" s="29" t="s">
        <v>17</v>
      </c>
    </row>
    <row r="62" spans="1:73" x14ac:dyDescent="0.3">
      <c r="A62" s="2">
        <f t="shared" ref="A62:B62" si="32">A61+1</f>
        <v>143</v>
      </c>
      <c r="B62" s="12">
        <f t="shared" si="32"/>
        <v>60</v>
      </c>
      <c r="C62" s="24">
        <v>44704.708333333336</v>
      </c>
      <c r="D62" s="4">
        <v>24</v>
      </c>
      <c r="E62" s="4">
        <f t="shared" si="20"/>
        <v>1416</v>
      </c>
      <c r="F62" s="5">
        <f t="shared" si="21"/>
        <v>59</v>
      </c>
      <c r="G62">
        <f t="shared" si="13"/>
        <v>0</v>
      </c>
      <c r="H62">
        <f t="shared" si="1"/>
        <v>0</v>
      </c>
      <c r="I62">
        <f t="shared" si="2"/>
        <v>0</v>
      </c>
      <c r="J62">
        <f t="shared" si="3"/>
        <v>0</v>
      </c>
      <c r="K62">
        <f t="shared" si="4"/>
        <v>0</v>
      </c>
      <c r="L62" s="86">
        <f t="shared" si="22"/>
        <v>5</v>
      </c>
      <c r="M62" s="86">
        <f t="shared" si="23"/>
        <v>5</v>
      </c>
      <c r="N62" s="91"/>
      <c r="O62">
        <f t="shared" si="24"/>
        <v>9</v>
      </c>
      <c r="P62">
        <f t="shared" si="25"/>
        <v>11</v>
      </c>
      <c r="Q62">
        <f t="shared" si="6"/>
        <v>7</v>
      </c>
      <c r="R62">
        <f t="shared" si="7"/>
        <v>0</v>
      </c>
      <c r="S62">
        <f t="shared" si="27"/>
        <v>11</v>
      </c>
      <c r="T62">
        <f t="shared" si="9"/>
        <v>0</v>
      </c>
      <c r="U62">
        <f t="shared" si="10"/>
        <v>0</v>
      </c>
      <c r="X62" s="90" t="s">
        <v>26</v>
      </c>
      <c r="Y62" s="90" t="s">
        <v>26</v>
      </c>
      <c r="Z62" s="90" t="s">
        <v>26</v>
      </c>
      <c r="AA62" s="29" t="s">
        <v>18</v>
      </c>
      <c r="AB62" s="29" t="s">
        <v>22</v>
      </c>
      <c r="AC62" s="90" t="s">
        <v>26</v>
      </c>
      <c r="AD62" s="90" t="s">
        <v>14</v>
      </c>
      <c r="AE62" s="29" t="s">
        <v>18</v>
      </c>
      <c r="AF62" s="90" t="s">
        <v>13</v>
      </c>
      <c r="AG62" s="90" t="s">
        <v>14</v>
      </c>
      <c r="AH62" s="90" t="s">
        <v>14</v>
      </c>
      <c r="AI62" s="29" t="s">
        <v>18</v>
      </c>
      <c r="AJ62" s="90" t="s">
        <v>14</v>
      </c>
      <c r="AK62" s="90" t="s">
        <v>26</v>
      </c>
      <c r="AL62" s="90" t="s">
        <v>13</v>
      </c>
      <c r="AM62" s="90" t="s">
        <v>13</v>
      </c>
      <c r="AN62" s="90" t="s">
        <v>13</v>
      </c>
      <c r="AO62" s="29" t="s">
        <v>18</v>
      </c>
      <c r="AP62" s="90" t="s">
        <v>13</v>
      </c>
      <c r="AQ62" s="29" t="s">
        <v>18</v>
      </c>
      <c r="AR62" s="29" t="s">
        <v>22</v>
      </c>
      <c r="AS62" s="90" t="s">
        <v>26</v>
      </c>
      <c r="AT62" s="90" t="s">
        <v>26</v>
      </c>
      <c r="AU62" s="90" t="s">
        <v>26</v>
      </c>
      <c r="AV62" s="90" t="s">
        <v>26</v>
      </c>
      <c r="AW62" s="90" t="s">
        <v>14</v>
      </c>
      <c r="AX62" s="29" t="s">
        <v>18</v>
      </c>
      <c r="AY62" s="29" t="s">
        <v>22</v>
      </c>
      <c r="AZ62" s="90" t="s">
        <v>26</v>
      </c>
      <c r="BA62" s="29" t="s">
        <v>18</v>
      </c>
      <c r="BB62" s="29" t="s">
        <v>22</v>
      </c>
      <c r="BC62" s="29" t="s">
        <v>18</v>
      </c>
      <c r="BD62" s="29" t="s">
        <v>22</v>
      </c>
      <c r="BE62" s="90" t="s">
        <v>26</v>
      </c>
      <c r="BF62" s="29" t="s">
        <v>22</v>
      </c>
      <c r="BG62" s="29" t="s">
        <v>18</v>
      </c>
      <c r="BJ62" s="29" t="s">
        <v>18</v>
      </c>
      <c r="BK62" s="29" t="s">
        <v>22</v>
      </c>
      <c r="BL62" s="29" t="s">
        <v>18</v>
      </c>
      <c r="BM62" s="29" t="s">
        <v>17</v>
      </c>
      <c r="BN62" s="29" t="s">
        <v>17</v>
      </c>
      <c r="BO62" s="29" t="s">
        <v>17</v>
      </c>
      <c r="BP62" s="29" t="s">
        <v>17</v>
      </c>
      <c r="BQ62" s="29" t="s">
        <v>17</v>
      </c>
      <c r="BR62" s="29" t="s">
        <v>17</v>
      </c>
      <c r="BS62" s="29" t="s">
        <v>17</v>
      </c>
      <c r="BT62" s="29" t="s">
        <v>17</v>
      </c>
      <c r="BU62" s="29" t="s">
        <v>17</v>
      </c>
    </row>
    <row r="63" spans="1:73" x14ac:dyDescent="0.3">
      <c r="A63" s="2">
        <f t="shared" ref="A63:B63" si="33">A62+1</f>
        <v>144</v>
      </c>
      <c r="B63" s="12">
        <f t="shared" si="33"/>
        <v>61</v>
      </c>
      <c r="C63" s="24">
        <v>44705.708333333336</v>
      </c>
      <c r="D63" s="4">
        <v>24</v>
      </c>
      <c r="E63" s="4">
        <f t="shared" si="20"/>
        <v>1440</v>
      </c>
      <c r="F63" s="5">
        <f t="shared" si="21"/>
        <v>60</v>
      </c>
      <c r="G63">
        <f t="shared" si="13"/>
        <v>0</v>
      </c>
      <c r="H63">
        <f t="shared" si="1"/>
        <v>0</v>
      </c>
      <c r="I63">
        <f t="shared" si="2"/>
        <v>0</v>
      </c>
      <c r="J63">
        <f t="shared" si="3"/>
        <v>0</v>
      </c>
      <c r="K63">
        <f t="shared" si="4"/>
        <v>0</v>
      </c>
      <c r="L63" s="86">
        <f t="shared" si="22"/>
        <v>5</v>
      </c>
      <c r="M63" s="86">
        <f t="shared" si="23"/>
        <v>5</v>
      </c>
      <c r="N63" s="91"/>
      <c r="O63">
        <f t="shared" si="24"/>
        <v>9</v>
      </c>
      <c r="P63">
        <f t="shared" si="25"/>
        <v>11</v>
      </c>
      <c r="Q63">
        <f t="shared" si="6"/>
        <v>7</v>
      </c>
      <c r="R63">
        <f t="shared" si="7"/>
        <v>0</v>
      </c>
      <c r="S63">
        <f t="shared" si="27"/>
        <v>11</v>
      </c>
      <c r="T63">
        <f t="shared" si="9"/>
        <v>0</v>
      </c>
      <c r="U63">
        <f t="shared" si="10"/>
        <v>0</v>
      </c>
      <c r="X63" s="90" t="s">
        <v>26</v>
      </c>
      <c r="Y63" s="90" t="s">
        <v>26</v>
      </c>
      <c r="Z63" s="90" t="s">
        <v>26</v>
      </c>
      <c r="AA63" s="29" t="s">
        <v>18</v>
      </c>
      <c r="AB63" s="29" t="s">
        <v>22</v>
      </c>
      <c r="AC63" s="90" t="s">
        <v>26</v>
      </c>
      <c r="AD63" s="90" t="s">
        <v>14</v>
      </c>
      <c r="AE63" s="29" t="s">
        <v>18</v>
      </c>
      <c r="AF63" s="90" t="s">
        <v>13</v>
      </c>
      <c r="AG63" s="90" t="s">
        <v>14</v>
      </c>
      <c r="AH63" s="90" t="s">
        <v>14</v>
      </c>
      <c r="AI63" s="29" t="s">
        <v>18</v>
      </c>
      <c r="AJ63" s="90" t="s">
        <v>14</v>
      </c>
      <c r="AK63" s="90" t="s">
        <v>26</v>
      </c>
      <c r="AL63" s="90" t="s">
        <v>13</v>
      </c>
      <c r="AM63" s="90" t="s">
        <v>13</v>
      </c>
      <c r="AN63" s="90" t="s">
        <v>13</v>
      </c>
      <c r="AO63" s="29" t="s">
        <v>18</v>
      </c>
      <c r="AP63" s="90" t="s">
        <v>13</v>
      </c>
      <c r="AQ63" s="29" t="s">
        <v>18</v>
      </c>
      <c r="AR63" s="29" t="s">
        <v>22</v>
      </c>
      <c r="AS63" s="90" t="s">
        <v>26</v>
      </c>
      <c r="AT63" s="90" t="s">
        <v>26</v>
      </c>
      <c r="AU63" s="90" t="s">
        <v>26</v>
      </c>
      <c r="AV63" s="90" t="s">
        <v>26</v>
      </c>
      <c r="AW63" s="90" t="s">
        <v>14</v>
      </c>
      <c r="AX63" s="29" t="s">
        <v>18</v>
      </c>
      <c r="AY63" s="29" t="s">
        <v>22</v>
      </c>
      <c r="AZ63" s="90" t="s">
        <v>26</v>
      </c>
      <c r="BA63" s="29" t="s">
        <v>18</v>
      </c>
      <c r="BB63" s="29" t="s">
        <v>22</v>
      </c>
      <c r="BC63" s="29" t="s">
        <v>18</v>
      </c>
      <c r="BD63" s="29" t="s">
        <v>22</v>
      </c>
      <c r="BE63" s="90" t="s">
        <v>26</v>
      </c>
      <c r="BF63" s="29" t="s">
        <v>22</v>
      </c>
      <c r="BG63" s="29" t="s">
        <v>18</v>
      </c>
      <c r="BJ63" s="29" t="s">
        <v>18</v>
      </c>
      <c r="BK63" s="29" t="s">
        <v>22</v>
      </c>
      <c r="BL63" s="29" t="s">
        <v>18</v>
      </c>
      <c r="BM63" s="29" t="s">
        <v>17</v>
      </c>
      <c r="BN63" s="29" t="s">
        <v>17</v>
      </c>
      <c r="BO63" s="29" t="s">
        <v>17</v>
      </c>
      <c r="BP63" s="29" t="s">
        <v>17</v>
      </c>
      <c r="BQ63" s="29" t="s">
        <v>17</v>
      </c>
      <c r="BR63" s="29" t="s">
        <v>17</v>
      </c>
      <c r="BS63" s="29" t="s">
        <v>17</v>
      </c>
      <c r="BT63" s="29" t="s">
        <v>17</v>
      </c>
      <c r="BU63" s="29" t="s">
        <v>17</v>
      </c>
    </row>
    <row r="64" spans="1:73" x14ac:dyDescent="0.3">
      <c r="A64" s="2">
        <f t="shared" ref="A64:B64" si="34">A63+1</f>
        <v>145</v>
      </c>
      <c r="B64" s="12">
        <f t="shared" si="34"/>
        <v>62</v>
      </c>
      <c r="C64" s="24">
        <v>44706.708333333336</v>
      </c>
      <c r="D64" s="4">
        <v>24</v>
      </c>
      <c r="E64" s="4">
        <f t="shared" si="20"/>
        <v>1464</v>
      </c>
      <c r="F64" s="5">
        <f t="shared" si="21"/>
        <v>61</v>
      </c>
      <c r="G64">
        <f t="shared" si="13"/>
        <v>0</v>
      </c>
      <c r="H64">
        <f t="shared" si="1"/>
        <v>0</v>
      </c>
      <c r="I64">
        <f t="shared" si="2"/>
        <v>0</v>
      </c>
      <c r="J64">
        <f t="shared" si="3"/>
        <v>0</v>
      </c>
      <c r="K64">
        <f t="shared" si="4"/>
        <v>0</v>
      </c>
      <c r="L64" s="86">
        <f t="shared" si="22"/>
        <v>4</v>
      </c>
      <c r="M64" s="86">
        <f t="shared" si="23"/>
        <v>5</v>
      </c>
      <c r="N64" s="91"/>
      <c r="O64">
        <f t="shared" si="24"/>
        <v>9</v>
      </c>
      <c r="P64">
        <f t="shared" si="25"/>
        <v>11</v>
      </c>
      <c r="Q64">
        <f t="shared" si="6"/>
        <v>7</v>
      </c>
      <c r="R64">
        <f t="shared" si="7"/>
        <v>0</v>
      </c>
      <c r="S64">
        <f t="shared" si="27"/>
        <v>11</v>
      </c>
      <c r="T64">
        <f>COUNTIF($X64:$BU64, "AM_D")</f>
        <v>1</v>
      </c>
      <c r="U64">
        <f t="shared" si="10"/>
        <v>0</v>
      </c>
      <c r="X64" s="90" t="s">
        <v>26</v>
      </c>
      <c r="Y64" s="90" t="s">
        <v>26</v>
      </c>
      <c r="Z64" s="90" t="s">
        <v>26</v>
      </c>
      <c r="AA64" s="29" t="s">
        <v>18</v>
      </c>
      <c r="AB64" s="29" t="s">
        <v>22</v>
      </c>
      <c r="AC64" s="90" t="s">
        <v>26</v>
      </c>
      <c r="AD64" s="90" t="s">
        <v>14</v>
      </c>
      <c r="AE64" s="29" t="s">
        <v>18</v>
      </c>
      <c r="AF64" s="90" t="s">
        <v>13</v>
      </c>
      <c r="AG64" s="90" t="s">
        <v>14</v>
      </c>
      <c r="AH64" s="90" t="s">
        <v>14</v>
      </c>
      <c r="AI64" s="29" t="s">
        <v>18</v>
      </c>
      <c r="AJ64" s="90" t="s">
        <v>14</v>
      </c>
      <c r="AK64" s="90" t="s">
        <v>26</v>
      </c>
      <c r="AL64" s="90" t="s">
        <v>13</v>
      </c>
      <c r="AM64" s="90" t="s">
        <v>53</v>
      </c>
      <c r="AN64" s="90" t="s">
        <v>13</v>
      </c>
      <c r="AO64" s="29" t="s">
        <v>18</v>
      </c>
      <c r="AP64" s="90" t="s">
        <v>13</v>
      </c>
      <c r="AQ64" s="29" t="s">
        <v>18</v>
      </c>
      <c r="AR64" s="29" t="s">
        <v>22</v>
      </c>
      <c r="AS64" s="90" t="s">
        <v>26</v>
      </c>
      <c r="AT64" s="90" t="s">
        <v>26</v>
      </c>
      <c r="AU64" s="90" t="s">
        <v>26</v>
      </c>
      <c r="AV64" s="90" t="s">
        <v>26</v>
      </c>
      <c r="AW64" s="90" t="s">
        <v>14</v>
      </c>
      <c r="AX64" s="29" t="s">
        <v>18</v>
      </c>
      <c r="AY64" s="29" t="s">
        <v>22</v>
      </c>
      <c r="AZ64" s="90" t="s">
        <v>26</v>
      </c>
      <c r="BA64" s="29" t="s">
        <v>18</v>
      </c>
      <c r="BB64" s="29" t="s">
        <v>22</v>
      </c>
      <c r="BC64" s="29" t="s">
        <v>18</v>
      </c>
      <c r="BD64" s="29" t="s">
        <v>22</v>
      </c>
      <c r="BE64" s="90" t="s">
        <v>26</v>
      </c>
      <c r="BF64" s="29" t="s">
        <v>22</v>
      </c>
      <c r="BG64" s="29" t="s">
        <v>18</v>
      </c>
      <c r="BJ64" s="29" t="s">
        <v>18</v>
      </c>
      <c r="BK64" s="29" t="s">
        <v>22</v>
      </c>
      <c r="BL64" s="29" t="s">
        <v>18</v>
      </c>
      <c r="BM64" s="29" t="s">
        <v>17</v>
      </c>
      <c r="BN64" s="29" t="s">
        <v>17</v>
      </c>
      <c r="BO64" s="29" t="s">
        <v>17</v>
      </c>
      <c r="BP64" s="29" t="s">
        <v>17</v>
      </c>
      <c r="BQ64" s="29" t="s">
        <v>17</v>
      </c>
      <c r="BR64" s="29" t="s">
        <v>17</v>
      </c>
      <c r="BS64" s="29" t="s">
        <v>17</v>
      </c>
      <c r="BT64" s="29" t="s">
        <v>17</v>
      </c>
      <c r="BU64" s="29" t="s">
        <v>17</v>
      </c>
    </row>
    <row r="65" spans="1:73" x14ac:dyDescent="0.3">
      <c r="A65" s="2">
        <f t="shared" ref="A65:B65" si="35">A64+1</f>
        <v>146</v>
      </c>
      <c r="B65" s="12">
        <f t="shared" si="35"/>
        <v>63</v>
      </c>
      <c r="C65" s="24">
        <v>44707.708333333336</v>
      </c>
      <c r="D65" s="4">
        <v>24</v>
      </c>
      <c r="E65" s="4">
        <f t="shared" si="20"/>
        <v>1488</v>
      </c>
      <c r="F65" s="5">
        <f t="shared" si="21"/>
        <v>62</v>
      </c>
      <c r="G65">
        <f t="shared" si="13"/>
        <v>0</v>
      </c>
      <c r="H65">
        <f t="shared" si="1"/>
        <v>0</v>
      </c>
      <c r="I65">
        <f t="shared" si="2"/>
        <v>0</v>
      </c>
      <c r="J65">
        <f t="shared" si="3"/>
        <v>0</v>
      </c>
      <c r="K65">
        <f t="shared" si="4"/>
        <v>0</v>
      </c>
      <c r="L65" s="86">
        <f t="shared" si="22"/>
        <v>4</v>
      </c>
      <c r="M65" s="86">
        <f t="shared" si="23"/>
        <v>5</v>
      </c>
      <c r="N65" s="91"/>
      <c r="O65">
        <f t="shared" si="24"/>
        <v>9</v>
      </c>
      <c r="P65">
        <f t="shared" si="25"/>
        <v>11</v>
      </c>
      <c r="Q65">
        <f t="shared" si="6"/>
        <v>7</v>
      </c>
      <c r="R65">
        <f t="shared" si="7"/>
        <v>0</v>
      </c>
      <c r="S65">
        <f t="shared" si="27"/>
        <v>11</v>
      </c>
      <c r="T65">
        <f t="shared" si="9"/>
        <v>1</v>
      </c>
      <c r="U65">
        <f t="shared" si="10"/>
        <v>0</v>
      </c>
      <c r="X65" s="90" t="s">
        <v>26</v>
      </c>
      <c r="Y65" s="90" t="s">
        <v>26</v>
      </c>
      <c r="Z65" s="90" t="s">
        <v>26</v>
      </c>
      <c r="AA65" s="29" t="s">
        <v>18</v>
      </c>
      <c r="AB65" s="29" t="s">
        <v>22</v>
      </c>
      <c r="AC65" s="90" t="s">
        <v>26</v>
      </c>
      <c r="AD65" s="90" t="s">
        <v>14</v>
      </c>
      <c r="AE65" s="29" t="s">
        <v>18</v>
      </c>
      <c r="AF65" s="90" t="s">
        <v>13</v>
      </c>
      <c r="AG65" s="90" t="s">
        <v>14</v>
      </c>
      <c r="AH65" s="90" t="s">
        <v>14</v>
      </c>
      <c r="AI65" s="29" t="s">
        <v>18</v>
      </c>
      <c r="AJ65" s="90" t="s">
        <v>14</v>
      </c>
      <c r="AK65" s="90" t="s">
        <v>26</v>
      </c>
      <c r="AL65" s="90" t="s">
        <v>13</v>
      </c>
      <c r="AM65" s="90" t="s">
        <v>53</v>
      </c>
      <c r="AN65" s="90" t="s">
        <v>13</v>
      </c>
      <c r="AO65" s="29" t="s">
        <v>18</v>
      </c>
      <c r="AP65" s="90" t="s">
        <v>13</v>
      </c>
      <c r="AQ65" s="29" t="s">
        <v>18</v>
      </c>
      <c r="AR65" s="29" t="s">
        <v>22</v>
      </c>
      <c r="AS65" s="90" t="s">
        <v>26</v>
      </c>
      <c r="AT65" s="90" t="s">
        <v>26</v>
      </c>
      <c r="AU65" s="90" t="s">
        <v>26</v>
      </c>
      <c r="AV65" s="90" t="s">
        <v>26</v>
      </c>
      <c r="AW65" s="90" t="s">
        <v>14</v>
      </c>
      <c r="AX65" s="29" t="s">
        <v>18</v>
      </c>
      <c r="AY65" s="29" t="s">
        <v>22</v>
      </c>
      <c r="AZ65" s="90" t="s">
        <v>26</v>
      </c>
      <c r="BA65" s="29" t="s">
        <v>18</v>
      </c>
      <c r="BB65" s="29" t="s">
        <v>22</v>
      </c>
      <c r="BC65" s="29" t="s">
        <v>18</v>
      </c>
      <c r="BD65" s="29" t="s">
        <v>22</v>
      </c>
      <c r="BE65" s="90" t="s">
        <v>26</v>
      </c>
      <c r="BF65" s="29" t="s">
        <v>22</v>
      </c>
      <c r="BG65" s="29" t="s">
        <v>18</v>
      </c>
      <c r="BJ65" s="29" t="s">
        <v>18</v>
      </c>
      <c r="BK65" s="29" t="s">
        <v>22</v>
      </c>
      <c r="BL65" s="29" t="s">
        <v>18</v>
      </c>
      <c r="BM65" s="29" t="s">
        <v>17</v>
      </c>
      <c r="BN65" s="29" t="s">
        <v>17</v>
      </c>
      <c r="BO65" s="29" t="s">
        <v>17</v>
      </c>
      <c r="BP65" s="29" t="s">
        <v>17</v>
      </c>
      <c r="BQ65" s="29" t="s">
        <v>17</v>
      </c>
      <c r="BR65" s="29" t="s">
        <v>17</v>
      </c>
      <c r="BS65" s="29" t="s">
        <v>17</v>
      </c>
      <c r="BT65" s="29" t="s">
        <v>17</v>
      </c>
      <c r="BU65" s="29" t="s">
        <v>17</v>
      </c>
    </row>
    <row r="66" spans="1:73" x14ac:dyDescent="0.3">
      <c r="A66" s="2">
        <f t="shared" ref="A66:B66" si="36">A65+1</f>
        <v>147</v>
      </c>
      <c r="B66" s="12">
        <f t="shared" si="36"/>
        <v>64</v>
      </c>
      <c r="C66" s="24">
        <v>44708.708333333336</v>
      </c>
      <c r="D66" s="4">
        <v>24</v>
      </c>
      <c r="E66" s="4">
        <f t="shared" si="20"/>
        <v>1512</v>
      </c>
      <c r="F66" s="5">
        <f t="shared" si="21"/>
        <v>63</v>
      </c>
      <c r="G66">
        <f t="shared" si="13"/>
        <v>0</v>
      </c>
      <c r="H66">
        <f t="shared" si="1"/>
        <v>0</v>
      </c>
      <c r="I66">
        <f t="shared" si="2"/>
        <v>0</v>
      </c>
      <c r="J66">
        <f t="shared" si="3"/>
        <v>0</v>
      </c>
      <c r="K66">
        <f t="shared" si="4"/>
        <v>0</v>
      </c>
      <c r="L66" s="86">
        <f t="shared" si="22"/>
        <v>4</v>
      </c>
      <c r="M66" s="86">
        <f t="shared" si="23"/>
        <v>5</v>
      </c>
      <c r="N66" s="91"/>
      <c r="O66">
        <f t="shared" si="24"/>
        <v>9</v>
      </c>
      <c r="P66">
        <f t="shared" si="25"/>
        <v>11</v>
      </c>
      <c r="Q66">
        <f t="shared" si="6"/>
        <v>7</v>
      </c>
      <c r="R66">
        <f t="shared" si="7"/>
        <v>0</v>
      </c>
      <c r="S66">
        <f t="shared" si="27"/>
        <v>11</v>
      </c>
      <c r="T66">
        <f t="shared" si="9"/>
        <v>1</v>
      </c>
      <c r="U66">
        <f t="shared" si="10"/>
        <v>0</v>
      </c>
      <c r="X66" s="90" t="s">
        <v>26</v>
      </c>
      <c r="Y66" s="90" t="s">
        <v>26</v>
      </c>
      <c r="Z66" s="90" t="s">
        <v>26</v>
      </c>
      <c r="AA66" s="29" t="s">
        <v>18</v>
      </c>
      <c r="AB66" s="29" t="s">
        <v>22</v>
      </c>
      <c r="AC66" s="90" t="s">
        <v>26</v>
      </c>
      <c r="AD66" s="90" t="s">
        <v>14</v>
      </c>
      <c r="AE66" s="29" t="s">
        <v>18</v>
      </c>
      <c r="AF66" s="90" t="s">
        <v>13</v>
      </c>
      <c r="AG66" s="90" t="s">
        <v>14</v>
      </c>
      <c r="AH66" s="90" t="s">
        <v>14</v>
      </c>
      <c r="AI66" s="29" t="s">
        <v>18</v>
      </c>
      <c r="AJ66" s="90" t="s">
        <v>14</v>
      </c>
      <c r="AK66" s="90" t="s">
        <v>26</v>
      </c>
      <c r="AL66" s="90" t="s">
        <v>13</v>
      </c>
      <c r="AM66" s="90" t="s">
        <v>53</v>
      </c>
      <c r="AN66" s="90" t="s">
        <v>13</v>
      </c>
      <c r="AO66" s="29" t="s">
        <v>18</v>
      </c>
      <c r="AP66" s="90" t="s">
        <v>13</v>
      </c>
      <c r="AQ66" s="29" t="s">
        <v>18</v>
      </c>
      <c r="AR66" s="29" t="s">
        <v>22</v>
      </c>
      <c r="AS66" s="90" t="s">
        <v>26</v>
      </c>
      <c r="AT66" s="90" t="s">
        <v>26</v>
      </c>
      <c r="AU66" s="90" t="s">
        <v>26</v>
      </c>
      <c r="AV66" s="90" t="s">
        <v>26</v>
      </c>
      <c r="AW66" s="90" t="s">
        <v>14</v>
      </c>
      <c r="AX66" s="29" t="s">
        <v>18</v>
      </c>
      <c r="AY66" s="29" t="s">
        <v>22</v>
      </c>
      <c r="AZ66" s="90" t="s">
        <v>26</v>
      </c>
      <c r="BA66" s="29" t="s">
        <v>18</v>
      </c>
      <c r="BB66" s="29" t="s">
        <v>22</v>
      </c>
      <c r="BC66" s="29" t="s">
        <v>18</v>
      </c>
      <c r="BD66" s="29" t="s">
        <v>22</v>
      </c>
      <c r="BE66" s="90" t="s">
        <v>26</v>
      </c>
      <c r="BF66" s="29" t="s">
        <v>22</v>
      </c>
      <c r="BG66" s="29" t="s">
        <v>18</v>
      </c>
      <c r="BJ66" s="29" t="s">
        <v>18</v>
      </c>
      <c r="BK66" s="29" t="s">
        <v>22</v>
      </c>
      <c r="BL66" s="29" t="s">
        <v>18</v>
      </c>
      <c r="BM66" s="29" t="s">
        <v>17</v>
      </c>
      <c r="BN66" s="29" t="s">
        <v>17</v>
      </c>
      <c r="BO66" s="29" t="s">
        <v>17</v>
      </c>
      <c r="BP66" s="29" t="s">
        <v>17</v>
      </c>
      <c r="BQ66" s="29" t="s">
        <v>17</v>
      </c>
      <c r="BR66" s="29" t="s">
        <v>17</v>
      </c>
      <c r="BS66" s="29" t="s">
        <v>17</v>
      </c>
      <c r="BT66" s="29" t="s">
        <v>17</v>
      </c>
      <c r="BU66" s="29" t="s">
        <v>17</v>
      </c>
    </row>
    <row r="67" spans="1:73" x14ac:dyDescent="0.3">
      <c r="A67" s="2">
        <f t="shared" ref="A67:B67" si="37">A66+1</f>
        <v>148</v>
      </c>
      <c r="B67" s="12">
        <f t="shared" si="37"/>
        <v>65</v>
      </c>
      <c r="C67" s="24">
        <v>44709.708333333336</v>
      </c>
      <c r="D67" s="4">
        <v>24</v>
      </c>
      <c r="E67" s="4">
        <f t="shared" si="20"/>
        <v>1536</v>
      </c>
      <c r="F67" s="5">
        <f t="shared" si="21"/>
        <v>64</v>
      </c>
      <c r="G67">
        <f t="shared" si="13"/>
        <v>0</v>
      </c>
      <c r="H67">
        <f t="shared" si="1"/>
        <v>0</v>
      </c>
      <c r="I67">
        <f t="shared" si="2"/>
        <v>0</v>
      </c>
      <c r="J67">
        <f t="shared" si="3"/>
        <v>0</v>
      </c>
      <c r="K67">
        <f t="shared" si="4"/>
        <v>0</v>
      </c>
      <c r="L67" s="86">
        <f t="shared" si="22"/>
        <v>4</v>
      </c>
      <c r="M67" s="86">
        <f t="shared" si="23"/>
        <v>5</v>
      </c>
      <c r="N67" s="91"/>
      <c r="O67">
        <f t="shared" si="24"/>
        <v>9</v>
      </c>
      <c r="P67">
        <f t="shared" si="25"/>
        <v>11</v>
      </c>
      <c r="Q67">
        <f t="shared" si="6"/>
        <v>7</v>
      </c>
      <c r="R67">
        <f t="shared" si="7"/>
        <v>0</v>
      </c>
      <c r="S67">
        <f t="shared" si="27"/>
        <v>11</v>
      </c>
      <c r="T67">
        <f t="shared" si="9"/>
        <v>1</v>
      </c>
      <c r="U67">
        <f t="shared" si="10"/>
        <v>0</v>
      </c>
      <c r="X67" s="90" t="s">
        <v>26</v>
      </c>
      <c r="Y67" s="90" t="s">
        <v>26</v>
      </c>
      <c r="Z67" s="90" t="s">
        <v>26</v>
      </c>
      <c r="AA67" s="29" t="s">
        <v>18</v>
      </c>
      <c r="AB67" s="29" t="s">
        <v>22</v>
      </c>
      <c r="AC67" s="90" t="s">
        <v>26</v>
      </c>
      <c r="AD67" s="90" t="s">
        <v>14</v>
      </c>
      <c r="AE67" s="29" t="s">
        <v>18</v>
      </c>
      <c r="AF67" s="90" t="s">
        <v>13</v>
      </c>
      <c r="AG67" s="90" t="s">
        <v>14</v>
      </c>
      <c r="AH67" s="90" t="s">
        <v>14</v>
      </c>
      <c r="AI67" s="29" t="s">
        <v>18</v>
      </c>
      <c r="AJ67" s="90" t="s">
        <v>14</v>
      </c>
      <c r="AK67" s="90" t="s">
        <v>26</v>
      </c>
      <c r="AL67" s="90" t="s">
        <v>13</v>
      </c>
      <c r="AM67" s="90" t="s">
        <v>53</v>
      </c>
      <c r="AN67" s="90" t="s">
        <v>13</v>
      </c>
      <c r="AO67" s="29" t="s">
        <v>18</v>
      </c>
      <c r="AP67" s="90" t="s">
        <v>13</v>
      </c>
      <c r="AQ67" s="29" t="s">
        <v>18</v>
      </c>
      <c r="AR67" s="29" t="s">
        <v>22</v>
      </c>
      <c r="AS67" s="90" t="s">
        <v>26</v>
      </c>
      <c r="AT67" s="90" t="s">
        <v>26</v>
      </c>
      <c r="AU67" s="90" t="s">
        <v>26</v>
      </c>
      <c r="AV67" s="90" t="s">
        <v>26</v>
      </c>
      <c r="AW67" s="90" t="s">
        <v>14</v>
      </c>
      <c r="AX67" s="29" t="s">
        <v>18</v>
      </c>
      <c r="AY67" s="29" t="s">
        <v>22</v>
      </c>
      <c r="AZ67" s="90" t="s">
        <v>26</v>
      </c>
      <c r="BA67" s="29" t="s">
        <v>18</v>
      </c>
      <c r="BB67" s="29" t="s">
        <v>22</v>
      </c>
      <c r="BC67" s="29" t="s">
        <v>18</v>
      </c>
      <c r="BD67" s="29" t="s">
        <v>22</v>
      </c>
      <c r="BE67" s="90" t="s">
        <v>26</v>
      </c>
      <c r="BF67" s="29" t="s">
        <v>22</v>
      </c>
      <c r="BG67" s="29" t="s">
        <v>18</v>
      </c>
      <c r="BJ67" s="29" t="s">
        <v>18</v>
      </c>
      <c r="BK67" s="29" t="s">
        <v>22</v>
      </c>
      <c r="BL67" s="29" t="s">
        <v>18</v>
      </c>
      <c r="BM67" s="29" t="s">
        <v>17</v>
      </c>
      <c r="BN67" s="29" t="s">
        <v>17</v>
      </c>
      <c r="BO67" s="29" t="s">
        <v>17</v>
      </c>
      <c r="BP67" s="29" t="s">
        <v>17</v>
      </c>
      <c r="BQ67" s="29" t="s">
        <v>17</v>
      </c>
      <c r="BR67" s="29" t="s">
        <v>17</v>
      </c>
      <c r="BS67" s="29" t="s">
        <v>17</v>
      </c>
      <c r="BT67" s="29" t="s">
        <v>17</v>
      </c>
      <c r="BU67" s="29" t="s">
        <v>17</v>
      </c>
    </row>
    <row r="68" spans="1:73" x14ac:dyDescent="0.3">
      <c r="A68" s="2">
        <f t="shared" ref="A68:B68" si="38">A67+1</f>
        <v>149</v>
      </c>
      <c r="B68" s="12">
        <f t="shared" si="38"/>
        <v>66</v>
      </c>
      <c r="C68" s="24">
        <v>44710.708333333336</v>
      </c>
      <c r="D68" s="4">
        <v>24</v>
      </c>
      <c r="E68" s="4">
        <f t="shared" si="20"/>
        <v>1560</v>
      </c>
      <c r="F68" s="5">
        <f t="shared" si="21"/>
        <v>65</v>
      </c>
      <c r="G68">
        <f t="shared" si="13"/>
        <v>0</v>
      </c>
      <c r="H68">
        <f t="shared" ref="H68:H131" si="39">COUNTIF($X68:$BU68, "L1")</f>
        <v>0</v>
      </c>
      <c r="I68">
        <f t="shared" ref="I68:I131" si="40">COUNTIF($X68:$BU68, "L2")</f>
        <v>0</v>
      </c>
      <c r="J68">
        <f t="shared" ref="J68:J131" si="41">COUNTIF($X68:$BU68, "L3")</f>
        <v>0</v>
      </c>
      <c r="K68">
        <f t="shared" ref="K68:K131" si="42">COUNTIF($X68:$BU68, "P")</f>
        <v>0</v>
      </c>
      <c r="L68" s="86">
        <f t="shared" si="22"/>
        <v>4</v>
      </c>
      <c r="M68" s="86">
        <f t="shared" si="23"/>
        <v>5</v>
      </c>
      <c r="N68" s="91"/>
      <c r="O68">
        <f t="shared" si="24"/>
        <v>9</v>
      </c>
      <c r="P68">
        <f t="shared" si="25"/>
        <v>11</v>
      </c>
      <c r="Q68">
        <f t="shared" ref="Q68:Q131" si="43">COUNTIF($X68:$BU68, "L2_D")</f>
        <v>7</v>
      </c>
      <c r="R68">
        <f t="shared" ref="R68:R131" si="44">COUNTIF($X68:$BU68, "L3_D")</f>
        <v>0</v>
      </c>
      <c r="S68">
        <f t="shared" si="27"/>
        <v>11</v>
      </c>
      <c r="T68">
        <f t="shared" ref="T68:T131" si="45">COUNTIF($X68:$BU68, "AM_D")</f>
        <v>1</v>
      </c>
      <c r="U68">
        <f t="shared" ref="U68:U131" si="46">COUNTIF($X68:$BU68, "AF_D")</f>
        <v>0</v>
      </c>
      <c r="X68" s="90" t="s">
        <v>26</v>
      </c>
      <c r="Y68" s="90" t="s">
        <v>26</v>
      </c>
      <c r="Z68" s="90" t="s">
        <v>26</v>
      </c>
      <c r="AA68" s="29" t="s">
        <v>18</v>
      </c>
      <c r="AB68" s="29" t="s">
        <v>22</v>
      </c>
      <c r="AC68" s="90" t="s">
        <v>26</v>
      </c>
      <c r="AD68" s="90" t="s">
        <v>14</v>
      </c>
      <c r="AE68" s="29" t="s">
        <v>18</v>
      </c>
      <c r="AF68" s="90" t="s">
        <v>13</v>
      </c>
      <c r="AG68" s="90" t="s">
        <v>14</v>
      </c>
      <c r="AH68" s="90" t="s">
        <v>14</v>
      </c>
      <c r="AI68" s="29" t="s">
        <v>18</v>
      </c>
      <c r="AJ68" s="90" t="s">
        <v>14</v>
      </c>
      <c r="AK68" s="90" t="s">
        <v>26</v>
      </c>
      <c r="AL68" s="90" t="s">
        <v>13</v>
      </c>
      <c r="AM68" s="90" t="s">
        <v>53</v>
      </c>
      <c r="AN68" s="90" t="s">
        <v>13</v>
      </c>
      <c r="AO68" s="29" t="s">
        <v>18</v>
      </c>
      <c r="AP68" s="90" t="s">
        <v>13</v>
      </c>
      <c r="AQ68" s="29" t="s">
        <v>18</v>
      </c>
      <c r="AR68" s="29" t="s">
        <v>22</v>
      </c>
      <c r="AS68" s="90" t="s">
        <v>26</v>
      </c>
      <c r="AT68" s="90" t="s">
        <v>26</v>
      </c>
      <c r="AU68" s="90" t="s">
        <v>26</v>
      </c>
      <c r="AV68" s="90" t="s">
        <v>26</v>
      </c>
      <c r="AW68" s="90" t="s">
        <v>14</v>
      </c>
      <c r="AX68" s="29" t="s">
        <v>18</v>
      </c>
      <c r="AY68" s="29" t="s">
        <v>22</v>
      </c>
      <c r="AZ68" s="90" t="s">
        <v>26</v>
      </c>
      <c r="BA68" s="29" t="s">
        <v>18</v>
      </c>
      <c r="BB68" s="29" t="s">
        <v>22</v>
      </c>
      <c r="BC68" s="29" t="s">
        <v>18</v>
      </c>
      <c r="BD68" s="29" t="s">
        <v>22</v>
      </c>
      <c r="BE68" s="90" t="s">
        <v>26</v>
      </c>
      <c r="BF68" s="29" t="s">
        <v>22</v>
      </c>
      <c r="BG68" s="29" t="s">
        <v>18</v>
      </c>
      <c r="BJ68" s="29" t="s">
        <v>18</v>
      </c>
      <c r="BK68" s="29" t="s">
        <v>22</v>
      </c>
      <c r="BL68" s="29" t="s">
        <v>18</v>
      </c>
      <c r="BM68" s="29" t="s">
        <v>17</v>
      </c>
      <c r="BN68" s="29" t="s">
        <v>17</v>
      </c>
      <c r="BO68" s="29" t="s">
        <v>17</v>
      </c>
      <c r="BP68" s="29" t="s">
        <v>17</v>
      </c>
      <c r="BQ68" s="29" t="s">
        <v>17</v>
      </c>
      <c r="BR68" s="29" t="s">
        <v>17</v>
      </c>
      <c r="BS68" s="29" t="s">
        <v>17</v>
      </c>
      <c r="BT68" s="29" t="s">
        <v>17</v>
      </c>
      <c r="BU68" s="29" t="s">
        <v>17</v>
      </c>
    </row>
    <row r="69" spans="1:73" x14ac:dyDescent="0.3">
      <c r="A69" s="2">
        <f t="shared" ref="A69:B69" si="47">A68+1</f>
        <v>150</v>
      </c>
      <c r="B69" s="12">
        <f t="shared" si="47"/>
        <v>67</v>
      </c>
      <c r="C69" s="24">
        <v>44711.708333333336</v>
      </c>
      <c r="D69" s="4">
        <v>24</v>
      </c>
      <c r="E69" s="4">
        <f t="shared" si="20"/>
        <v>1584</v>
      </c>
      <c r="F69" s="5">
        <f t="shared" si="21"/>
        <v>66</v>
      </c>
      <c r="G69">
        <f t="shared" ref="G69:G132" si="48">COUNTIF($X69:$BU69, "E")</f>
        <v>0</v>
      </c>
      <c r="H69">
        <f t="shared" si="39"/>
        <v>0</v>
      </c>
      <c r="I69">
        <f t="shared" si="40"/>
        <v>0</v>
      </c>
      <c r="J69">
        <f t="shared" si="41"/>
        <v>0</v>
      </c>
      <c r="K69">
        <f t="shared" si="42"/>
        <v>0</v>
      </c>
      <c r="L69" s="86">
        <f t="shared" si="22"/>
        <v>4</v>
      </c>
      <c r="M69" s="86">
        <f t="shared" si="23"/>
        <v>5</v>
      </c>
      <c r="N69" s="91"/>
      <c r="O69">
        <f t="shared" si="24"/>
        <v>9</v>
      </c>
      <c r="P69">
        <f t="shared" si="25"/>
        <v>11</v>
      </c>
      <c r="Q69">
        <f t="shared" si="43"/>
        <v>7</v>
      </c>
      <c r="R69">
        <f t="shared" si="44"/>
        <v>0</v>
      </c>
      <c r="S69">
        <f t="shared" si="27"/>
        <v>11</v>
      </c>
      <c r="T69">
        <f t="shared" si="45"/>
        <v>1</v>
      </c>
      <c r="U69">
        <f t="shared" si="46"/>
        <v>0</v>
      </c>
      <c r="X69" s="90" t="s">
        <v>26</v>
      </c>
      <c r="Y69" s="90" t="s">
        <v>26</v>
      </c>
      <c r="Z69" s="90" t="s">
        <v>26</v>
      </c>
      <c r="AA69" s="29" t="s">
        <v>18</v>
      </c>
      <c r="AB69" s="29" t="s">
        <v>22</v>
      </c>
      <c r="AC69" s="90" t="s">
        <v>26</v>
      </c>
      <c r="AD69" s="90" t="s">
        <v>14</v>
      </c>
      <c r="AE69" s="29" t="s">
        <v>18</v>
      </c>
      <c r="AF69" s="90" t="s">
        <v>13</v>
      </c>
      <c r="AG69" s="90" t="s">
        <v>14</v>
      </c>
      <c r="AH69" s="90" t="s">
        <v>14</v>
      </c>
      <c r="AI69" s="29" t="s">
        <v>18</v>
      </c>
      <c r="AJ69" s="90" t="s">
        <v>14</v>
      </c>
      <c r="AK69" s="90" t="s">
        <v>26</v>
      </c>
      <c r="AL69" s="90" t="s">
        <v>13</v>
      </c>
      <c r="AM69" s="90" t="s">
        <v>53</v>
      </c>
      <c r="AN69" s="90" t="s">
        <v>13</v>
      </c>
      <c r="AO69" s="29" t="s">
        <v>18</v>
      </c>
      <c r="AP69" s="90" t="s">
        <v>13</v>
      </c>
      <c r="AQ69" s="29" t="s">
        <v>18</v>
      </c>
      <c r="AR69" s="29" t="s">
        <v>22</v>
      </c>
      <c r="AS69" s="90" t="s">
        <v>26</v>
      </c>
      <c r="AT69" s="90" t="s">
        <v>26</v>
      </c>
      <c r="AU69" s="90" t="s">
        <v>26</v>
      </c>
      <c r="AV69" s="90" t="s">
        <v>26</v>
      </c>
      <c r="AW69" s="90" t="s">
        <v>14</v>
      </c>
      <c r="AX69" s="29" t="s">
        <v>18</v>
      </c>
      <c r="AY69" s="29" t="s">
        <v>22</v>
      </c>
      <c r="AZ69" s="90" t="s">
        <v>26</v>
      </c>
      <c r="BA69" s="29" t="s">
        <v>18</v>
      </c>
      <c r="BB69" s="29" t="s">
        <v>22</v>
      </c>
      <c r="BC69" s="29" t="s">
        <v>18</v>
      </c>
      <c r="BD69" s="29" t="s">
        <v>22</v>
      </c>
      <c r="BE69" s="90" t="s">
        <v>26</v>
      </c>
      <c r="BF69" s="29" t="s">
        <v>22</v>
      </c>
      <c r="BG69" s="29" t="s">
        <v>18</v>
      </c>
      <c r="BJ69" s="29" t="s">
        <v>18</v>
      </c>
      <c r="BK69" s="29" t="s">
        <v>22</v>
      </c>
      <c r="BL69" s="29" t="s">
        <v>18</v>
      </c>
      <c r="BM69" s="29" t="s">
        <v>17</v>
      </c>
      <c r="BN69" s="29" t="s">
        <v>17</v>
      </c>
      <c r="BO69" s="29" t="s">
        <v>17</v>
      </c>
      <c r="BP69" s="29" t="s">
        <v>17</v>
      </c>
      <c r="BQ69" s="29" t="s">
        <v>17</v>
      </c>
      <c r="BR69" s="29" t="s">
        <v>17</v>
      </c>
      <c r="BS69" s="29" t="s">
        <v>17</v>
      </c>
      <c r="BT69" s="29" t="s">
        <v>17</v>
      </c>
      <c r="BU69" s="29" t="s">
        <v>17</v>
      </c>
    </row>
    <row r="70" spans="1:73" x14ac:dyDescent="0.3">
      <c r="A70" s="2">
        <f t="shared" ref="A70:B70" si="49">A69+1</f>
        <v>151</v>
      </c>
      <c r="B70" s="12">
        <f t="shared" si="49"/>
        <v>68</v>
      </c>
      <c r="C70" s="24">
        <v>44712.708333333336</v>
      </c>
      <c r="D70" s="4">
        <v>24</v>
      </c>
      <c r="E70" s="4">
        <f t="shared" si="20"/>
        <v>1608</v>
      </c>
      <c r="F70" s="5">
        <f t="shared" si="21"/>
        <v>67</v>
      </c>
      <c r="G70">
        <f t="shared" si="48"/>
        <v>0</v>
      </c>
      <c r="H70">
        <f t="shared" si="39"/>
        <v>0</v>
      </c>
      <c r="I70">
        <f t="shared" si="40"/>
        <v>0</v>
      </c>
      <c r="J70">
        <f t="shared" si="41"/>
        <v>0</v>
      </c>
      <c r="K70">
        <f t="shared" si="42"/>
        <v>0</v>
      </c>
      <c r="L70" s="86">
        <f t="shared" si="22"/>
        <v>4</v>
      </c>
      <c r="M70" s="86">
        <f t="shared" si="23"/>
        <v>5</v>
      </c>
      <c r="N70" s="91"/>
      <c r="O70">
        <f t="shared" si="24"/>
        <v>9</v>
      </c>
      <c r="P70">
        <f t="shared" si="25"/>
        <v>11</v>
      </c>
      <c r="Q70">
        <f t="shared" si="43"/>
        <v>7</v>
      </c>
      <c r="R70">
        <f t="shared" si="44"/>
        <v>0</v>
      </c>
      <c r="S70">
        <f t="shared" si="27"/>
        <v>11</v>
      </c>
      <c r="T70">
        <f t="shared" si="45"/>
        <v>1</v>
      </c>
      <c r="U70">
        <f t="shared" si="46"/>
        <v>0</v>
      </c>
      <c r="X70" s="90" t="s">
        <v>26</v>
      </c>
      <c r="Y70" s="90" t="s">
        <v>26</v>
      </c>
      <c r="Z70" s="90" t="s">
        <v>26</v>
      </c>
      <c r="AA70" s="29" t="s">
        <v>18</v>
      </c>
      <c r="AB70" s="29" t="s">
        <v>22</v>
      </c>
      <c r="AC70" s="90" t="s">
        <v>26</v>
      </c>
      <c r="AD70" s="90" t="s">
        <v>14</v>
      </c>
      <c r="AE70" s="29" t="s">
        <v>18</v>
      </c>
      <c r="AF70" s="90" t="s">
        <v>13</v>
      </c>
      <c r="AG70" s="90" t="s">
        <v>14</v>
      </c>
      <c r="AH70" s="90" t="s">
        <v>14</v>
      </c>
      <c r="AI70" s="29" t="s">
        <v>18</v>
      </c>
      <c r="AJ70" s="90" t="s">
        <v>14</v>
      </c>
      <c r="AK70" s="90" t="s">
        <v>26</v>
      </c>
      <c r="AL70" s="90" t="s">
        <v>13</v>
      </c>
      <c r="AM70" s="90" t="s">
        <v>53</v>
      </c>
      <c r="AN70" s="90" t="s">
        <v>13</v>
      </c>
      <c r="AO70" s="29" t="s">
        <v>18</v>
      </c>
      <c r="AP70" s="90" t="s">
        <v>13</v>
      </c>
      <c r="AQ70" s="29" t="s">
        <v>18</v>
      </c>
      <c r="AR70" s="29" t="s">
        <v>22</v>
      </c>
      <c r="AS70" s="90" t="s">
        <v>26</v>
      </c>
      <c r="AT70" s="90" t="s">
        <v>26</v>
      </c>
      <c r="AU70" s="90" t="s">
        <v>26</v>
      </c>
      <c r="AV70" s="90" t="s">
        <v>26</v>
      </c>
      <c r="AW70" s="90" t="s">
        <v>14</v>
      </c>
      <c r="AX70" s="29" t="s">
        <v>18</v>
      </c>
      <c r="AY70" s="29" t="s">
        <v>22</v>
      </c>
      <c r="AZ70" s="90" t="s">
        <v>26</v>
      </c>
      <c r="BA70" s="29" t="s">
        <v>18</v>
      </c>
      <c r="BB70" s="29" t="s">
        <v>22</v>
      </c>
      <c r="BC70" s="29" t="s">
        <v>18</v>
      </c>
      <c r="BD70" s="29" t="s">
        <v>22</v>
      </c>
      <c r="BE70" s="90" t="s">
        <v>26</v>
      </c>
      <c r="BF70" s="29" t="s">
        <v>22</v>
      </c>
      <c r="BG70" s="29" t="s">
        <v>18</v>
      </c>
      <c r="BJ70" s="29" t="s">
        <v>18</v>
      </c>
      <c r="BK70" s="29" t="s">
        <v>22</v>
      </c>
      <c r="BL70" s="29" t="s">
        <v>18</v>
      </c>
      <c r="BM70" s="29" t="s">
        <v>17</v>
      </c>
      <c r="BN70" s="29" t="s">
        <v>17</v>
      </c>
      <c r="BO70" s="29" t="s">
        <v>17</v>
      </c>
      <c r="BP70" s="29" t="s">
        <v>17</v>
      </c>
      <c r="BQ70" s="29" t="s">
        <v>17</v>
      </c>
      <c r="BR70" s="29" t="s">
        <v>17</v>
      </c>
      <c r="BS70" s="29" t="s">
        <v>17</v>
      </c>
      <c r="BT70" s="29" t="s">
        <v>17</v>
      </c>
      <c r="BU70" s="29" t="s">
        <v>17</v>
      </c>
    </row>
    <row r="71" spans="1:73" x14ac:dyDescent="0.3">
      <c r="A71" s="2">
        <f t="shared" ref="A71:B71" si="50">A70+1</f>
        <v>152</v>
      </c>
      <c r="B71" s="12">
        <f t="shared" si="50"/>
        <v>69</v>
      </c>
      <c r="C71" s="24">
        <v>44713.708333333336</v>
      </c>
      <c r="D71" s="4">
        <v>24</v>
      </c>
      <c r="E71" s="4">
        <f t="shared" si="20"/>
        <v>1632</v>
      </c>
      <c r="F71" s="5">
        <f t="shared" si="21"/>
        <v>68</v>
      </c>
      <c r="G71">
        <f t="shared" si="48"/>
        <v>0</v>
      </c>
      <c r="H71">
        <f t="shared" si="39"/>
        <v>0</v>
      </c>
      <c r="I71">
        <f t="shared" si="40"/>
        <v>0</v>
      </c>
      <c r="J71">
        <f t="shared" si="41"/>
        <v>0</v>
      </c>
      <c r="K71">
        <f t="shared" si="42"/>
        <v>0</v>
      </c>
      <c r="L71" s="86">
        <f t="shared" si="22"/>
        <v>4</v>
      </c>
      <c r="M71" s="86">
        <f t="shared" si="23"/>
        <v>5</v>
      </c>
      <c r="N71" s="91"/>
      <c r="O71">
        <f t="shared" si="24"/>
        <v>9</v>
      </c>
      <c r="P71">
        <f t="shared" si="25"/>
        <v>11</v>
      </c>
      <c r="Q71">
        <f t="shared" si="43"/>
        <v>7</v>
      </c>
      <c r="R71">
        <f t="shared" si="44"/>
        <v>0</v>
      </c>
      <c r="S71">
        <f t="shared" si="27"/>
        <v>11</v>
      </c>
      <c r="T71">
        <f t="shared" si="45"/>
        <v>1</v>
      </c>
      <c r="U71">
        <f t="shared" si="46"/>
        <v>0</v>
      </c>
      <c r="X71" s="90" t="s">
        <v>26</v>
      </c>
      <c r="Y71" s="90" t="s">
        <v>26</v>
      </c>
      <c r="Z71" s="90" t="s">
        <v>26</v>
      </c>
      <c r="AA71" s="29" t="s">
        <v>18</v>
      </c>
      <c r="AB71" s="29" t="s">
        <v>22</v>
      </c>
      <c r="AC71" s="90" t="s">
        <v>26</v>
      </c>
      <c r="AD71" s="90" t="s">
        <v>14</v>
      </c>
      <c r="AE71" s="29" t="s">
        <v>18</v>
      </c>
      <c r="AF71" s="90" t="s">
        <v>13</v>
      </c>
      <c r="AG71" s="90" t="s">
        <v>14</v>
      </c>
      <c r="AH71" s="90" t="s">
        <v>14</v>
      </c>
      <c r="AI71" s="29" t="s">
        <v>18</v>
      </c>
      <c r="AJ71" s="90" t="s">
        <v>14</v>
      </c>
      <c r="AK71" s="90" t="s">
        <v>26</v>
      </c>
      <c r="AL71" s="90" t="s">
        <v>13</v>
      </c>
      <c r="AM71" s="90" t="s">
        <v>53</v>
      </c>
      <c r="AN71" s="90" t="s">
        <v>13</v>
      </c>
      <c r="AO71" s="29" t="s">
        <v>18</v>
      </c>
      <c r="AP71" s="90" t="s">
        <v>13</v>
      </c>
      <c r="AQ71" s="29" t="s">
        <v>18</v>
      </c>
      <c r="AR71" s="29" t="s">
        <v>22</v>
      </c>
      <c r="AS71" s="90" t="s">
        <v>26</v>
      </c>
      <c r="AT71" s="90" t="s">
        <v>26</v>
      </c>
      <c r="AU71" s="90" t="s">
        <v>26</v>
      </c>
      <c r="AV71" s="90" t="s">
        <v>26</v>
      </c>
      <c r="AW71" s="90" t="s">
        <v>14</v>
      </c>
      <c r="AX71" s="29" t="s">
        <v>18</v>
      </c>
      <c r="AY71" s="29" t="s">
        <v>22</v>
      </c>
      <c r="AZ71" s="90" t="s">
        <v>26</v>
      </c>
      <c r="BA71" s="29" t="s">
        <v>18</v>
      </c>
      <c r="BB71" s="29" t="s">
        <v>22</v>
      </c>
      <c r="BC71" s="29" t="s">
        <v>18</v>
      </c>
      <c r="BD71" s="29" t="s">
        <v>22</v>
      </c>
      <c r="BE71" s="90" t="s">
        <v>26</v>
      </c>
      <c r="BF71" s="29" t="s">
        <v>22</v>
      </c>
      <c r="BG71" s="29" t="s">
        <v>18</v>
      </c>
      <c r="BJ71" s="29" t="s">
        <v>18</v>
      </c>
      <c r="BK71" s="29" t="s">
        <v>22</v>
      </c>
      <c r="BL71" s="29" t="s">
        <v>18</v>
      </c>
      <c r="BM71" s="29" t="s">
        <v>17</v>
      </c>
      <c r="BN71" s="29" t="s">
        <v>17</v>
      </c>
      <c r="BO71" s="29" t="s">
        <v>17</v>
      </c>
      <c r="BP71" s="29" t="s">
        <v>17</v>
      </c>
      <c r="BQ71" s="29" t="s">
        <v>17</v>
      </c>
      <c r="BR71" s="29" t="s">
        <v>17</v>
      </c>
      <c r="BS71" s="29" t="s">
        <v>17</v>
      </c>
      <c r="BT71" s="29" t="s">
        <v>17</v>
      </c>
      <c r="BU71" s="29" t="s">
        <v>17</v>
      </c>
    </row>
    <row r="72" spans="1:73" x14ac:dyDescent="0.3">
      <c r="A72" s="2">
        <f t="shared" ref="A72:B72" si="51">A71+1</f>
        <v>153</v>
      </c>
      <c r="B72" s="12">
        <f t="shared" si="51"/>
        <v>70</v>
      </c>
      <c r="C72" s="24">
        <v>44714.708333333336</v>
      </c>
      <c r="D72" s="4">
        <v>24</v>
      </c>
      <c r="E72" s="4">
        <f t="shared" si="20"/>
        <v>1656</v>
      </c>
      <c r="F72" s="5">
        <f t="shared" si="21"/>
        <v>69</v>
      </c>
      <c r="G72">
        <f t="shared" si="48"/>
        <v>0</v>
      </c>
      <c r="H72">
        <f t="shared" si="39"/>
        <v>0</v>
      </c>
      <c r="I72">
        <f t="shared" si="40"/>
        <v>0</v>
      </c>
      <c r="J72">
        <f t="shared" si="41"/>
        <v>0</v>
      </c>
      <c r="K72">
        <f t="shared" si="42"/>
        <v>0</v>
      </c>
      <c r="L72" s="86">
        <f t="shared" si="22"/>
        <v>4</v>
      </c>
      <c r="M72" s="86">
        <f t="shared" si="23"/>
        <v>5</v>
      </c>
      <c r="N72" s="91"/>
      <c r="O72">
        <f t="shared" si="24"/>
        <v>9</v>
      </c>
      <c r="P72">
        <f t="shared" si="25"/>
        <v>11</v>
      </c>
      <c r="Q72">
        <f t="shared" si="43"/>
        <v>7</v>
      </c>
      <c r="R72">
        <f t="shared" si="44"/>
        <v>0</v>
      </c>
      <c r="S72">
        <f t="shared" si="27"/>
        <v>11</v>
      </c>
      <c r="T72">
        <f t="shared" si="45"/>
        <v>1</v>
      </c>
      <c r="U72">
        <f t="shared" si="46"/>
        <v>0</v>
      </c>
      <c r="X72" s="90" t="s">
        <v>26</v>
      </c>
      <c r="Y72" s="90" t="s">
        <v>26</v>
      </c>
      <c r="Z72" s="90" t="s">
        <v>26</v>
      </c>
      <c r="AA72" s="29" t="s">
        <v>18</v>
      </c>
      <c r="AB72" s="29" t="s">
        <v>22</v>
      </c>
      <c r="AC72" s="90" t="s">
        <v>26</v>
      </c>
      <c r="AD72" s="90" t="s">
        <v>14</v>
      </c>
      <c r="AE72" s="29" t="s">
        <v>18</v>
      </c>
      <c r="AF72" s="90" t="s">
        <v>13</v>
      </c>
      <c r="AG72" s="90" t="s">
        <v>14</v>
      </c>
      <c r="AH72" s="90" t="s">
        <v>14</v>
      </c>
      <c r="AI72" s="29" t="s">
        <v>18</v>
      </c>
      <c r="AJ72" s="90" t="s">
        <v>14</v>
      </c>
      <c r="AK72" s="90" t="s">
        <v>26</v>
      </c>
      <c r="AL72" s="90" t="s">
        <v>13</v>
      </c>
      <c r="AM72" s="90" t="s">
        <v>53</v>
      </c>
      <c r="AN72" s="90" t="s">
        <v>13</v>
      </c>
      <c r="AO72" s="29" t="s">
        <v>18</v>
      </c>
      <c r="AP72" s="90" t="s">
        <v>13</v>
      </c>
      <c r="AQ72" s="29" t="s">
        <v>18</v>
      </c>
      <c r="AR72" s="29" t="s">
        <v>22</v>
      </c>
      <c r="AS72" s="90" t="s">
        <v>26</v>
      </c>
      <c r="AT72" s="90" t="s">
        <v>26</v>
      </c>
      <c r="AU72" s="90" t="s">
        <v>26</v>
      </c>
      <c r="AV72" s="90" t="s">
        <v>26</v>
      </c>
      <c r="AW72" s="90" t="s">
        <v>14</v>
      </c>
      <c r="AX72" s="29" t="s">
        <v>18</v>
      </c>
      <c r="AY72" s="29" t="s">
        <v>22</v>
      </c>
      <c r="AZ72" s="90" t="s">
        <v>26</v>
      </c>
      <c r="BA72" s="29" t="s">
        <v>18</v>
      </c>
      <c r="BB72" s="29" t="s">
        <v>22</v>
      </c>
      <c r="BC72" s="29" t="s">
        <v>18</v>
      </c>
      <c r="BD72" s="29" t="s">
        <v>22</v>
      </c>
      <c r="BE72" s="90" t="s">
        <v>26</v>
      </c>
      <c r="BF72" s="29" t="s">
        <v>22</v>
      </c>
      <c r="BG72" s="29" t="s">
        <v>18</v>
      </c>
      <c r="BJ72" s="29" t="s">
        <v>18</v>
      </c>
      <c r="BK72" s="29" t="s">
        <v>22</v>
      </c>
      <c r="BL72" s="29" t="s">
        <v>18</v>
      </c>
      <c r="BM72" s="29" t="s">
        <v>17</v>
      </c>
      <c r="BN72" s="29" t="s">
        <v>17</v>
      </c>
      <c r="BO72" s="29" t="s">
        <v>17</v>
      </c>
      <c r="BP72" s="29" t="s">
        <v>17</v>
      </c>
      <c r="BQ72" s="29" t="s">
        <v>17</v>
      </c>
      <c r="BR72" s="29" t="s">
        <v>17</v>
      </c>
      <c r="BS72" s="29" t="s">
        <v>17</v>
      </c>
      <c r="BT72" s="29" t="s">
        <v>17</v>
      </c>
      <c r="BU72" s="29" t="s">
        <v>17</v>
      </c>
    </row>
    <row r="73" spans="1:73" x14ac:dyDescent="0.3">
      <c r="A73" s="2">
        <f t="shared" ref="A73:B73" si="52">A72+1</f>
        <v>154</v>
      </c>
      <c r="B73" s="12">
        <f t="shared" si="52"/>
        <v>71</v>
      </c>
      <c r="C73" s="24">
        <v>44715.708333333336</v>
      </c>
      <c r="D73" s="4">
        <v>24</v>
      </c>
      <c r="E73" s="4">
        <f t="shared" si="20"/>
        <v>1680</v>
      </c>
      <c r="F73" s="5">
        <f t="shared" si="21"/>
        <v>70</v>
      </c>
      <c r="G73">
        <f t="shared" si="48"/>
        <v>0</v>
      </c>
      <c r="H73">
        <f t="shared" si="39"/>
        <v>0</v>
      </c>
      <c r="I73">
        <f t="shared" si="40"/>
        <v>0</v>
      </c>
      <c r="J73">
        <f t="shared" si="41"/>
        <v>0</v>
      </c>
      <c r="K73">
        <f t="shared" si="42"/>
        <v>0</v>
      </c>
      <c r="L73" s="86">
        <f t="shared" si="22"/>
        <v>3</v>
      </c>
      <c r="M73" s="86">
        <f t="shared" si="23"/>
        <v>5</v>
      </c>
      <c r="N73" s="91"/>
      <c r="O73">
        <f t="shared" si="24"/>
        <v>9</v>
      </c>
      <c r="P73">
        <f t="shared" si="25"/>
        <v>11</v>
      </c>
      <c r="Q73">
        <f t="shared" si="43"/>
        <v>7</v>
      </c>
      <c r="R73">
        <f t="shared" si="44"/>
        <v>0</v>
      </c>
      <c r="S73">
        <f t="shared" si="27"/>
        <v>11</v>
      </c>
      <c r="T73">
        <f t="shared" si="45"/>
        <v>2</v>
      </c>
      <c r="U73">
        <f t="shared" si="46"/>
        <v>0</v>
      </c>
      <c r="X73" s="90" t="s">
        <v>26</v>
      </c>
      <c r="Y73" s="90" t="s">
        <v>26</v>
      </c>
      <c r="Z73" s="90" t="s">
        <v>26</v>
      </c>
      <c r="AA73" s="29" t="s">
        <v>18</v>
      </c>
      <c r="AB73" s="29" t="s">
        <v>22</v>
      </c>
      <c r="AC73" s="90" t="s">
        <v>26</v>
      </c>
      <c r="AD73" s="90" t="s">
        <v>14</v>
      </c>
      <c r="AE73" s="29" t="s">
        <v>18</v>
      </c>
      <c r="AF73" s="90" t="s">
        <v>13</v>
      </c>
      <c r="AG73" s="90" t="s">
        <v>14</v>
      </c>
      <c r="AH73" s="90" t="s">
        <v>14</v>
      </c>
      <c r="AI73" s="29" t="s">
        <v>18</v>
      </c>
      <c r="AJ73" s="90" t="s">
        <v>14</v>
      </c>
      <c r="AK73" s="90" t="s">
        <v>26</v>
      </c>
      <c r="AL73" s="90" t="s">
        <v>13</v>
      </c>
      <c r="AM73" s="90" t="s">
        <v>53</v>
      </c>
      <c r="AN73" s="90" t="s">
        <v>53</v>
      </c>
      <c r="AO73" s="29" t="s">
        <v>18</v>
      </c>
      <c r="AP73" s="90" t="s">
        <v>13</v>
      </c>
      <c r="AQ73" s="29" t="s">
        <v>18</v>
      </c>
      <c r="AR73" s="29" t="s">
        <v>22</v>
      </c>
      <c r="AS73" s="90" t="s">
        <v>26</v>
      </c>
      <c r="AT73" s="90" t="s">
        <v>26</v>
      </c>
      <c r="AU73" s="90" t="s">
        <v>26</v>
      </c>
      <c r="AV73" s="90" t="s">
        <v>26</v>
      </c>
      <c r="AW73" s="90" t="s">
        <v>14</v>
      </c>
      <c r="AX73" s="29" t="s">
        <v>18</v>
      </c>
      <c r="AY73" s="29" t="s">
        <v>22</v>
      </c>
      <c r="AZ73" s="90" t="s">
        <v>26</v>
      </c>
      <c r="BA73" s="29" t="s">
        <v>18</v>
      </c>
      <c r="BB73" s="29" t="s">
        <v>22</v>
      </c>
      <c r="BC73" s="29" t="s">
        <v>18</v>
      </c>
      <c r="BD73" s="29" t="s">
        <v>22</v>
      </c>
      <c r="BE73" s="90" t="s">
        <v>26</v>
      </c>
      <c r="BF73" s="29" t="s">
        <v>22</v>
      </c>
      <c r="BG73" s="29" t="s">
        <v>18</v>
      </c>
      <c r="BJ73" s="29" t="s">
        <v>18</v>
      </c>
      <c r="BK73" s="29" t="s">
        <v>22</v>
      </c>
      <c r="BL73" s="29" t="s">
        <v>18</v>
      </c>
      <c r="BM73" s="29" t="s">
        <v>17</v>
      </c>
      <c r="BN73" s="29" t="s">
        <v>17</v>
      </c>
      <c r="BO73" s="29" t="s">
        <v>17</v>
      </c>
      <c r="BP73" s="29" t="s">
        <v>17</v>
      </c>
      <c r="BQ73" s="29" t="s">
        <v>17</v>
      </c>
      <c r="BR73" s="29" t="s">
        <v>17</v>
      </c>
      <c r="BS73" s="29" t="s">
        <v>17</v>
      </c>
      <c r="BT73" s="29" t="s">
        <v>17</v>
      </c>
      <c r="BU73" s="29" t="s">
        <v>17</v>
      </c>
    </row>
    <row r="74" spans="1:73" x14ac:dyDescent="0.3">
      <c r="A74" s="2">
        <f t="shared" ref="A74:B74" si="53">A73+1</f>
        <v>155</v>
      </c>
      <c r="B74" s="12">
        <f t="shared" si="53"/>
        <v>72</v>
      </c>
      <c r="C74" s="24">
        <v>44716.708333333336</v>
      </c>
      <c r="D74" s="4">
        <v>24</v>
      </c>
      <c r="E74" s="4">
        <f t="shared" si="20"/>
        <v>1704</v>
      </c>
      <c r="F74" s="5">
        <f t="shared" si="21"/>
        <v>71</v>
      </c>
      <c r="G74">
        <f t="shared" si="48"/>
        <v>0</v>
      </c>
      <c r="H74">
        <f t="shared" si="39"/>
        <v>0</v>
      </c>
      <c r="I74">
        <f t="shared" si="40"/>
        <v>0</v>
      </c>
      <c r="J74">
        <f t="shared" si="41"/>
        <v>0</v>
      </c>
      <c r="K74">
        <f t="shared" si="42"/>
        <v>0</v>
      </c>
      <c r="L74" s="86">
        <f t="shared" si="22"/>
        <v>3</v>
      </c>
      <c r="M74" s="86">
        <f t="shared" si="23"/>
        <v>5</v>
      </c>
      <c r="N74" s="91"/>
      <c r="O74">
        <f t="shared" si="24"/>
        <v>9</v>
      </c>
      <c r="P74">
        <f t="shared" si="25"/>
        <v>11</v>
      </c>
      <c r="Q74">
        <f t="shared" si="43"/>
        <v>7</v>
      </c>
      <c r="R74">
        <f t="shared" si="44"/>
        <v>0</v>
      </c>
      <c r="S74">
        <f t="shared" si="27"/>
        <v>11</v>
      </c>
      <c r="T74">
        <f t="shared" si="45"/>
        <v>2</v>
      </c>
      <c r="U74">
        <f t="shared" si="46"/>
        <v>0</v>
      </c>
      <c r="X74" s="90" t="s">
        <v>26</v>
      </c>
      <c r="Y74" s="90" t="s">
        <v>26</v>
      </c>
      <c r="Z74" s="90" t="s">
        <v>26</v>
      </c>
      <c r="AA74" s="29" t="s">
        <v>18</v>
      </c>
      <c r="AB74" s="29" t="s">
        <v>22</v>
      </c>
      <c r="AC74" s="90" t="s">
        <v>26</v>
      </c>
      <c r="AD74" s="90" t="s">
        <v>14</v>
      </c>
      <c r="AE74" s="29" t="s">
        <v>18</v>
      </c>
      <c r="AF74" s="90" t="s">
        <v>13</v>
      </c>
      <c r="AG74" s="90" t="s">
        <v>14</v>
      </c>
      <c r="AH74" s="90" t="s">
        <v>14</v>
      </c>
      <c r="AI74" s="29" t="s">
        <v>18</v>
      </c>
      <c r="AJ74" s="90" t="s">
        <v>14</v>
      </c>
      <c r="AK74" s="90" t="s">
        <v>26</v>
      </c>
      <c r="AL74" s="90" t="s">
        <v>13</v>
      </c>
      <c r="AM74" s="90" t="s">
        <v>53</v>
      </c>
      <c r="AN74" s="90" t="s">
        <v>53</v>
      </c>
      <c r="AO74" s="29" t="s">
        <v>18</v>
      </c>
      <c r="AP74" s="90" t="s">
        <v>13</v>
      </c>
      <c r="AQ74" s="29" t="s">
        <v>18</v>
      </c>
      <c r="AR74" s="29" t="s">
        <v>22</v>
      </c>
      <c r="AS74" s="90" t="s">
        <v>26</v>
      </c>
      <c r="AT74" s="90" t="s">
        <v>26</v>
      </c>
      <c r="AU74" s="90" t="s">
        <v>26</v>
      </c>
      <c r="AV74" s="90" t="s">
        <v>26</v>
      </c>
      <c r="AW74" s="90" t="s">
        <v>14</v>
      </c>
      <c r="AX74" s="29" t="s">
        <v>18</v>
      </c>
      <c r="AY74" s="29" t="s">
        <v>22</v>
      </c>
      <c r="AZ74" s="90" t="s">
        <v>26</v>
      </c>
      <c r="BA74" s="29" t="s">
        <v>18</v>
      </c>
      <c r="BB74" s="29" t="s">
        <v>22</v>
      </c>
      <c r="BC74" s="29" t="s">
        <v>18</v>
      </c>
      <c r="BD74" s="29" t="s">
        <v>22</v>
      </c>
      <c r="BE74" s="90" t="s">
        <v>26</v>
      </c>
      <c r="BF74" s="29" t="s">
        <v>22</v>
      </c>
      <c r="BG74" s="29" t="s">
        <v>18</v>
      </c>
      <c r="BJ74" s="29" t="s">
        <v>18</v>
      </c>
      <c r="BK74" s="29" t="s">
        <v>22</v>
      </c>
      <c r="BL74" s="29" t="s">
        <v>18</v>
      </c>
      <c r="BM74" s="29" t="s">
        <v>17</v>
      </c>
      <c r="BN74" s="29" t="s">
        <v>17</v>
      </c>
      <c r="BO74" s="29" t="s">
        <v>17</v>
      </c>
      <c r="BP74" s="29" t="s">
        <v>17</v>
      </c>
      <c r="BQ74" s="29" t="s">
        <v>17</v>
      </c>
      <c r="BR74" s="29" t="s">
        <v>17</v>
      </c>
      <c r="BS74" s="29" t="s">
        <v>17</v>
      </c>
      <c r="BT74" s="29" t="s">
        <v>17</v>
      </c>
      <c r="BU74" s="29" t="s">
        <v>17</v>
      </c>
    </row>
    <row r="75" spans="1:73" x14ac:dyDescent="0.3">
      <c r="A75" s="2">
        <f t="shared" ref="A75:B75" si="54">A74+1</f>
        <v>156</v>
      </c>
      <c r="B75" s="12">
        <f t="shared" si="54"/>
        <v>73</v>
      </c>
      <c r="C75" s="24">
        <v>44717.708333333336</v>
      </c>
      <c r="D75" s="4">
        <v>24</v>
      </c>
      <c r="E75" s="4">
        <f t="shared" si="20"/>
        <v>1728</v>
      </c>
      <c r="F75" s="5">
        <f t="shared" si="21"/>
        <v>72</v>
      </c>
      <c r="G75">
        <f t="shared" si="48"/>
        <v>0</v>
      </c>
      <c r="H75">
        <f t="shared" si="39"/>
        <v>0</v>
      </c>
      <c r="I75">
        <f t="shared" si="40"/>
        <v>0</v>
      </c>
      <c r="J75">
        <f t="shared" si="41"/>
        <v>0</v>
      </c>
      <c r="K75">
        <f t="shared" si="42"/>
        <v>0</v>
      </c>
      <c r="L75" s="86">
        <f t="shared" si="22"/>
        <v>3</v>
      </c>
      <c r="M75" s="86">
        <f t="shared" si="23"/>
        <v>5</v>
      </c>
      <c r="N75" s="91"/>
      <c r="O75">
        <f t="shared" si="24"/>
        <v>9</v>
      </c>
      <c r="P75">
        <f t="shared" si="25"/>
        <v>11</v>
      </c>
      <c r="Q75">
        <f t="shared" si="43"/>
        <v>7</v>
      </c>
      <c r="R75">
        <f t="shared" si="44"/>
        <v>0</v>
      </c>
      <c r="S75">
        <f t="shared" si="27"/>
        <v>11</v>
      </c>
      <c r="T75">
        <f t="shared" si="45"/>
        <v>2</v>
      </c>
      <c r="U75">
        <f t="shared" si="46"/>
        <v>0</v>
      </c>
      <c r="X75" s="90" t="s">
        <v>26</v>
      </c>
      <c r="Y75" s="90" t="s">
        <v>26</v>
      </c>
      <c r="Z75" s="90" t="s">
        <v>26</v>
      </c>
      <c r="AA75" s="29" t="s">
        <v>18</v>
      </c>
      <c r="AB75" s="29" t="s">
        <v>22</v>
      </c>
      <c r="AC75" s="90" t="s">
        <v>26</v>
      </c>
      <c r="AD75" s="90" t="s">
        <v>14</v>
      </c>
      <c r="AE75" s="29" t="s">
        <v>18</v>
      </c>
      <c r="AF75" s="90" t="s">
        <v>13</v>
      </c>
      <c r="AG75" s="90" t="s">
        <v>14</v>
      </c>
      <c r="AH75" s="90" t="s">
        <v>14</v>
      </c>
      <c r="AI75" s="29" t="s">
        <v>18</v>
      </c>
      <c r="AJ75" s="90" t="s">
        <v>14</v>
      </c>
      <c r="AK75" s="90" t="s">
        <v>26</v>
      </c>
      <c r="AL75" s="90" t="s">
        <v>13</v>
      </c>
      <c r="AM75" s="90" t="s">
        <v>53</v>
      </c>
      <c r="AN75" s="90" t="s">
        <v>53</v>
      </c>
      <c r="AO75" s="29" t="s">
        <v>18</v>
      </c>
      <c r="AP75" s="90" t="s">
        <v>13</v>
      </c>
      <c r="AQ75" s="29" t="s">
        <v>18</v>
      </c>
      <c r="AR75" s="29" t="s">
        <v>22</v>
      </c>
      <c r="AS75" s="90" t="s">
        <v>26</v>
      </c>
      <c r="AT75" s="90" t="s">
        <v>26</v>
      </c>
      <c r="AU75" s="90" t="s">
        <v>26</v>
      </c>
      <c r="AV75" s="90" t="s">
        <v>26</v>
      </c>
      <c r="AW75" s="90" t="s">
        <v>14</v>
      </c>
      <c r="AX75" s="29" t="s">
        <v>18</v>
      </c>
      <c r="AY75" s="29" t="s">
        <v>22</v>
      </c>
      <c r="AZ75" s="90" t="s">
        <v>26</v>
      </c>
      <c r="BA75" s="29" t="s">
        <v>18</v>
      </c>
      <c r="BB75" s="29" t="s">
        <v>22</v>
      </c>
      <c r="BC75" s="29" t="s">
        <v>18</v>
      </c>
      <c r="BD75" s="29" t="s">
        <v>22</v>
      </c>
      <c r="BE75" s="90" t="s">
        <v>26</v>
      </c>
      <c r="BF75" s="29" t="s">
        <v>22</v>
      </c>
      <c r="BG75" s="29" t="s">
        <v>18</v>
      </c>
      <c r="BJ75" s="29" t="s">
        <v>18</v>
      </c>
      <c r="BK75" s="29" t="s">
        <v>22</v>
      </c>
      <c r="BL75" s="29" t="s">
        <v>18</v>
      </c>
      <c r="BM75" s="29" t="s">
        <v>17</v>
      </c>
      <c r="BN75" s="29" t="s">
        <v>17</v>
      </c>
      <c r="BO75" s="29" t="s">
        <v>17</v>
      </c>
      <c r="BP75" s="29" t="s">
        <v>17</v>
      </c>
      <c r="BQ75" s="29" t="s">
        <v>17</v>
      </c>
      <c r="BR75" s="29" t="s">
        <v>17</v>
      </c>
      <c r="BS75" s="29" t="s">
        <v>17</v>
      </c>
      <c r="BT75" s="29" t="s">
        <v>17</v>
      </c>
      <c r="BU75" s="29" t="s">
        <v>17</v>
      </c>
    </row>
    <row r="76" spans="1:73" x14ac:dyDescent="0.3">
      <c r="A76" s="2">
        <f t="shared" ref="A76:B76" si="55">A75+1</f>
        <v>157</v>
      </c>
      <c r="B76" s="12">
        <f t="shared" si="55"/>
        <v>74</v>
      </c>
      <c r="C76" s="24">
        <v>44718.708333333336</v>
      </c>
      <c r="D76" s="4">
        <v>24</v>
      </c>
      <c r="E76" s="4">
        <f t="shared" si="20"/>
        <v>1752</v>
      </c>
      <c r="F76" s="5">
        <f t="shared" si="21"/>
        <v>73</v>
      </c>
      <c r="G76">
        <f t="shared" si="48"/>
        <v>0</v>
      </c>
      <c r="H76">
        <f t="shared" si="39"/>
        <v>0</v>
      </c>
      <c r="I76">
        <f t="shared" si="40"/>
        <v>0</v>
      </c>
      <c r="J76">
        <f t="shared" si="41"/>
        <v>0</v>
      </c>
      <c r="K76">
        <f t="shared" si="42"/>
        <v>0</v>
      </c>
      <c r="L76" s="86">
        <f t="shared" si="22"/>
        <v>3</v>
      </c>
      <c r="M76" s="86">
        <f t="shared" si="23"/>
        <v>5</v>
      </c>
      <c r="N76" s="91"/>
      <c r="O76">
        <f t="shared" si="24"/>
        <v>9</v>
      </c>
      <c r="P76">
        <f t="shared" si="25"/>
        <v>11</v>
      </c>
      <c r="Q76">
        <f t="shared" si="43"/>
        <v>7</v>
      </c>
      <c r="R76">
        <f t="shared" si="44"/>
        <v>0</v>
      </c>
      <c r="S76">
        <f t="shared" si="27"/>
        <v>11</v>
      </c>
      <c r="T76">
        <f t="shared" si="45"/>
        <v>2</v>
      </c>
      <c r="U76">
        <f t="shared" si="46"/>
        <v>0</v>
      </c>
      <c r="X76" s="90" t="s">
        <v>26</v>
      </c>
      <c r="Y76" s="90" t="s">
        <v>26</v>
      </c>
      <c r="Z76" s="90" t="s">
        <v>26</v>
      </c>
      <c r="AA76" s="29" t="s">
        <v>18</v>
      </c>
      <c r="AB76" s="29" t="s">
        <v>22</v>
      </c>
      <c r="AC76" s="90" t="s">
        <v>26</v>
      </c>
      <c r="AD76" s="90" t="s">
        <v>14</v>
      </c>
      <c r="AE76" s="29" t="s">
        <v>18</v>
      </c>
      <c r="AF76" s="90" t="s">
        <v>13</v>
      </c>
      <c r="AG76" s="90" t="s">
        <v>14</v>
      </c>
      <c r="AH76" s="90" t="s">
        <v>14</v>
      </c>
      <c r="AI76" s="29" t="s">
        <v>18</v>
      </c>
      <c r="AJ76" s="90" t="s">
        <v>14</v>
      </c>
      <c r="AK76" s="90" t="s">
        <v>26</v>
      </c>
      <c r="AL76" s="90" t="s">
        <v>13</v>
      </c>
      <c r="AM76" s="90" t="s">
        <v>53</v>
      </c>
      <c r="AN76" s="90" t="s">
        <v>53</v>
      </c>
      <c r="AO76" s="29" t="s">
        <v>18</v>
      </c>
      <c r="AP76" s="90" t="s">
        <v>13</v>
      </c>
      <c r="AQ76" s="29" t="s">
        <v>18</v>
      </c>
      <c r="AR76" s="29" t="s">
        <v>22</v>
      </c>
      <c r="AS76" s="90" t="s">
        <v>26</v>
      </c>
      <c r="AT76" s="90" t="s">
        <v>26</v>
      </c>
      <c r="AU76" s="90" t="s">
        <v>26</v>
      </c>
      <c r="AV76" s="90" t="s">
        <v>26</v>
      </c>
      <c r="AW76" s="90" t="s">
        <v>14</v>
      </c>
      <c r="AX76" s="29" t="s">
        <v>18</v>
      </c>
      <c r="AY76" s="29" t="s">
        <v>22</v>
      </c>
      <c r="AZ76" s="90" t="s">
        <v>26</v>
      </c>
      <c r="BA76" s="29" t="s">
        <v>18</v>
      </c>
      <c r="BB76" s="29" t="s">
        <v>22</v>
      </c>
      <c r="BC76" s="29" t="s">
        <v>18</v>
      </c>
      <c r="BD76" s="29" t="s">
        <v>22</v>
      </c>
      <c r="BE76" s="90" t="s">
        <v>26</v>
      </c>
      <c r="BF76" s="29" t="s">
        <v>22</v>
      </c>
      <c r="BG76" s="29" t="s">
        <v>18</v>
      </c>
      <c r="BJ76" s="29" t="s">
        <v>18</v>
      </c>
      <c r="BK76" s="29" t="s">
        <v>22</v>
      </c>
      <c r="BL76" s="29" t="s">
        <v>18</v>
      </c>
      <c r="BM76" s="29" t="s">
        <v>17</v>
      </c>
      <c r="BN76" s="29" t="s">
        <v>17</v>
      </c>
      <c r="BO76" s="29" t="s">
        <v>17</v>
      </c>
      <c r="BP76" s="29" t="s">
        <v>17</v>
      </c>
      <c r="BQ76" s="29" t="s">
        <v>17</v>
      </c>
      <c r="BR76" s="29" t="s">
        <v>17</v>
      </c>
      <c r="BS76" s="29" t="s">
        <v>17</v>
      </c>
      <c r="BT76" s="29" t="s">
        <v>17</v>
      </c>
      <c r="BU76" s="29" t="s">
        <v>17</v>
      </c>
    </row>
    <row r="77" spans="1:73" x14ac:dyDescent="0.3">
      <c r="A77" s="2">
        <f t="shared" ref="A77:B77" si="56">A76+1</f>
        <v>158</v>
      </c>
      <c r="B77" s="12">
        <f t="shared" si="56"/>
        <v>75</v>
      </c>
      <c r="C77" s="24">
        <v>44719.708333333336</v>
      </c>
      <c r="D77" s="4">
        <v>24</v>
      </c>
      <c r="E77" s="4">
        <f t="shared" si="20"/>
        <v>1776</v>
      </c>
      <c r="F77" s="5">
        <f t="shared" si="21"/>
        <v>74</v>
      </c>
      <c r="G77">
        <f t="shared" si="48"/>
        <v>0</v>
      </c>
      <c r="H77">
        <f t="shared" si="39"/>
        <v>0</v>
      </c>
      <c r="I77">
        <f t="shared" si="40"/>
        <v>0</v>
      </c>
      <c r="J77">
        <f t="shared" si="41"/>
        <v>0</v>
      </c>
      <c r="K77">
        <f t="shared" si="42"/>
        <v>0</v>
      </c>
      <c r="L77" s="86">
        <f t="shared" si="22"/>
        <v>3</v>
      </c>
      <c r="M77" s="86">
        <f t="shared" si="23"/>
        <v>5</v>
      </c>
      <c r="N77" s="91"/>
      <c r="O77">
        <f t="shared" si="24"/>
        <v>9</v>
      </c>
      <c r="P77">
        <f t="shared" si="25"/>
        <v>11</v>
      </c>
      <c r="Q77">
        <f t="shared" si="43"/>
        <v>7</v>
      </c>
      <c r="R77">
        <f t="shared" si="44"/>
        <v>0</v>
      </c>
      <c r="S77">
        <f t="shared" si="27"/>
        <v>11</v>
      </c>
      <c r="T77">
        <f t="shared" si="45"/>
        <v>2</v>
      </c>
      <c r="U77">
        <f t="shared" si="46"/>
        <v>0</v>
      </c>
      <c r="X77" s="90" t="s">
        <v>26</v>
      </c>
      <c r="Y77" s="90" t="s">
        <v>26</v>
      </c>
      <c r="Z77" s="90" t="s">
        <v>26</v>
      </c>
      <c r="AA77" s="29" t="s">
        <v>18</v>
      </c>
      <c r="AB77" s="29" t="s">
        <v>22</v>
      </c>
      <c r="AC77" s="90" t="s">
        <v>26</v>
      </c>
      <c r="AD77" s="90" t="s">
        <v>14</v>
      </c>
      <c r="AE77" s="29" t="s">
        <v>18</v>
      </c>
      <c r="AF77" s="90" t="s">
        <v>13</v>
      </c>
      <c r="AG77" s="90" t="s">
        <v>14</v>
      </c>
      <c r="AH77" s="90" t="s">
        <v>14</v>
      </c>
      <c r="AI77" s="29" t="s">
        <v>18</v>
      </c>
      <c r="AJ77" s="90" t="s">
        <v>14</v>
      </c>
      <c r="AK77" s="90" t="s">
        <v>26</v>
      </c>
      <c r="AL77" s="90" t="s">
        <v>13</v>
      </c>
      <c r="AM77" s="90" t="s">
        <v>53</v>
      </c>
      <c r="AN77" s="90" t="s">
        <v>53</v>
      </c>
      <c r="AO77" s="29" t="s">
        <v>18</v>
      </c>
      <c r="AP77" s="90" t="s">
        <v>13</v>
      </c>
      <c r="AQ77" s="29" t="s">
        <v>18</v>
      </c>
      <c r="AR77" s="29" t="s">
        <v>22</v>
      </c>
      <c r="AS77" s="90" t="s">
        <v>26</v>
      </c>
      <c r="AT77" s="90" t="s">
        <v>26</v>
      </c>
      <c r="AU77" s="90" t="s">
        <v>26</v>
      </c>
      <c r="AV77" s="90" t="s">
        <v>26</v>
      </c>
      <c r="AW77" s="90" t="s">
        <v>14</v>
      </c>
      <c r="AX77" s="29" t="s">
        <v>18</v>
      </c>
      <c r="AY77" s="29" t="s">
        <v>22</v>
      </c>
      <c r="AZ77" s="90" t="s">
        <v>26</v>
      </c>
      <c r="BA77" s="29" t="s">
        <v>18</v>
      </c>
      <c r="BB77" s="29" t="s">
        <v>22</v>
      </c>
      <c r="BC77" s="29" t="s">
        <v>18</v>
      </c>
      <c r="BD77" s="29" t="s">
        <v>22</v>
      </c>
      <c r="BE77" s="90" t="s">
        <v>26</v>
      </c>
      <c r="BF77" s="29" t="s">
        <v>22</v>
      </c>
      <c r="BG77" s="29" t="s">
        <v>18</v>
      </c>
      <c r="BJ77" s="29" t="s">
        <v>18</v>
      </c>
      <c r="BK77" s="29" t="s">
        <v>22</v>
      </c>
      <c r="BL77" s="29" t="s">
        <v>18</v>
      </c>
      <c r="BM77" s="29" t="s">
        <v>17</v>
      </c>
      <c r="BN77" s="29" t="s">
        <v>17</v>
      </c>
      <c r="BO77" s="29" t="s">
        <v>17</v>
      </c>
      <c r="BP77" s="29" t="s">
        <v>17</v>
      </c>
      <c r="BQ77" s="29" t="s">
        <v>17</v>
      </c>
      <c r="BR77" s="29" t="s">
        <v>17</v>
      </c>
      <c r="BS77" s="29" t="s">
        <v>17</v>
      </c>
      <c r="BT77" s="29" t="s">
        <v>17</v>
      </c>
      <c r="BU77" s="29" t="s">
        <v>17</v>
      </c>
    </row>
    <row r="78" spans="1:73" x14ac:dyDescent="0.3">
      <c r="A78" s="2">
        <f t="shared" ref="A78:B78" si="57">A77+1</f>
        <v>159</v>
      </c>
      <c r="B78" s="12">
        <f t="shared" si="57"/>
        <v>76</v>
      </c>
      <c r="C78" s="24">
        <v>44720.708333333336</v>
      </c>
      <c r="D78" s="4">
        <v>24</v>
      </c>
      <c r="E78" s="4">
        <f t="shared" si="20"/>
        <v>1800</v>
      </c>
      <c r="F78" s="5">
        <f t="shared" si="21"/>
        <v>75</v>
      </c>
      <c r="G78">
        <f t="shared" si="48"/>
        <v>0</v>
      </c>
      <c r="H78">
        <f t="shared" si="39"/>
        <v>0</v>
      </c>
      <c r="I78">
        <f t="shared" si="40"/>
        <v>0</v>
      </c>
      <c r="J78">
        <f t="shared" si="41"/>
        <v>0</v>
      </c>
      <c r="K78">
        <f t="shared" si="42"/>
        <v>0</v>
      </c>
      <c r="L78" s="86">
        <f t="shared" si="22"/>
        <v>3</v>
      </c>
      <c r="M78" s="86">
        <f t="shared" si="23"/>
        <v>5</v>
      </c>
      <c r="N78" s="91"/>
      <c r="O78">
        <f t="shared" si="24"/>
        <v>9</v>
      </c>
      <c r="P78">
        <f t="shared" si="25"/>
        <v>11</v>
      </c>
      <c r="Q78">
        <f t="shared" si="43"/>
        <v>7</v>
      </c>
      <c r="R78">
        <f t="shared" si="44"/>
        <v>0</v>
      </c>
      <c r="S78">
        <f t="shared" si="27"/>
        <v>11</v>
      </c>
      <c r="T78">
        <f t="shared" si="45"/>
        <v>2</v>
      </c>
      <c r="U78">
        <f t="shared" si="46"/>
        <v>0</v>
      </c>
      <c r="X78" s="90" t="s">
        <v>26</v>
      </c>
      <c r="Y78" s="90" t="s">
        <v>26</v>
      </c>
      <c r="Z78" s="90" t="s">
        <v>26</v>
      </c>
      <c r="AA78" s="29" t="s">
        <v>18</v>
      </c>
      <c r="AB78" s="29" t="s">
        <v>22</v>
      </c>
      <c r="AC78" s="90" t="s">
        <v>26</v>
      </c>
      <c r="AD78" s="90" t="s">
        <v>14</v>
      </c>
      <c r="AE78" s="29" t="s">
        <v>18</v>
      </c>
      <c r="AF78" s="90" t="s">
        <v>13</v>
      </c>
      <c r="AG78" s="90" t="s">
        <v>14</v>
      </c>
      <c r="AH78" s="90" t="s">
        <v>14</v>
      </c>
      <c r="AI78" s="29" t="s">
        <v>18</v>
      </c>
      <c r="AJ78" s="90" t="s">
        <v>14</v>
      </c>
      <c r="AK78" s="90" t="s">
        <v>26</v>
      </c>
      <c r="AL78" s="90" t="s">
        <v>13</v>
      </c>
      <c r="AM78" s="90" t="s">
        <v>53</v>
      </c>
      <c r="AN78" s="90" t="s">
        <v>53</v>
      </c>
      <c r="AO78" s="29" t="s">
        <v>18</v>
      </c>
      <c r="AP78" s="90" t="s">
        <v>13</v>
      </c>
      <c r="AQ78" s="29" t="s">
        <v>18</v>
      </c>
      <c r="AR78" s="29" t="s">
        <v>22</v>
      </c>
      <c r="AS78" s="90" t="s">
        <v>26</v>
      </c>
      <c r="AT78" s="90" t="s">
        <v>26</v>
      </c>
      <c r="AU78" s="90" t="s">
        <v>26</v>
      </c>
      <c r="AV78" s="90" t="s">
        <v>26</v>
      </c>
      <c r="AW78" s="90" t="s">
        <v>14</v>
      </c>
      <c r="AX78" s="29" t="s">
        <v>18</v>
      </c>
      <c r="AY78" s="29" t="s">
        <v>22</v>
      </c>
      <c r="AZ78" s="90" t="s">
        <v>26</v>
      </c>
      <c r="BA78" s="29" t="s">
        <v>18</v>
      </c>
      <c r="BB78" s="29" t="s">
        <v>22</v>
      </c>
      <c r="BC78" s="29" t="s">
        <v>18</v>
      </c>
      <c r="BD78" s="29" t="s">
        <v>22</v>
      </c>
      <c r="BE78" s="90" t="s">
        <v>26</v>
      </c>
      <c r="BF78" s="29" t="s">
        <v>22</v>
      </c>
      <c r="BG78" s="29" t="s">
        <v>18</v>
      </c>
      <c r="BJ78" s="29" t="s">
        <v>18</v>
      </c>
      <c r="BK78" s="29" t="s">
        <v>22</v>
      </c>
      <c r="BL78" s="29" t="s">
        <v>18</v>
      </c>
      <c r="BM78" s="29" t="s">
        <v>17</v>
      </c>
      <c r="BN78" s="29" t="s">
        <v>17</v>
      </c>
      <c r="BO78" s="29" t="s">
        <v>17</v>
      </c>
      <c r="BP78" s="29" t="s">
        <v>17</v>
      </c>
      <c r="BQ78" s="29" t="s">
        <v>17</v>
      </c>
      <c r="BR78" s="29" t="s">
        <v>17</v>
      </c>
      <c r="BS78" s="29" t="s">
        <v>17</v>
      </c>
      <c r="BT78" s="29" t="s">
        <v>17</v>
      </c>
      <c r="BU78" s="29" t="s">
        <v>17</v>
      </c>
    </row>
    <row r="79" spans="1:73" x14ac:dyDescent="0.3">
      <c r="A79" s="2">
        <f t="shared" ref="A79:B79" si="58">A78+1</f>
        <v>160</v>
      </c>
      <c r="B79" s="12">
        <f t="shared" si="58"/>
        <v>77</v>
      </c>
      <c r="C79" s="24">
        <v>44721.708333333336</v>
      </c>
      <c r="D79" s="4">
        <v>24</v>
      </c>
      <c r="E79" s="4">
        <f t="shared" si="20"/>
        <v>1824</v>
      </c>
      <c r="F79" s="5">
        <f t="shared" si="21"/>
        <v>76</v>
      </c>
      <c r="G79">
        <f t="shared" si="48"/>
        <v>0</v>
      </c>
      <c r="H79">
        <f t="shared" si="39"/>
        <v>0</v>
      </c>
      <c r="I79">
        <f t="shared" si="40"/>
        <v>0</v>
      </c>
      <c r="J79">
        <f t="shared" si="41"/>
        <v>0</v>
      </c>
      <c r="K79">
        <f t="shared" si="42"/>
        <v>0</v>
      </c>
      <c r="L79" s="86">
        <f t="shared" si="22"/>
        <v>3</v>
      </c>
      <c r="M79" s="86">
        <f t="shared" si="23"/>
        <v>5</v>
      </c>
      <c r="N79" s="91"/>
      <c r="O79">
        <f t="shared" si="24"/>
        <v>9</v>
      </c>
      <c r="P79">
        <f t="shared" si="25"/>
        <v>11</v>
      </c>
      <c r="Q79">
        <f t="shared" si="43"/>
        <v>7</v>
      </c>
      <c r="R79">
        <f t="shared" si="44"/>
        <v>0</v>
      </c>
      <c r="S79">
        <f t="shared" si="27"/>
        <v>11</v>
      </c>
      <c r="T79">
        <f t="shared" si="45"/>
        <v>2</v>
      </c>
      <c r="U79">
        <f t="shared" si="46"/>
        <v>0</v>
      </c>
      <c r="X79" s="90" t="s">
        <v>26</v>
      </c>
      <c r="Y79" s="90" t="s">
        <v>26</v>
      </c>
      <c r="Z79" s="90" t="s">
        <v>26</v>
      </c>
      <c r="AA79" s="29" t="s">
        <v>18</v>
      </c>
      <c r="AB79" s="29" t="s">
        <v>22</v>
      </c>
      <c r="AC79" s="90" t="s">
        <v>26</v>
      </c>
      <c r="AD79" s="90" t="s">
        <v>14</v>
      </c>
      <c r="AE79" s="29" t="s">
        <v>18</v>
      </c>
      <c r="AF79" s="90" t="s">
        <v>13</v>
      </c>
      <c r="AG79" s="90" t="s">
        <v>14</v>
      </c>
      <c r="AH79" s="90" t="s">
        <v>14</v>
      </c>
      <c r="AI79" s="29" t="s">
        <v>18</v>
      </c>
      <c r="AJ79" s="90" t="s">
        <v>14</v>
      </c>
      <c r="AK79" s="90" t="s">
        <v>26</v>
      </c>
      <c r="AL79" s="90" t="s">
        <v>13</v>
      </c>
      <c r="AM79" s="90" t="s">
        <v>53</v>
      </c>
      <c r="AN79" s="90" t="s">
        <v>53</v>
      </c>
      <c r="AO79" s="29" t="s">
        <v>18</v>
      </c>
      <c r="AP79" s="90" t="s">
        <v>13</v>
      </c>
      <c r="AQ79" s="29" t="s">
        <v>18</v>
      </c>
      <c r="AR79" s="29" t="s">
        <v>22</v>
      </c>
      <c r="AS79" s="90" t="s">
        <v>26</v>
      </c>
      <c r="AT79" s="90" t="s">
        <v>26</v>
      </c>
      <c r="AU79" s="90" t="s">
        <v>26</v>
      </c>
      <c r="AV79" s="90" t="s">
        <v>26</v>
      </c>
      <c r="AW79" s="90" t="s">
        <v>14</v>
      </c>
      <c r="AX79" s="29" t="s">
        <v>18</v>
      </c>
      <c r="AY79" s="29" t="s">
        <v>22</v>
      </c>
      <c r="AZ79" s="90" t="s">
        <v>26</v>
      </c>
      <c r="BA79" s="29" t="s">
        <v>18</v>
      </c>
      <c r="BB79" s="29" t="s">
        <v>22</v>
      </c>
      <c r="BC79" s="29" t="s">
        <v>18</v>
      </c>
      <c r="BD79" s="29" t="s">
        <v>22</v>
      </c>
      <c r="BE79" s="90" t="s">
        <v>26</v>
      </c>
      <c r="BF79" s="29" t="s">
        <v>22</v>
      </c>
      <c r="BG79" s="29" t="s">
        <v>18</v>
      </c>
      <c r="BJ79" s="29" t="s">
        <v>18</v>
      </c>
      <c r="BK79" s="29" t="s">
        <v>22</v>
      </c>
      <c r="BL79" s="29" t="s">
        <v>18</v>
      </c>
      <c r="BM79" s="29" t="s">
        <v>17</v>
      </c>
      <c r="BN79" s="29" t="s">
        <v>17</v>
      </c>
      <c r="BO79" s="29" t="s">
        <v>17</v>
      </c>
      <c r="BP79" s="29" t="s">
        <v>17</v>
      </c>
      <c r="BQ79" s="29" t="s">
        <v>17</v>
      </c>
      <c r="BR79" s="29" t="s">
        <v>17</v>
      </c>
      <c r="BS79" s="29" t="s">
        <v>17</v>
      </c>
      <c r="BT79" s="29" t="s">
        <v>17</v>
      </c>
      <c r="BU79" s="29" t="s">
        <v>17</v>
      </c>
    </row>
    <row r="80" spans="1:73" x14ac:dyDescent="0.3">
      <c r="A80" s="2">
        <f t="shared" ref="A80:B80" si="59">A79+1</f>
        <v>161</v>
      </c>
      <c r="B80" s="12">
        <f t="shared" si="59"/>
        <v>78</v>
      </c>
      <c r="C80" s="24">
        <v>44722.708333333336</v>
      </c>
      <c r="D80" s="4">
        <v>24</v>
      </c>
      <c r="E80" s="4">
        <f t="shared" si="20"/>
        <v>1848</v>
      </c>
      <c r="F80" s="5">
        <f t="shared" si="21"/>
        <v>77</v>
      </c>
      <c r="G80">
        <f t="shared" si="48"/>
        <v>0</v>
      </c>
      <c r="H80">
        <f t="shared" si="39"/>
        <v>0</v>
      </c>
      <c r="I80">
        <f t="shared" si="40"/>
        <v>0</v>
      </c>
      <c r="J80">
        <f t="shared" si="41"/>
        <v>0</v>
      </c>
      <c r="K80">
        <f t="shared" si="42"/>
        <v>0</v>
      </c>
      <c r="L80" s="86">
        <f t="shared" si="22"/>
        <v>3</v>
      </c>
      <c r="M80" s="86">
        <f t="shared" si="23"/>
        <v>5</v>
      </c>
      <c r="N80" s="91"/>
      <c r="O80">
        <f t="shared" si="24"/>
        <v>9</v>
      </c>
      <c r="P80">
        <f t="shared" si="25"/>
        <v>11</v>
      </c>
      <c r="Q80">
        <f t="shared" si="43"/>
        <v>7</v>
      </c>
      <c r="R80">
        <f t="shared" si="44"/>
        <v>0</v>
      </c>
      <c r="S80">
        <f t="shared" si="27"/>
        <v>11</v>
      </c>
      <c r="T80">
        <f t="shared" si="45"/>
        <v>2</v>
      </c>
      <c r="U80">
        <f t="shared" si="46"/>
        <v>0</v>
      </c>
      <c r="X80" s="90" t="s">
        <v>26</v>
      </c>
      <c r="Y80" s="90" t="s">
        <v>26</v>
      </c>
      <c r="Z80" s="90" t="s">
        <v>26</v>
      </c>
      <c r="AA80" s="29" t="s">
        <v>18</v>
      </c>
      <c r="AB80" s="29" t="s">
        <v>22</v>
      </c>
      <c r="AC80" s="90" t="s">
        <v>26</v>
      </c>
      <c r="AD80" s="90" t="s">
        <v>14</v>
      </c>
      <c r="AE80" s="29" t="s">
        <v>18</v>
      </c>
      <c r="AF80" s="90" t="s">
        <v>13</v>
      </c>
      <c r="AG80" s="90" t="s">
        <v>14</v>
      </c>
      <c r="AH80" s="90" t="s">
        <v>14</v>
      </c>
      <c r="AI80" s="29" t="s">
        <v>18</v>
      </c>
      <c r="AJ80" s="90" t="s">
        <v>14</v>
      </c>
      <c r="AK80" s="90" t="s">
        <v>26</v>
      </c>
      <c r="AL80" s="90" t="s">
        <v>13</v>
      </c>
      <c r="AM80" s="90" t="s">
        <v>53</v>
      </c>
      <c r="AN80" s="90" t="s">
        <v>53</v>
      </c>
      <c r="AO80" s="29" t="s">
        <v>18</v>
      </c>
      <c r="AP80" s="90" t="s">
        <v>13</v>
      </c>
      <c r="AQ80" s="29" t="s">
        <v>18</v>
      </c>
      <c r="AR80" s="29" t="s">
        <v>22</v>
      </c>
      <c r="AS80" s="90" t="s">
        <v>26</v>
      </c>
      <c r="AT80" s="90" t="s">
        <v>26</v>
      </c>
      <c r="AU80" s="90" t="s">
        <v>26</v>
      </c>
      <c r="AV80" s="90" t="s">
        <v>26</v>
      </c>
      <c r="AW80" s="90" t="s">
        <v>14</v>
      </c>
      <c r="AX80" s="29" t="s">
        <v>18</v>
      </c>
      <c r="AY80" s="29" t="s">
        <v>22</v>
      </c>
      <c r="AZ80" s="90" t="s">
        <v>26</v>
      </c>
      <c r="BA80" s="29" t="s">
        <v>18</v>
      </c>
      <c r="BB80" s="29" t="s">
        <v>22</v>
      </c>
      <c r="BC80" s="29" t="s">
        <v>18</v>
      </c>
      <c r="BD80" s="29" t="s">
        <v>22</v>
      </c>
      <c r="BE80" s="90" t="s">
        <v>26</v>
      </c>
      <c r="BF80" s="29" t="s">
        <v>22</v>
      </c>
      <c r="BG80" s="29" t="s">
        <v>18</v>
      </c>
      <c r="BJ80" s="29" t="s">
        <v>18</v>
      </c>
      <c r="BK80" s="29" t="s">
        <v>22</v>
      </c>
      <c r="BL80" s="29" t="s">
        <v>18</v>
      </c>
      <c r="BM80" s="29" t="s">
        <v>17</v>
      </c>
      <c r="BN80" s="29" t="s">
        <v>17</v>
      </c>
      <c r="BO80" s="29" t="s">
        <v>17</v>
      </c>
      <c r="BP80" s="29" t="s">
        <v>17</v>
      </c>
      <c r="BQ80" s="29" t="s">
        <v>17</v>
      </c>
      <c r="BR80" s="29" t="s">
        <v>17</v>
      </c>
      <c r="BS80" s="29" t="s">
        <v>17</v>
      </c>
      <c r="BT80" s="29" t="s">
        <v>17</v>
      </c>
      <c r="BU80" s="29" t="s">
        <v>17</v>
      </c>
    </row>
    <row r="81" spans="1:73" x14ac:dyDescent="0.3">
      <c r="A81" s="2">
        <f t="shared" ref="A81:B81" si="60">A80+1</f>
        <v>162</v>
      </c>
      <c r="B81" s="12">
        <f t="shared" si="60"/>
        <v>79</v>
      </c>
      <c r="C81" s="24">
        <v>44723.708333333336</v>
      </c>
      <c r="D81" s="4">
        <v>24</v>
      </c>
      <c r="E81" s="4">
        <f t="shared" si="20"/>
        <v>1872</v>
      </c>
      <c r="F81" s="5">
        <f t="shared" si="21"/>
        <v>78</v>
      </c>
      <c r="G81">
        <f t="shared" si="48"/>
        <v>0</v>
      </c>
      <c r="H81">
        <f t="shared" si="39"/>
        <v>0</v>
      </c>
      <c r="I81">
        <f t="shared" si="40"/>
        <v>0</v>
      </c>
      <c r="J81">
        <f t="shared" si="41"/>
        <v>0</v>
      </c>
      <c r="K81">
        <f t="shared" si="42"/>
        <v>0</v>
      </c>
      <c r="L81" s="86">
        <f t="shared" si="22"/>
        <v>3</v>
      </c>
      <c r="M81" s="86">
        <f t="shared" si="23"/>
        <v>5</v>
      </c>
      <c r="N81" s="91"/>
      <c r="O81">
        <f t="shared" si="24"/>
        <v>9</v>
      </c>
      <c r="P81">
        <f t="shared" si="25"/>
        <v>11</v>
      </c>
      <c r="Q81">
        <f t="shared" si="43"/>
        <v>7</v>
      </c>
      <c r="R81">
        <f t="shared" si="44"/>
        <v>0</v>
      </c>
      <c r="S81">
        <f t="shared" si="27"/>
        <v>11</v>
      </c>
      <c r="T81">
        <f t="shared" si="45"/>
        <v>2</v>
      </c>
      <c r="U81">
        <f t="shared" si="46"/>
        <v>0</v>
      </c>
      <c r="X81" s="90" t="s">
        <v>26</v>
      </c>
      <c r="Y81" s="90" t="s">
        <v>26</v>
      </c>
      <c r="Z81" s="90" t="s">
        <v>26</v>
      </c>
      <c r="AA81" s="29" t="s">
        <v>18</v>
      </c>
      <c r="AB81" s="29" t="s">
        <v>22</v>
      </c>
      <c r="AC81" s="90" t="s">
        <v>26</v>
      </c>
      <c r="AD81" s="90" t="s">
        <v>14</v>
      </c>
      <c r="AE81" s="29" t="s">
        <v>18</v>
      </c>
      <c r="AF81" s="90" t="s">
        <v>13</v>
      </c>
      <c r="AG81" s="90" t="s">
        <v>14</v>
      </c>
      <c r="AH81" s="90" t="s">
        <v>14</v>
      </c>
      <c r="AI81" s="29" t="s">
        <v>18</v>
      </c>
      <c r="AJ81" s="90" t="s">
        <v>14</v>
      </c>
      <c r="AK81" s="90" t="s">
        <v>26</v>
      </c>
      <c r="AL81" s="90" t="s">
        <v>13</v>
      </c>
      <c r="AM81" s="90" t="s">
        <v>53</v>
      </c>
      <c r="AN81" s="90" t="s">
        <v>53</v>
      </c>
      <c r="AO81" s="29" t="s">
        <v>18</v>
      </c>
      <c r="AP81" s="90" t="s">
        <v>13</v>
      </c>
      <c r="AQ81" s="29" t="s">
        <v>18</v>
      </c>
      <c r="AR81" s="29" t="s">
        <v>22</v>
      </c>
      <c r="AS81" s="90" t="s">
        <v>26</v>
      </c>
      <c r="AT81" s="90" t="s">
        <v>26</v>
      </c>
      <c r="AU81" s="90" t="s">
        <v>26</v>
      </c>
      <c r="AV81" s="90" t="s">
        <v>26</v>
      </c>
      <c r="AW81" s="90" t="s">
        <v>14</v>
      </c>
      <c r="AX81" s="29" t="s">
        <v>18</v>
      </c>
      <c r="AY81" s="29" t="s">
        <v>22</v>
      </c>
      <c r="AZ81" s="90" t="s">
        <v>26</v>
      </c>
      <c r="BA81" s="29" t="s">
        <v>18</v>
      </c>
      <c r="BB81" s="29" t="s">
        <v>22</v>
      </c>
      <c r="BC81" s="29" t="s">
        <v>18</v>
      </c>
      <c r="BD81" s="29" t="s">
        <v>22</v>
      </c>
      <c r="BE81" s="90" t="s">
        <v>26</v>
      </c>
      <c r="BF81" s="29" t="s">
        <v>22</v>
      </c>
      <c r="BG81" s="29" t="s">
        <v>18</v>
      </c>
      <c r="BJ81" s="29" t="s">
        <v>18</v>
      </c>
      <c r="BK81" s="29" t="s">
        <v>22</v>
      </c>
      <c r="BL81" s="29" t="s">
        <v>18</v>
      </c>
      <c r="BM81" s="29" t="s">
        <v>17</v>
      </c>
      <c r="BN81" s="29" t="s">
        <v>17</v>
      </c>
      <c r="BO81" s="29" t="s">
        <v>17</v>
      </c>
      <c r="BP81" s="29" t="s">
        <v>17</v>
      </c>
      <c r="BQ81" s="29" t="s">
        <v>17</v>
      </c>
      <c r="BR81" s="29" t="s">
        <v>17</v>
      </c>
      <c r="BS81" s="29" t="s">
        <v>17</v>
      </c>
      <c r="BT81" s="29" t="s">
        <v>17</v>
      </c>
      <c r="BU81" s="29" t="s">
        <v>17</v>
      </c>
    </row>
    <row r="82" spans="1:73" x14ac:dyDescent="0.3">
      <c r="A82" s="2">
        <f t="shared" ref="A82:B82" si="61">A81+1</f>
        <v>163</v>
      </c>
      <c r="B82" s="12">
        <f t="shared" si="61"/>
        <v>80</v>
      </c>
      <c r="C82" s="24">
        <v>44724.708333333336</v>
      </c>
      <c r="D82" s="4">
        <v>24</v>
      </c>
      <c r="E82" s="4">
        <f t="shared" si="20"/>
        <v>1896</v>
      </c>
      <c r="F82" s="5">
        <f t="shared" si="21"/>
        <v>79</v>
      </c>
      <c r="G82">
        <f t="shared" si="48"/>
        <v>0</v>
      </c>
      <c r="H82">
        <f t="shared" si="39"/>
        <v>0</v>
      </c>
      <c r="I82">
        <f t="shared" si="40"/>
        <v>0</v>
      </c>
      <c r="J82">
        <f t="shared" si="41"/>
        <v>0</v>
      </c>
      <c r="K82">
        <f t="shared" si="42"/>
        <v>0</v>
      </c>
      <c r="L82" s="86">
        <f t="shared" si="22"/>
        <v>3</v>
      </c>
      <c r="M82" s="86">
        <f t="shared" si="23"/>
        <v>5</v>
      </c>
      <c r="N82" s="91"/>
      <c r="O82">
        <f t="shared" si="24"/>
        <v>9</v>
      </c>
      <c r="P82">
        <f t="shared" si="25"/>
        <v>11</v>
      </c>
      <c r="Q82">
        <f t="shared" si="43"/>
        <v>7</v>
      </c>
      <c r="R82">
        <f t="shared" si="44"/>
        <v>0</v>
      </c>
      <c r="S82">
        <f t="shared" si="27"/>
        <v>11</v>
      </c>
      <c r="T82">
        <f t="shared" si="45"/>
        <v>2</v>
      </c>
      <c r="U82">
        <f t="shared" si="46"/>
        <v>0</v>
      </c>
      <c r="X82" s="90" t="s">
        <v>26</v>
      </c>
      <c r="Y82" s="90" t="s">
        <v>26</v>
      </c>
      <c r="Z82" s="90" t="s">
        <v>26</v>
      </c>
      <c r="AA82" s="29" t="s">
        <v>18</v>
      </c>
      <c r="AB82" s="29" t="s">
        <v>22</v>
      </c>
      <c r="AC82" s="90" t="s">
        <v>26</v>
      </c>
      <c r="AD82" s="90" t="s">
        <v>14</v>
      </c>
      <c r="AE82" s="29" t="s">
        <v>18</v>
      </c>
      <c r="AF82" s="90" t="s">
        <v>13</v>
      </c>
      <c r="AG82" s="90" t="s">
        <v>14</v>
      </c>
      <c r="AH82" s="90" t="s">
        <v>14</v>
      </c>
      <c r="AI82" s="29" t="s">
        <v>18</v>
      </c>
      <c r="AJ82" s="90" t="s">
        <v>14</v>
      </c>
      <c r="AK82" s="90" t="s">
        <v>26</v>
      </c>
      <c r="AL82" s="90" t="s">
        <v>13</v>
      </c>
      <c r="AM82" s="90" t="s">
        <v>53</v>
      </c>
      <c r="AN82" s="90" t="s">
        <v>53</v>
      </c>
      <c r="AO82" s="29" t="s">
        <v>18</v>
      </c>
      <c r="AP82" s="90" t="s">
        <v>13</v>
      </c>
      <c r="AQ82" s="29" t="s">
        <v>18</v>
      </c>
      <c r="AR82" s="29" t="s">
        <v>22</v>
      </c>
      <c r="AS82" s="90" t="s">
        <v>26</v>
      </c>
      <c r="AT82" s="90" t="s">
        <v>26</v>
      </c>
      <c r="AU82" s="90" t="s">
        <v>26</v>
      </c>
      <c r="AV82" s="90" t="s">
        <v>26</v>
      </c>
      <c r="AW82" s="90" t="s">
        <v>14</v>
      </c>
      <c r="AX82" s="29" t="s">
        <v>18</v>
      </c>
      <c r="AY82" s="29" t="s">
        <v>22</v>
      </c>
      <c r="AZ82" s="90" t="s">
        <v>26</v>
      </c>
      <c r="BA82" s="29" t="s">
        <v>18</v>
      </c>
      <c r="BB82" s="29" t="s">
        <v>22</v>
      </c>
      <c r="BC82" s="29" t="s">
        <v>18</v>
      </c>
      <c r="BD82" s="29" t="s">
        <v>22</v>
      </c>
      <c r="BE82" s="90" t="s">
        <v>26</v>
      </c>
      <c r="BF82" s="29" t="s">
        <v>22</v>
      </c>
      <c r="BG82" s="29" t="s">
        <v>18</v>
      </c>
      <c r="BJ82" s="29" t="s">
        <v>18</v>
      </c>
      <c r="BK82" s="29" t="s">
        <v>22</v>
      </c>
      <c r="BL82" s="29" t="s">
        <v>18</v>
      </c>
      <c r="BM82" s="29" t="s">
        <v>17</v>
      </c>
      <c r="BN82" s="29" t="s">
        <v>17</v>
      </c>
      <c r="BO82" s="29" t="s">
        <v>17</v>
      </c>
      <c r="BP82" s="29" t="s">
        <v>17</v>
      </c>
      <c r="BQ82" s="29" t="s">
        <v>17</v>
      </c>
      <c r="BR82" s="29" t="s">
        <v>17</v>
      </c>
      <c r="BS82" s="29" t="s">
        <v>17</v>
      </c>
      <c r="BT82" s="29" t="s">
        <v>17</v>
      </c>
      <c r="BU82" s="29" t="s">
        <v>17</v>
      </c>
    </row>
    <row r="83" spans="1:73" x14ac:dyDescent="0.3">
      <c r="A83" s="2">
        <f t="shared" ref="A83:B83" si="62">A82+1</f>
        <v>164</v>
      </c>
      <c r="B83" s="12">
        <f t="shared" si="62"/>
        <v>81</v>
      </c>
      <c r="C83" s="24">
        <v>44725.708333333336</v>
      </c>
      <c r="D83" s="4">
        <v>24</v>
      </c>
      <c r="E83" s="4">
        <f t="shared" si="20"/>
        <v>1920</v>
      </c>
      <c r="F83" s="5">
        <f t="shared" si="21"/>
        <v>80</v>
      </c>
      <c r="G83">
        <f t="shared" si="48"/>
        <v>0</v>
      </c>
      <c r="H83">
        <f t="shared" si="39"/>
        <v>0</v>
      </c>
      <c r="I83">
        <f t="shared" si="40"/>
        <v>0</v>
      </c>
      <c r="J83">
        <f t="shared" si="41"/>
        <v>0</v>
      </c>
      <c r="K83">
        <f t="shared" si="42"/>
        <v>0</v>
      </c>
      <c r="L83" s="86">
        <f t="shared" si="22"/>
        <v>3</v>
      </c>
      <c r="M83" s="86">
        <f t="shared" si="23"/>
        <v>5</v>
      </c>
      <c r="N83" s="91"/>
      <c r="O83">
        <f t="shared" si="24"/>
        <v>9</v>
      </c>
      <c r="P83">
        <f t="shared" si="25"/>
        <v>11</v>
      </c>
      <c r="Q83">
        <f t="shared" si="43"/>
        <v>7</v>
      </c>
      <c r="R83">
        <f t="shared" si="44"/>
        <v>0</v>
      </c>
      <c r="S83">
        <f t="shared" si="27"/>
        <v>11</v>
      </c>
      <c r="T83">
        <f t="shared" si="45"/>
        <v>2</v>
      </c>
      <c r="U83">
        <f t="shared" si="46"/>
        <v>0</v>
      </c>
      <c r="X83" s="90" t="s">
        <v>26</v>
      </c>
      <c r="Y83" s="90" t="s">
        <v>26</v>
      </c>
      <c r="Z83" s="90" t="s">
        <v>26</v>
      </c>
      <c r="AA83" s="29" t="s">
        <v>18</v>
      </c>
      <c r="AB83" s="29" t="s">
        <v>22</v>
      </c>
      <c r="AC83" s="90" t="s">
        <v>26</v>
      </c>
      <c r="AD83" s="90" t="s">
        <v>14</v>
      </c>
      <c r="AE83" s="29" t="s">
        <v>18</v>
      </c>
      <c r="AF83" s="90" t="s">
        <v>13</v>
      </c>
      <c r="AG83" s="90" t="s">
        <v>14</v>
      </c>
      <c r="AH83" s="90" t="s">
        <v>14</v>
      </c>
      <c r="AI83" s="29" t="s">
        <v>18</v>
      </c>
      <c r="AJ83" s="90" t="s">
        <v>14</v>
      </c>
      <c r="AK83" s="90" t="s">
        <v>26</v>
      </c>
      <c r="AL83" s="90" t="s">
        <v>13</v>
      </c>
      <c r="AM83" s="90" t="s">
        <v>53</v>
      </c>
      <c r="AN83" s="90" t="s">
        <v>53</v>
      </c>
      <c r="AO83" s="29" t="s">
        <v>18</v>
      </c>
      <c r="AP83" s="90" t="s">
        <v>13</v>
      </c>
      <c r="AQ83" s="29" t="s">
        <v>18</v>
      </c>
      <c r="AR83" s="29" t="s">
        <v>22</v>
      </c>
      <c r="AS83" s="90" t="s">
        <v>26</v>
      </c>
      <c r="AT83" s="90" t="s">
        <v>26</v>
      </c>
      <c r="AU83" s="90" t="s">
        <v>26</v>
      </c>
      <c r="AV83" s="90" t="s">
        <v>26</v>
      </c>
      <c r="AW83" s="90" t="s">
        <v>14</v>
      </c>
      <c r="AX83" s="29" t="s">
        <v>18</v>
      </c>
      <c r="AY83" s="29" t="s">
        <v>22</v>
      </c>
      <c r="AZ83" s="90" t="s">
        <v>26</v>
      </c>
      <c r="BA83" s="29" t="s">
        <v>18</v>
      </c>
      <c r="BB83" s="29" t="s">
        <v>22</v>
      </c>
      <c r="BC83" s="29" t="s">
        <v>18</v>
      </c>
      <c r="BD83" s="29" t="s">
        <v>22</v>
      </c>
      <c r="BE83" s="90" t="s">
        <v>26</v>
      </c>
      <c r="BF83" s="29" t="s">
        <v>22</v>
      </c>
      <c r="BG83" s="29" t="s">
        <v>18</v>
      </c>
      <c r="BJ83" s="29" t="s">
        <v>18</v>
      </c>
      <c r="BK83" s="29" t="s">
        <v>22</v>
      </c>
      <c r="BL83" s="29" t="s">
        <v>18</v>
      </c>
      <c r="BM83" s="29" t="s">
        <v>17</v>
      </c>
      <c r="BN83" s="29" t="s">
        <v>17</v>
      </c>
      <c r="BO83" s="29" t="s">
        <v>17</v>
      </c>
      <c r="BP83" s="29" t="s">
        <v>17</v>
      </c>
      <c r="BQ83" s="29" t="s">
        <v>17</v>
      </c>
      <c r="BR83" s="29" t="s">
        <v>17</v>
      </c>
      <c r="BS83" s="29" t="s">
        <v>17</v>
      </c>
      <c r="BT83" s="29" t="s">
        <v>17</v>
      </c>
      <c r="BU83" s="29" t="s">
        <v>17</v>
      </c>
    </row>
    <row r="84" spans="1:73" x14ac:dyDescent="0.3">
      <c r="A84" s="2">
        <f t="shared" ref="A84:B84" si="63">A83+1</f>
        <v>165</v>
      </c>
      <c r="B84" s="12">
        <f t="shared" si="63"/>
        <v>82</v>
      </c>
      <c r="C84" s="24">
        <v>44726.708333333336</v>
      </c>
      <c r="D84" s="4">
        <v>24</v>
      </c>
      <c r="E84" s="4">
        <f t="shared" si="20"/>
        <v>1944</v>
      </c>
      <c r="F84" s="5">
        <f t="shared" si="21"/>
        <v>81</v>
      </c>
      <c r="G84">
        <f t="shared" si="48"/>
        <v>0</v>
      </c>
      <c r="H84">
        <f t="shared" si="39"/>
        <v>0</v>
      </c>
      <c r="I84">
        <f t="shared" si="40"/>
        <v>0</v>
      </c>
      <c r="J84">
        <f t="shared" si="41"/>
        <v>0</v>
      </c>
      <c r="K84">
        <f t="shared" si="42"/>
        <v>0</v>
      </c>
      <c r="L84" s="86">
        <f t="shared" si="22"/>
        <v>3</v>
      </c>
      <c r="M84" s="86">
        <f t="shared" si="23"/>
        <v>5</v>
      </c>
      <c r="N84" s="91"/>
      <c r="O84">
        <f t="shared" si="24"/>
        <v>9</v>
      </c>
      <c r="P84">
        <f t="shared" si="25"/>
        <v>11</v>
      </c>
      <c r="Q84">
        <f t="shared" si="43"/>
        <v>7</v>
      </c>
      <c r="R84">
        <f t="shared" si="44"/>
        <v>0</v>
      </c>
      <c r="S84">
        <f t="shared" si="27"/>
        <v>11</v>
      </c>
      <c r="T84">
        <f t="shared" si="45"/>
        <v>2</v>
      </c>
      <c r="U84">
        <f t="shared" si="46"/>
        <v>0</v>
      </c>
      <c r="X84" s="90" t="s">
        <v>26</v>
      </c>
      <c r="Y84" s="90" t="s">
        <v>26</v>
      </c>
      <c r="Z84" s="90" t="s">
        <v>26</v>
      </c>
      <c r="AA84" s="29" t="s">
        <v>18</v>
      </c>
      <c r="AB84" s="29" t="s">
        <v>22</v>
      </c>
      <c r="AC84" s="90" t="s">
        <v>26</v>
      </c>
      <c r="AD84" s="90" t="s">
        <v>14</v>
      </c>
      <c r="AE84" s="29" t="s">
        <v>18</v>
      </c>
      <c r="AF84" s="90" t="s">
        <v>13</v>
      </c>
      <c r="AG84" s="90" t="s">
        <v>14</v>
      </c>
      <c r="AH84" s="90" t="s">
        <v>14</v>
      </c>
      <c r="AI84" s="29" t="s">
        <v>18</v>
      </c>
      <c r="AJ84" s="90" t="s">
        <v>14</v>
      </c>
      <c r="AK84" s="90" t="s">
        <v>26</v>
      </c>
      <c r="AL84" s="90" t="s">
        <v>13</v>
      </c>
      <c r="AM84" s="90" t="s">
        <v>53</v>
      </c>
      <c r="AN84" s="90" t="s">
        <v>53</v>
      </c>
      <c r="AO84" s="29" t="s">
        <v>18</v>
      </c>
      <c r="AP84" s="90" t="s">
        <v>13</v>
      </c>
      <c r="AQ84" s="29" t="s">
        <v>18</v>
      </c>
      <c r="AR84" s="29" t="s">
        <v>22</v>
      </c>
      <c r="AS84" s="90" t="s">
        <v>26</v>
      </c>
      <c r="AT84" s="90" t="s">
        <v>26</v>
      </c>
      <c r="AU84" s="90" t="s">
        <v>26</v>
      </c>
      <c r="AV84" s="90" t="s">
        <v>26</v>
      </c>
      <c r="AW84" s="90" t="s">
        <v>14</v>
      </c>
      <c r="AX84" s="29" t="s">
        <v>18</v>
      </c>
      <c r="AY84" s="29" t="s">
        <v>22</v>
      </c>
      <c r="AZ84" s="90" t="s">
        <v>26</v>
      </c>
      <c r="BA84" s="29" t="s">
        <v>18</v>
      </c>
      <c r="BB84" s="29" t="s">
        <v>22</v>
      </c>
      <c r="BC84" s="29" t="s">
        <v>18</v>
      </c>
      <c r="BD84" s="29" t="s">
        <v>22</v>
      </c>
      <c r="BE84" s="90" t="s">
        <v>26</v>
      </c>
      <c r="BF84" s="29" t="s">
        <v>22</v>
      </c>
      <c r="BG84" s="29" t="s">
        <v>18</v>
      </c>
      <c r="BJ84" s="29" t="s">
        <v>18</v>
      </c>
      <c r="BK84" s="29" t="s">
        <v>22</v>
      </c>
      <c r="BL84" s="29" t="s">
        <v>18</v>
      </c>
      <c r="BM84" s="29" t="s">
        <v>17</v>
      </c>
      <c r="BN84" s="29" t="s">
        <v>17</v>
      </c>
      <c r="BO84" s="29" t="s">
        <v>17</v>
      </c>
      <c r="BP84" s="29" t="s">
        <v>17</v>
      </c>
      <c r="BQ84" s="29" t="s">
        <v>17</v>
      </c>
      <c r="BR84" s="29" t="s">
        <v>17</v>
      </c>
      <c r="BS84" s="29" t="s">
        <v>17</v>
      </c>
      <c r="BT84" s="29" t="s">
        <v>17</v>
      </c>
      <c r="BU84" s="29" t="s">
        <v>17</v>
      </c>
    </row>
    <row r="85" spans="1:73" x14ac:dyDescent="0.3">
      <c r="A85" s="2">
        <f t="shared" ref="A85:B85" si="64">A84+1</f>
        <v>166</v>
      </c>
      <c r="B85" s="12">
        <f t="shared" si="64"/>
        <v>83</v>
      </c>
      <c r="C85" s="24">
        <v>44727.708333333336</v>
      </c>
      <c r="D85" s="4">
        <v>24</v>
      </c>
      <c r="E85" s="4">
        <f t="shared" si="20"/>
        <v>1968</v>
      </c>
      <c r="F85" s="5">
        <f t="shared" si="21"/>
        <v>82</v>
      </c>
      <c r="G85">
        <f t="shared" si="48"/>
        <v>0</v>
      </c>
      <c r="H85">
        <f t="shared" si="39"/>
        <v>0</v>
      </c>
      <c r="I85">
        <f t="shared" si="40"/>
        <v>0</v>
      </c>
      <c r="J85">
        <f t="shared" si="41"/>
        <v>0</v>
      </c>
      <c r="K85">
        <f t="shared" si="42"/>
        <v>0</v>
      </c>
      <c r="L85" s="86">
        <f t="shared" si="22"/>
        <v>3</v>
      </c>
      <c r="M85" s="86">
        <f t="shared" si="23"/>
        <v>5</v>
      </c>
      <c r="N85" s="91"/>
      <c r="O85">
        <f t="shared" si="24"/>
        <v>9</v>
      </c>
      <c r="P85">
        <f t="shared" si="25"/>
        <v>11</v>
      </c>
      <c r="Q85">
        <f t="shared" si="43"/>
        <v>7</v>
      </c>
      <c r="R85">
        <f t="shared" si="44"/>
        <v>0</v>
      </c>
      <c r="S85">
        <f t="shared" si="27"/>
        <v>11</v>
      </c>
      <c r="T85">
        <f t="shared" si="45"/>
        <v>2</v>
      </c>
      <c r="U85">
        <f t="shared" si="46"/>
        <v>0</v>
      </c>
      <c r="X85" s="90" t="s">
        <v>26</v>
      </c>
      <c r="Y85" s="90" t="s">
        <v>26</v>
      </c>
      <c r="Z85" s="90" t="s">
        <v>26</v>
      </c>
      <c r="AA85" s="29" t="s">
        <v>18</v>
      </c>
      <c r="AB85" s="29" t="s">
        <v>22</v>
      </c>
      <c r="AC85" s="90" t="s">
        <v>26</v>
      </c>
      <c r="AD85" s="90" t="s">
        <v>14</v>
      </c>
      <c r="AE85" s="29" t="s">
        <v>18</v>
      </c>
      <c r="AF85" s="90" t="s">
        <v>13</v>
      </c>
      <c r="AG85" s="90" t="s">
        <v>14</v>
      </c>
      <c r="AH85" s="90" t="s">
        <v>14</v>
      </c>
      <c r="AI85" s="29" t="s">
        <v>18</v>
      </c>
      <c r="AJ85" s="90" t="s">
        <v>14</v>
      </c>
      <c r="AK85" s="90" t="s">
        <v>26</v>
      </c>
      <c r="AL85" s="90" t="s">
        <v>13</v>
      </c>
      <c r="AM85" s="90" t="s">
        <v>53</v>
      </c>
      <c r="AN85" s="90" t="s">
        <v>53</v>
      </c>
      <c r="AO85" s="29" t="s">
        <v>18</v>
      </c>
      <c r="AP85" s="90" t="s">
        <v>13</v>
      </c>
      <c r="AQ85" s="29" t="s">
        <v>18</v>
      </c>
      <c r="AR85" s="29" t="s">
        <v>22</v>
      </c>
      <c r="AS85" s="90" t="s">
        <v>26</v>
      </c>
      <c r="AT85" s="90" t="s">
        <v>26</v>
      </c>
      <c r="AU85" s="90" t="s">
        <v>26</v>
      </c>
      <c r="AV85" s="90" t="s">
        <v>26</v>
      </c>
      <c r="AW85" s="90" t="s">
        <v>14</v>
      </c>
      <c r="AX85" s="29" t="s">
        <v>18</v>
      </c>
      <c r="AY85" s="29" t="s">
        <v>22</v>
      </c>
      <c r="AZ85" s="90" t="s">
        <v>26</v>
      </c>
      <c r="BA85" s="29" t="s">
        <v>18</v>
      </c>
      <c r="BB85" s="29" t="s">
        <v>22</v>
      </c>
      <c r="BC85" s="29" t="s">
        <v>18</v>
      </c>
      <c r="BD85" s="29" t="s">
        <v>22</v>
      </c>
      <c r="BE85" s="90" t="s">
        <v>26</v>
      </c>
      <c r="BF85" s="29" t="s">
        <v>22</v>
      </c>
      <c r="BG85" s="29" t="s">
        <v>18</v>
      </c>
      <c r="BJ85" s="29" t="s">
        <v>18</v>
      </c>
      <c r="BK85" s="29" t="s">
        <v>22</v>
      </c>
      <c r="BL85" s="29" t="s">
        <v>18</v>
      </c>
      <c r="BM85" s="29" t="s">
        <v>17</v>
      </c>
      <c r="BN85" s="29" t="s">
        <v>17</v>
      </c>
      <c r="BO85" s="29" t="s">
        <v>17</v>
      </c>
      <c r="BP85" s="29" t="s">
        <v>17</v>
      </c>
      <c r="BQ85" s="29" t="s">
        <v>17</v>
      </c>
      <c r="BR85" s="29" t="s">
        <v>17</v>
      </c>
      <c r="BS85" s="29" t="s">
        <v>17</v>
      </c>
      <c r="BT85" s="29" t="s">
        <v>17</v>
      </c>
      <c r="BU85" s="29" t="s">
        <v>17</v>
      </c>
    </row>
    <row r="86" spans="1:73" x14ac:dyDescent="0.3">
      <c r="A86" s="2">
        <f t="shared" ref="A86:B86" si="65">A85+1</f>
        <v>167</v>
      </c>
      <c r="B86" s="12">
        <f t="shared" si="65"/>
        <v>84</v>
      </c>
      <c r="C86" s="24">
        <v>44728.708333333336</v>
      </c>
      <c r="D86" s="4">
        <v>24</v>
      </c>
      <c r="E86" s="4">
        <f t="shared" si="20"/>
        <v>1992</v>
      </c>
      <c r="F86" s="5">
        <f t="shared" si="21"/>
        <v>83</v>
      </c>
      <c r="G86">
        <f t="shared" si="48"/>
        <v>0</v>
      </c>
      <c r="H86">
        <f t="shared" si="39"/>
        <v>0</v>
      </c>
      <c r="I86">
        <f t="shared" si="40"/>
        <v>0</v>
      </c>
      <c r="J86">
        <f t="shared" si="41"/>
        <v>0</v>
      </c>
      <c r="K86">
        <f t="shared" si="42"/>
        <v>0</v>
      </c>
      <c r="L86" s="86">
        <f t="shared" si="22"/>
        <v>3</v>
      </c>
      <c r="M86" s="86">
        <f t="shared" si="23"/>
        <v>5</v>
      </c>
      <c r="N86" s="91"/>
      <c r="O86">
        <f t="shared" si="24"/>
        <v>9</v>
      </c>
      <c r="P86">
        <f t="shared" si="25"/>
        <v>11</v>
      </c>
      <c r="Q86">
        <f t="shared" si="43"/>
        <v>7</v>
      </c>
      <c r="R86">
        <f t="shared" si="44"/>
        <v>0</v>
      </c>
      <c r="S86">
        <f t="shared" si="27"/>
        <v>11</v>
      </c>
      <c r="T86">
        <f t="shared" si="45"/>
        <v>2</v>
      </c>
      <c r="U86">
        <f t="shared" si="46"/>
        <v>0</v>
      </c>
      <c r="X86" s="90" t="s">
        <v>26</v>
      </c>
      <c r="Y86" s="90" t="s">
        <v>26</v>
      </c>
      <c r="Z86" s="90" t="s">
        <v>26</v>
      </c>
      <c r="AA86" s="29" t="s">
        <v>18</v>
      </c>
      <c r="AB86" s="29" t="s">
        <v>22</v>
      </c>
      <c r="AC86" s="90" t="s">
        <v>26</v>
      </c>
      <c r="AD86" s="90" t="s">
        <v>14</v>
      </c>
      <c r="AE86" s="29" t="s">
        <v>18</v>
      </c>
      <c r="AF86" s="90" t="s">
        <v>13</v>
      </c>
      <c r="AG86" s="90" t="s">
        <v>14</v>
      </c>
      <c r="AH86" s="90" t="s">
        <v>14</v>
      </c>
      <c r="AI86" s="29" t="s">
        <v>18</v>
      </c>
      <c r="AJ86" s="90" t="s">
        <v>14</v>
      </c>
      <c r="AK86" s="90" t="s">
        <v>26</v>
      </c>
      <c r="AL86" s="90" t="s">
        <v>13</v>
      </c>
      <c r="AM86" s="90" t="s">
        <v>53</v>
      </c>
      <c r="AN86" s="90" t="s">
        <v>53</v>
      </c>
      <c r="AO86" s="29" t="s">
        <v>18</v>
      </c>
      <c r="AP86" s="90" t="s">
        <v>13</v>
      </c>
      <c r="AQ86" s="29" t="s">
        <v>18</v>
      </c>
      <c r="AR86" s="29" t="s">
        <v>22</v>
      </c>
      <c r="AS86" s="90" t="s">
        <v>26</v>
      </c>
      <c r="AT86" s="90" t="s">
        <v>26</v>
      </c>
      <c r="AU86" s="90" t="s">
        <v>26</v>
      </c>
      <c r="AV86" s="90" t="s">
        <v>26</v>
      </c>
      <c r="AW86" s="90" t="s">
        <v>14</v>
      </c>
      <c r="AX86" s="29" t="s">
        <v>18</v>
      </c>
      <c r="AY86" s="29" t="s">
        <v>22</v>
      </c>
      <c r="AZ86" s="90" t="s">
        <v>26</v>
      </c>
      <c r="BA86" s="29" t="s">
        <v>18</v>
      </c>
      <c r="BB86" s="29" t="s">
        <v>22</v>
      </c>
      <c r="BC86" s="29" t="s">
        <v>18</v>
      </c>
      <c r="BD86" s="29" t="s">
        <v>22</v>
      </c>
      <c r="BE86" s="90" t="s">
        <v>26</v>
      </c>
      <c r="BF86" s="29" t="s">
        <v>22</v>
      </c>
      <c r="BG86" s="29" t="s">
        <v>18</v>
      </c>
      <c r="BJ86" s="29" t="s">
        <v>18</v>
      </c>
      <c r="BK86" s="29" t="s">
        <v>22</v>
      </c>
      <c r="BL86" s="29" t="s">
        <v>18</v>
      </c>
      <c r="BM86" s="29" t="s">
        <v>17</v>
      </c>
      <c r="BN86" s="29" t="s">
        <v>17</v>
      </c>
      <c r="BO86" s="29" t="s">
        <v>17</v>
      </c>
      <c r="BP86" s="29" t="s">
        <v>17</v>
      </c>
      <c r="BQ86" s="29" t="s">
        <v>17</v>
      </c>
      <c r="BR86" s="29" t="s">
        <v>17</v>
      </c>
      <c r="BS86" s="29" t="s">
        <v>17</v>
      </c>
      <c r="BT86" s="29" t="s">
        <v>17</v>
      </c>
      <c r="BU86" s="29" t="s">
        <v>17</v>
      </c>
    </row>
    <row r="87" spans="1:73" x14ac:dyDescent="0.3">
      <c r="A87" s="2">
        <f t="shared" ref="A87:B87" si="66">A86+1</f>
        <v>168</v>
      </c>
      <c r="B87" s="12">
        <f t="shared" si="66"/>
        <v>85</v>
      </c>
      <c r="C87" s="24">
        <v>44729.708333333336</v>
      </c>
      <c r="D87" s="4">
        <v>24</v>
      </c>
      <c r="E87" s="4">
        <f t="shared" si="20"/>
        <v>2016</v>
      </c>
      <c r="F87" s="5">
        <f t="shared" si="21"/>
        <v>84</v>
      </c>
      <c r="G87">
        <f t="shared" si="48"/>
        <v>0</v>
      </c>
      <c r="H87">
        <f t="shared" si="39"/>
        <v>0</v>
      </c>
      <c r="I87">
        <f t="shared" si="40"/>
        <v>0</v>
      </c>
      <c r="J87">
        <f t="shared" si="41"/>
        <v>0</v>
      </c>
      <c r="K87">
        <f t="shared" si="42"/>
        <v>0</v>
      </c>
      <c r="L87" s="86">
        <f t="shared" si="22"/>
        <v>3</v>
      </c>
      <c r="M87" s="86">
        <f t="shared" si="23"/>
        <v>5</v>
      </c>
      <c r="N87" s="91"/>
      <c r="O87">
        <f t="shared" si="24"/>
        <v>9</v>
      </c>
      <c r="P87">
        <f t="shared" si="25"/>
        <v>11</v>
      </c>
      <c r="Q87">
        <f t="shared" si="43"/>
        <v>7</v>
      </c>
      <c r="R87">
        <f t="shared" si="44"/>
        <v>0</v>
      </c>
      <c r="S87">
        <f t="shared" si="27"/>
        <v>11</v>
      </c>
      <c r="T87">
        <f t="shared" si="45"/>
        <v>2</v>
      </c>
      <c r="U87">
        <f t="shared" si="46"/>
        <v>0</v>
      </c>
      <c r="X87" s="90" t="s">
        <v>26</v>
      </c>
      <c r="Y87" s="90" t="s">
        <v>26</v>
      </c>
      <c r="Z87" s="90" t="s">
        <v>26</v>
      </c>
      <c r="AA87" s="29" t="s">
        <v>18</v>
      </c>
      <c r="AB87" s="29" t="s">
        <v>22</v>
      </c>
      <c r="AC87" s="90" t="s">
        <v>26</v>
      </c>
      <c r="AD87" s="90" t="s">
        <v>14</v>
      </c>
      <c r="AE87" s="29" t="s">
        <v>18</v>
      </c>
      <c r="AF87" s="90" t="s">
        <v>13</v>
      </c>
      <c r="AG87" s="90" t="s">
        <v>14</v>
      </c>
      <c r="AH87" s="90" t="s">
        <v>14</v>
      </c>
      <c r="AI87" s="29" t="s">
        <v>18</v>
      </c>
      <c r="AJ87" s="90" t="s">
        <v>14</v>
      </c>
      <c r="AK87" s="90" t="s">
        <v>26</v>
      </c>
      <c r="AL87" s="90" t="s">
        <v>13</v>
      </c>
      <c r="AM87" s="90" t="s">
        <v>53</v>
      </c>
      <c r="AN87" s="90" t="s">
        <v>53</v>
      </c>
      <c r="AO87" s="29" t="s">
        <v>18</v>
      </c>
      <c r="AP87" s="90" t="s">
        <v>13</v>
      </c>
      <c r="AQ87" s="29" t="s">
        <v>18</v>
      </c>
      <c r="AR87" s="29" t="s">
        <v>22</v>
      </c>
      <c r="AS87" s="90" t="s">
        <v>26</v>
      </c>
      <c r="AT87" s="90" t="s">
        <v>26</v>
      </c>
      <c r="AU87" s="90" t="s">
        <v>26</v>
      </c>
      <c r="AV87" s="90" t="s">
        <v>26</v>
      </c>
      <c r="AW87" s="90" t="s">
        <v>14</v>
      </c>
      <c r="AX87" s="29" t="s">
        <v>18</v>
      </c>
      <c r="AY87" s="29" t="s">
        <v>22</v>
      </c>
      <c r="AZ87" s="90" t="s">
        <v>26</v>
      </c>
      <c r="BA87" s="29" t="s">
        <v>18</v>
      </c>
      <c r="BB87" s="29" t="s">
        <v>22</v>
      </c>
      <c r="BC87" s="29" t="s">
        <v>18</v>
      </c>
      <c r="BD87" s="29" t="s">
        <v>22</v>
      </c>
      <c r="BE87" s="90" t="s">
        <v>26</v>
      </c>
      <c r="BF87" s="29" t="s">
        <v>22</v>
      </c>
      <c r="BG87" s="29" t="s">
        <v>18</v>
      </c>
      <c r="BJ87" s="29" t="s">
        <v>18</v>
      </c>
      <c r="BK87" s="29" t="s">
        <v>22</v>
      </c>
      <c r="BL87" s="29" t="s">
        <v>18</v>
      </c>
      <c r="BM87" s="29" t="s">
        <v>17</v>
      </c>
      <c r="BN87" s="29" t="s">
        <v>17</v>
      </c>
      <c r="BO87" s="29" t="s">
        <v>17</v>
      </c>
      <c r="BP87" s="29" t="s">
        <v>17</v>
      </c>
      <c r="BQ87" s="29" t="s">
        <v>17</v>
      </c>
      <c r="BR87" s="29" t="s">
        <v>17</v>
      </c>
      <c r="BS87" s="29" t="s">
        <v>17</v>
      </c>
      <c r="BT87" s="29" t="s">
        <v>17</v>
      </c>
      <c r="BU87" s="29" t="s">
        <v>17</v>
      </c>
    </row>
    <row r="88" spans="1:73" x14ac:dyDescent="0.3">
      <c r="A88" s="2">
        <f t="shared" ref="A88:B88" si="67">A87+1</f>
        <v>169</v>
      </c>
      <c r="B88" s="12">
        <f t="shared" si="67"/>
        <v>86</v>
      </c>
      <c r="C88" s="24">
        <v>44730.708333333336</v>
      </c>
      <c r="D88" s="4">
        <v>24</v>
      </c>
      <c r="E88" s="4">
        <f t="shared" si="20"/>
        <v>2040</v>
      </c>
      <c r="F88" s="5">
        <f t="shared" si="21"/>
        <v>85</v>
      </c>
      <c r="G88">
        <f t="shared" si="48"/>
        <v>0</v>
      </c>
      <c r="H88">
        <f t="shared" si="39"/>
        <v>0</v>
      </c>
      <c r="I88">
        <f t="shared" si="40"/>
        <v>0</v>
      </c>
      <c r="J88">
        <f t="shared" si="41"/>
        <v>0</v>
      </c>
      <c r="K88">
        <f t="shared" si="42"/>
        <v>0</v>
      </c>
      <c r="L88" s="86">
        <f t="shared" si="22"/>
        <v>3</v>
      </c>
      <c r="M88" s="86">
        <f t="shared" si="23"/>
        <v>5</v>
      </c>
      <c r="N88" s="91"/>
      <c r="O88">
        <f t="shared" si="24"/>
        <v>9</v>
      </c>
      <c r="P88">
        <f t="shared" si="25"/>
        <v>11</v>
      </c>
      <c r="Q88">
        <f t="shared" si="43"/>
        <v>7</v>
      </c>
      <c r="R88">
        <f t="shared" si="44"/>
        <v>0</v>
      </c>
      <c r="S88">
        <f t="shared" si="27"/>
        <v>11</v>
      </c>
      <c r="T88">
        <f t="shared" si="45"/>
        <v>2</v>
      </c>
      <c r="U88">
        <f t="shared" si="46"/>
        <v>0</v>
      </c>
      <c r="X88" s="90" t="s">
        <v>26</v>
      </c>
      <c r="Y88" s="90" t="s">
        <v>26</v>
      </c>
      <c r="Z88" s="90" t="s">
        <v>26</v>
      </c>
      <c r="AA88" s="29" t="s">
        <v>18</v>
      </c>
      <c r="AB88" s="29" t="s">
        <v>22</v>
      </c>
      <c r="AC88" s="90" t="s">
        <v>26</v>
      </c>
      <c r="AD88" s="90" t="s">
        <v>14</v>
      </c>
      <c r="AE88" s="29" t="s">
        <v>18</v>
      </c>
      <c r="AF88" s="90" t="s">
        <v>13</v>
      </c>
      <c r="AG88" s="90" t="s">
        <v>14</v>
      </c>
      <c r="AH88" s="90" t="s">
        <v>14</v>
      </c>
      <c r="AI88" s="29" t="s">
        <v>18</v>
      </c>
      <c r="AJ88" s="90" t="s">
        <v>14</v>
      </c>
      <c r="AK88" s="90" t="s">
        <v>26</v>
      </c>
      <c r="AL88" s="90" t="s">
        <v>13</v>
      </c>
      <c r="AM88" s="90" t="s">
        <v>53</v>
      </c>
      <c r="AN88" s="90" t="s">
        <v>53</v>
      </c>
      <c r="AO88" s="29" t="s">
        <v>18</v>
      </c>
      <c r="AP88" s="90" t="s">
        <v>13</v>
      </c>
      <c r="AQ88" s="29" t="s">
        <v>18</v>
      </c>
      <c r="AR88" s="29" t="s">
        <v>22</v>
      </c>
      <c r="AS88" s="90" t="s">
        <v>26</v>
      </c>
      <c r="AT88" s="90" t="s">
        <v>26</v>
      </c>
      <c r="AU88" s="90" t="s">
        <v>26</v>
      </c>
      <c r="AV88" s="90" t="s">
        <v>26</v>
      </c>
      <c r="AW88" s="90" t="s">
        <v>14</v>
      </c>
      <c r="AX88" s="29" t="s">
        <v>18</v>
      </c>
      <c r="AY88" s="29" t="s">
        <v>22</v>
      </c>
      <c r="AZ88" s="90" t="s">
        <v>26</v>
      </c>
      <c r="BA88" s="29" t="s">
        <v>18</v>
      </c>
      <c r="BB88" s="29" t="s">
        <v>22</v>
      </c>
      <c r="BC88" s="29" t="s">
        <v>18</v>
      </c>
      <c r="BD88" s="29" t="s">
        <v>22</v>
      </c>
      <c r="BE88" s="90" t="s">
        <v>26</v>
      </c>
      <c r="BF88" s="29" t="s">
        <v>22</v>
      </c>
      <c r="BG88" s="29" t="s">
        <v>18</v>
      </c>
      <c r="BJ88" s="29" t="s">
        <v>18</v>
      </c>
      <c r="BK88" s="29" t="s">
        <v>22</v>
      </c>
      <c r="BL88" s="29" t="s">
        <v>18</v>
      </c>
      <c r="BM88" s="29" t="s">
        <v>17</v>
      </c>
      <c r="BN88" s="29" t="s">
        <v>17</v>
      </c>
      <c r="BO88" s="29" t="s">
        <v>17</v>
      </c>
      <c r="BP88" s="29" t="s">
        <v>17</v>
      </c>
      <c r="BQ88" s="29" t="s">
        <v>17</v>
      </c>
      <c r="BR88" s="29" t="s">
        <v>17</v>
      </c>
      <c r="BS88" s="29" t="s">
        <v>17</v>
      </c>
      <c r="BT88" s="29" t="s">
        <v>17</v>
      </c>
      <c r="BU88" s="29" t="s">
        <v>17</v>
      </c>
    </row>
    <row r="89" spans="1:73" x14ac:dyDescent="0.3">
      <c r="A89" s="2">
        <f t="shared" ref="A89:B89" si="68">A88+1</f>
        <v>170</v>
      </c>
      <c r="B89" s="12">
        <f t="shared" si="68"/>
        <v>87</v>
      </c>
      <c r="C89" s="24">
        <v>44731.708333333336</v>
      </c>
      <c r="D89" s="4">
        <v>24</v>
      </c>
      <c r="E89" s="4">
        <f t="shared" si="20"/>
        <v>2064</v>
      </c>
      <c r="F89" s="5">
        <f t="shared" si="21"/>
        <v>86</v>
      </c>
      <c r="G89">
        <f t="shared" si="48"/>
        <v>0</v>
      </c>
      <c r="H89">
        <f t="shared" si="39"/>
        <v>0</v>
      </c>
      <c r="I89">
        <f t="shared" si="40"/>
        <v>0</v>
      </c>
      <c r="J89">
        <f t="shared" si="41"/>
        <v>0</v>
      </c>
      <c r="K89">
        <f t="shared" si="42"/>
        <v>0</v>
      </c>
      <c r="L89" s="86">
        <f t="shared" si="22"/>
        <v>3</v>
      </c>
      <c r="M89" s="86">
        <f t="shared" si="23"/>
        <v>5</v>
      </c>
      <c r="N89" s="91"/>
      <c r="O89">
        <f t="shared" si="24"/>
        <v>9</v>
      </c>
      <c r="P89">
        <f t="shared" si="25"/>
        <v>11</v>
      </c>
      <c r="Q89">
        <f t="shared" si="43"/>
        <v>7</v>
      </c>
      <c r="R89">
        <f t="shared" si="44"/>
        <v>0</v>
      </c>
      <c r="S89">
        <f t="shared" si="27"/>
        <v>11</v>
      </c>
      <c r="T89">
        <f t="shared" si="45"/>
        <v>2</v>
      </c>
      <c r="U89">
        <f t="shared" si="46"/>
        <v>0</v>
      </c>
      <c r="X89" s="90" t="s">
        <v>26</v>
      </c>
      <c r="Y89" s="90" t="s">
        <v>26</v>
      </c>
      <c r="Z89" s="90" t="s">
        <v>26</v>
      </c>
      <c r="AA89" s="29" t="s">
        <v>18</v>
      </c>
      <c r="AB89" s="29" t="s">
        <v>22</v>
      </c>
      <c r="AC89" s="90" t="s">
        <v>26</v>
      </c>
      <c r="AD89" s="90" t="s">
        <v>14</v>
      </c>
      <c r="AE89" s="29" t="s">
        <v>18</v>
      </c>
      <c r="AF89" s="90" t="s">
        <v>13</v>
      </c>
      <c r="AG89" s="90" t="s">
        <v>14</v>
      </c>
      <c r="AH89" s="90" t="s">
        <v>14</v>
      </c>
      <c r="AI89" s="29" t="s">
        <v>18</v>
      </c>
      <c r="AJ89" s="90" t="s">
        <v>14</v>
      </c>
      <c r="AK89" s="90" t="s">
        <v>26</v>
      </c>
      <c r="AL89" s="90" t="s">
        <v>13</v>
      </c>
      <c r="AM89" s="90" t="s">
        <v>53</v>
      </c>
      <c r="AN89" s="90" t="s">
        <v>53</v>
      </c>
      <c r="AO89" s="29" t="s">
        <v>18</v>
      </c>
      <c r="AP89" s="90" t="s">
        <v>13</v>
      </c>
      <c r="AQ89" s="29" t="s">
        <v>18</v>
      </c>
      <c r="AR89" s="29" t="s">
        <v>22</v>
      </c>
      <c r="AS89" s="90" t="s">
        <v>26</v>
      </c>
      <c r="AT89" s="90" t="s">
        <v>26</v>
      </c>
      <c r="AU89" s="90" t="s">
        <v>26</v>
      </c>
      <c r="AV89" s="90" t="s">
        <v>26</v>
      </c>
      <c r="AW89" s="90" t="s">
        <v>14</v>
      </c>
      <c r="AX89" s="29" t="s">
        <v>18</v>
      </c>
      <c r="AY89" s="29" t="s">
        <v>22</v>
      </c>
      <c r="AZ89" s="90" t="s">
        <v>26</v>
      </c>
      <c r="BA89" s="29" t="s">
        <v>18</v>
      </c>
      <c r="BB89" s="29" t="s">
        <v>22</v>
      </c>
      <c r="BC89" s="29" t="s">
        <v>18</v>
      </c>
      <c r="BD89" s="29" t="s">
        <v>22</v>
      </c>
      <c r="BE89" s="90" t="s">
        <v>26</v>
      </c>
      <c r="BF89" s="29" t="s">
        <v>22</v>
      </c>
      <c r="BG89" s="29" t="s">
        <v>18</v>
      </c>
      <c r="BJ89" s="29" t="s">
        <v>18</v>
      </c>
      <c r="BK89" s="29" t="s">
        <v>22</v>
      </c>
      <c r="BL89" s="29" t="s">
        <v>18</v>
      </c>
      <c r="BM89" s="29" t="s">
        <v>17</v>
      </c>
      <c r="BN89" s="29" t="s">
        <v>17</v>
      </c>
      <c r="BO89" s="29" t="s">
        <v>17</v>
      </c>
      <c r="BP89" s="29" t="s">
        <v>17</v>
      </c>
      <c r="BQ89" s="29" t="s">
        <v>17</v>
      </c>
      <c r="BR89" s="29" t="s">
        <v>17</v>
      </c>
      <c r="BS89" s="29" t="s">
        <v>17</v>
      </c>
      <c r="BT89" s="29" t="s">
        <v>17</v>
      </c>
      <c r="BU89" s="29" t="s">
        <v>17</v>
      </c>
    </row>
    <row r="90" spans="1:73" x14ac:dyDescent="0.3">
      <c r="A90" s="2">
        <f t="shared" ref="A90:B90" si="69">A89+1</f>
        <v>171</v>
      </c>
      <c r="B90" s="12">
        <f t="shared" si="69"/>
        <v>88</v>
      </c>
      <c r="C90" s="24">
        <v>44732.708333333336</v>
      </c>
      <c r="D90" s="4">
        <v>24</v>
      </c>
      <c r="E90" s="4">
        <f t="shared" si="20"/>
        <v>2088</v>
      </c>
      <c r="F90" s="5">
        <f t="shared" si="21"/>
        <v>87</v>
      </c>
      <c r="G90">
        <f t="shared" si="48"/>
        <v>0</v>
      </c>
      <c r="H90">
        <f t="shared" si="39"/>
        <v>0</v>
      </c>
      <c r="I90">
        <f t="shared" si="40"/>
        <v>0</v>
      </c>
      <c r="J90">
        <f t="shared" si="41"/>
        <v>0</v>
      </c>
      <c r="K90">
        <f t="shared" si="42"/>
        <v>0</v>
      </c>
      <c r="L90" s="86">
        <f t="shared" si="22"/>
        <v>3</v>
      </c>
      <c r="M90" s="86">
        <f t="shared" si="23"/>
        <v>5</v>
      </c>
      <c r="N90" s="91"/>
      <c r="O90">
        <f t="shared" si="24"/>
        <v>9</v>
      </c>
      <c r="P90">
        <f t="shared" si="25"/>
        <v>11</v>
      </c>
      <c r="Q90">
        <f t="shared" si="43"/>
        <v>7</v>
      </c>
      <c r="R90">
        <f t="shared" si="44"/>
        <v>0</v>
      </c>
      <c r="S90">
        <f t="shared" si="27"/>
        <v>11</v>
      </c>
      <c r="T90">
        <f t="shared" si="45"/>
        <v>2</v>
      </c>
      <c r="U90">
        <f t="shared" si="46"/>
        <v>0</v>
      </c>
      <c r="X90" s="90" t="s">
        <v>26</v>
      </c>
      <c r="Y90" s="90" t="s">
        <v>26</v>
      </c>
      <c r="Z90" s="90" t="s">
        <v>26</v>
      </c>
      <c r="AA90" s="29" t="s">
        <v>18</v>
      </c>
      <c r="AB90" s="29" t="s">
        <v>22</v>
      </c>
      <c r="AC90" s="90" t="s">
        <v>26</v>
      </c>
      <c r="AD90" s="90" t="s">
        <v>14</v>
      </c>
      <c r="AE90" s="29" t="s">
        <v>18</v>
      </c>
      <c r="AF90" s="90" t="s">
        <v>13</v>
      </c>
      <c r="AG90" s="90" t="s">
        <v>14</v>
      </c>
      <c r="AH90" s="90" t="s">
        <v>14</v>
      </c>
      <c r="AI90" s="29" t="s">
        <v>18</v>
      </c>
      <c r="AJ90" s="90" t="s">
        <v>14</v>
      </c>
      <c r="AK90" s="90" t="s">
        <v>26</v>
      </c>
      <c r="AL90" s="90" t="s">
        <v>13</v>
      </c>
      <c r="AM90" s="90" t="s">
        <v>53</v>
      </c>
      <c r="AN90" s="90" t="s">
        <v>53</v>
      </c>
      <c r="AO90" s="29" t="s">
        <v>18</v>
      </c>
      <c r="AP90" s="90" t="s">
        <v>13</v>
      </c>
      <c r="AQ90" s="29" t="s">
        <v>18</v>
      </c>
      <c r="AR90" s="29" t="s">
        <v>22</v>
      </c>
      <c r="AS90" s="90" t="s">
        <v>26</v>
      </c>
      <c r="AT90" s="90" t="s">
        <v>26</v>
      </c>
      <c r="AU90" s="90" t="s">
        <v>26</v>
      </c>
      <c r="AV90" s="90" t="s">
        <v>26</v>
      </c>
      <c r="AW90" s="90" t="s">
        <v>14</v>
      </c>
      <c r="AX90" s="29" t="s">
        <v>18</v>
      </c>
      <c r="AY90" s="29" t="s">
        <v>22</v>
      </c>
      <c r="AZ90" s="90" t="s">
        <v>26</v>
      </c>
      <c r="BA90" s="29" t="s">
        <v>18</v>
      </c>
      <c r="BB90" s="29" t="s">
        <v>22</v>
      </c>
      <c r="BC90" s="29" t="s">
        <v>18</v>
      </c>
      <c r="BD90" s="29" t="s">
        <v>22</v>
      </c>
      <c r="BE90" s="90" t="s">
        <v>26</v>
      </c>
      <c r="BF90" s="29" t="s">
        <v>22</v>
      </c>
      <c r="BG90" s="29" t="s">
        <v>18</v>
      </c>
      <c r="BJ90" s="29" t="s">
        <v>18</v>
      </c>
      <c r="BK90" s="29" t="s">
        <v>22</v>
      </c>
      <c r="BL90" s="29" t="s">
        <v>18</v>
      </c>
      <c r="BM90" s="29" t="s">
        <v>17</v>
      </c>
      <c r="BN90" s="29" t="s">
        <v>17</v>
      </c>
      <c r="BO90" s="29" t="s">
        <v>17</v>
      </c>
      <c r="BP90" s="29" t="s">
        <v>17</v>
      </c>
      <c r="BQ90" s="29" t="s">
        <v>17</v>
      </c>
      <c r="BR90" s="29" t="s">
        <v>17</v>
      </c>
      <c r="BS90" s="29" t="s">
        <v>17</v>
      </c>
      <c r="BT90" s="29" t="s">
        <v>17</v>
      </c>
      <c r="BU90" s="29" t="s">
        <v>17</v>
      </c>
    </row>
    <row r="91" spans="1:73" x14ac:dyDescent="0.3">
      <c r="A91" s="2">
        <f t="shared" ref="A91:B91" si="70">A90+1</f>
        <v>172</v>
      </c>
      <c r="B91" s="12">
        <f t="shared" si="70"/>
        <v>89</v>
      </c>
      <c r="C91" s="24">
        <v>44733.708333333336</v>
      </c>
      <c r="D91" s="4">
        <v>24</v>
      </c>
      <c r="E91" s="4">
        <f t="shared" si="20"/>
        <v>2112</v>
      </c>
      <c r="F91" s="5">
        <f t="shared" si="21"/>
        <v>88</v>
      </c>
      <c r="G91">
        <f t="shared" si="48"/>
        <v>0</v>
      </c>
      <c r="H91">
        <f t="shared" si="39"/>
        <v>0</v>
      </c>
      <c r="I91">
        <f t="shared" si="40"/>
        <v>0</v>
      </c>
      <c r="J91">
        <f t="shared" si="41"/>
        <v>0</v>
      </c>
      <c r="K91">
        <f t="shared" si="42"/>
        <v>0</v>
      </c>
      <c r="L91" s="86">
        <f t="shared" si="22"/>
        <v>3</v>
      </c>
      <c r="M91" s="86">
        <f t="shared" si="23"/>
        <v>5</v>
      </c>
      <c r="N91" s="91"/>
      <c r="O91">
        <f t="shared" si="24"/>
        <v>9</v>
      </c>
      <c r="P91">
        <f t="shared" si="25"/>
        <v>11</v>
      </c>
      <c r="Q91">
        <f t="shared" si="43"/>
        <v>7</v>
      </c>
      <c r="R91">
        <f t="shared" si="44"/>
        <v>0</v>
      </c>
      <c r="S91">
        <f t="shared" si="27"/>
        <v>11</v>
      </c>
      <c r="T91">
        <f t="shared" si="45"/>
        <v>2</v>
      </c>
      <c r="U91">
        <f t="shared" si="46"/>
        <v>0</v>
      </c>
      <c r="X91" s="90" t="s">
        <v>26</v>
      </c>
      <c r="Y91" s="90" t="s">
        <v>26</v>
      </c>
      <c r="Z91" s="90" t="s">
        <v>26</v>
      </c>
      <c r="AA91" s="29" t="s">
        <v>18</v>
      </c>
      <c r="AB91" s="29" t="s">
        <v>22</v>
      </c>
      <c r="AC91" s="90" t="s">
        <v>26</v>
      </c>
      <c r="AD91" s="90" t="s">
        <v>14</v>
      </c>
      <c r="AE91" s="29" t="s">
        <v>18</v>
      </c>
      <c r="AF91" s="90" t="s">
        <v>13</v>
      </c>
      <c r="AG91" s="90" t="s">
        <v>14</v>
      </c>
      <c r="AH91" s="90" t="s">
        <v>14</v>
      </c>
      <c r="AI91" s="29" t="s">
        <v>18</v>
      </c>
      <c r="AJ91" s="90" t="s">
        <v>14</v>
      </c>
      <c r="AK91" s="90" t="s">
        <v>26</v>
      </c>
      <c r="AL91" s="90" t="s">
        <v>13</v>
      </c>
      <c r="AM91" s="90" t="s">
        <v>53</v>
      </c>
      <c r="AN91" s="90" t="s">
        <v>53</v>
      </c>
      <c r="AO91" s="29" t="s">
        <v>18</v>
      </c>
      <c r="AP91" s="90" t="s">
        <v>13</v>
      </c>
      <c r="AQ91" s="29" t="s">
        <v>18</v>
      </c>
      <c r="AR91" s="29" t="s">
        <v>22</v>
      </c>
      <c r="AS91" s="90" t="s">
        <v>26</v>
      </c>
      <c r="AT91" s="90" t="s">
        <v>26</v>
      </c>
      <c r="AU91" s="90" t="s">
        <v>26</v>
      </c>
      <c r="AV91" s="90" t="s">
        <v>26</v>
      </c>
      <c r="AW91" s="90" t="s">
        <v>14</v>
      </c>
      <c r="AX91" s="29" t="s">
        <v>18</v>
      </c>
      <c r="AY91" s="29" t="s">
        <v>22</v>
      </c>
      <c r="AZ91" s="90" t="s">
        <v>26</v>
      </c>
      <c r="BA91" s="29" t="s">
        <v>18</v>
      </c>
      <c r="BB91" s="29" t="s">
        <v>22</v>
      </c>
      <c r="BC91" s="29" t="s">
        <v>18</v>
      </c>
      <c r="BD91" s="29" t="s">
        <v>22</v>
      </c>
      <c r="BE91" s="90" t="s">
        <v>26</v>
      </c>
      <c r="BF91" s="29" t="s">
        <v>22</v>
      </c>
      <c r="BG91" s="29" t="s">
        <v>18</v>
      </c>
      <c r="BJ91" s="29" t="s">
        <v>18</v>
      </c>
      <c r="BK91" s="29" t="s">
        <v>22</v>
      </c>
      <c r="BL91" s="29" t="s">
        <v>18</v>
      </c>
      <c r="BM91" s="29" t="s">
        <v>17</v>
      </c>
      <c r="BN91" s="29" t="s">
        <v>17</v>
      </c>
      <c r="BO91" s="29" t="s">
        <v>17</v>
      </c>
      <c r="BP91" s="29" t="s">
        <v>17</v>
      </c>
      <c r="BQ91" s="29" t="s">
        <v>17</v>
      </c>
      <c r="BR91" s="29" t="s">
        <v>17</v>
      </c>
      <c r="BS91" s="29" t="s">
        <v>17</v>
      </c>
      <c r="BT91" s="29" t="s">
        <v>17</v>
      </c>
      <c r="BU91" s="29" t="s">
        <v>17</v>
      </c>
    </row>
    <row r="92" spans="1:73" x14ac:dyDescent="0.3">
      <c r="A92" s="2">
        <f t="shared" ref="A92:B92" si="71">A91+1</f>
        <v>173</v>
      </c>
      <c r="B92" s="12">
        <f t="shared" si="71"/>
        <v>90</v>
      </c>
      <c r="C92" s="24">
        <v>44734.708333333336</v>
      </c>
      <c r="D92" s="4">
        <v>24</v>
      </c>
      <c r="E92" s="4">
        <f t="shared" si="20"/>
        <v>2136</v>
      </c>
      <c r="F92" s="5">
        <f t="shared" si="21"/>
        <v>89</v>
      </c>
      <c r="G92">
        <f t="shared" si="48"/>
        <v>0</v>
      </c>
      <c r="H92">
        <f t="shared" si="39"/>
        <v>0</v>
      </c>
      <c r="I92">
        <f t="shared" si="40"/>
        <v>0</v>
      </c>
      <c r="J92">
        <f t="shared" si="41"/>
        <v>0</v>
      </c>
      <c r="K92">
        <f t="shared" si="42"/>
        <v>0</v>
      </c>
      <c r="L92" s="86">
        <f t="shared" si="22"/>
        <v>3</v>
      </c>
      <c r="M92" s="86">
        <f t="shared" si="23"/>
        <v>5</v>
      </c>
      <c r="N92" s="91"/>
      <c r="O92">
        <f t="shared" si="24"/>
        <v>9</v>
      </c>
      <c r="P92">
        <f t="shared" si="25"/>
        <v>11</v>
      </c>
      <c r="Q92">
        <f t="shared" si="43"/>
        <v>7</v>
      </c>
      <c r="R92">
        <f t="shared" si="44"/>
        <v>0</v>
      </c>
      <c r="S92">
        <f t="shared" si="27"/>
        <v>11</v>
      </c>
      <c r="T92">
        <f t="shared" si="45"/>
        <v>2</v>
      </c>
      <c r="U92">
        <f t="shared" si="46"/>
        <v>0</v>
      </c>
      <c r="X92" s="90" t="s">
        <v>26</v>
      </c>
      <c r="Y92" s="90" t="s">
        <v>26</v>
      </c>
      <c r="Z92" s="90" t="s">
        <v>26</v>
      </c>
      <c r="AA92" s="29" t="s">
        <v>18</v>
      </c>
      <c r="AB92" s="29" t="s">
        <v>22</v>
      </c>
      <c r="AC92" s="90" t="s">
        <v>26</v>
      </c>
      <c r="AD92" s="90" t="s">
        <v>14</v>
      </c>
      <c r="AE92" s="29" t="s">
        <v>18</v>
      </c>
      <c r="AF92" s="90" t="s">
        <v>13</v>
      </c>
      <c r="AG92" s="90" t="s">
        <v>14</v>
      </c>
      <c r="AH92" s="90" t="s">
        <v>14</v>
      </c>
      <c r="AI92" s="29" t="s">
        <v>18</v>
      </c>
      <c r="AJ92" s="90" t="s">
        <v>14</v>
      </c>
      <c r="AK92" s="90" t="s">
        <v>26</v>
      </c>
      <c r="AL92" s="90" t="s">
        <v>13</v>
      </c>
      <c r="AM92" s="90" t="s">
        <v>53</v>
      </c>
      <c r="AN92" s="90" t="s">
        <v>53</v>
      </c>
      <c r="AO92" s="29" t="s">
        <v>18</v>
      </c>
      <c r="AP92" s="90" t="s">
        <v>13</v>
      </c>
      <c r="AQ92" s="29" t="s">
        <v>18</v>
      </c>
      <c r="AR92" s="29" t="s">
        <v>22</v>
      </c>
      <c r="AS92" s="90" t="s">
        <v>26</v>
      </c>
      <c r="AT92" s="90" t="s">
        <v>26</v>
      </c>
      <c r="AU92" s="90" t="s">
        <v>26</v>
      </c>
      <c r="AV92" s="90" t="s">
        <v>26</v>
      </c>
      <c r="AW92" s="90" t="s">
        <v>14</v>
      </c>
      <c r="AX92" s="29" t="s">
        <v>18</v>
      </c>
      <c r="AY92" s="29" t="s">
        <v>22</v>
      </c>
      <c r="AZ92" s="90" t="s">
        <v>26</v>
      </c>
      <c r="BA92" s="29" t="s">
        <v>18</v>
      </c>
      <c r="BB92" s="29" t="s">
        <v>22</v>
      </c>
      <c r="BC92" s="29" t="s">
        <v>18</v>
      </c>
      <c r="BD92" s="29" t="s">
        <v>22</v>
      </c>
      <c r="BE92" s="90" t="s">
        <v>26</v>
      </c>
      <c r="BF92" s="29" t="s">
        <v>22</v>
      </c>
      <c r="BG92" s="29" t="s">
        <v>18</v>
      </c>
      <c r="BJ92" s="29" t="s">
        <v>18</v>
      </c>
      <c r="BK92" s="29" t="s">
        <v>22</v>
      </c>
      <c r="BL92" s="29" t="s">
        <v>18</v>
      </c>
      <c r="BM92" s="29" t="s">
        <v>17</v>
      </c>
      <c r="BN92" s="29" t="s">
        <v>17</v>
      </c>
      <c r="BO92" s="29" t="s">
        <v>17</v>
      </c>
      <c r="BP92" s="29" t="s">
        <v>17</v>
      </c>
      <c r="BQ92" s="29" t="s">
        <v>17</v>
      </c>
      <c r="BR92" s="29" t="s">
        <v>17</v>
      </c>
      <c r="BS92" s="29" t="s">
        <v>17</v>
      </c>
      <c r="BT92" s="29" t="s">
        <v>17</v>
      </c>
      <c r="BU92" s="29" t="s">
        <v>17</v>
      </c>
    </row>
    <row r="93" spans="1:73" x14ac:dyDescent="0.3">
      <c r="A93" s="2">
        <f t="shared" ref="A93:B93" si="72">A92+1</f>
        <v>174</v>
      </c>
      <c r="B93" s="12">
        <f t="shared" si="72"/>
        <v>91</v>
      </c>
      <c r="C93" s="24">
        <v>44735.708333333336</v>
      </c>
      <c r="D93" s="4">
        <v>24</v>
      </c>
      <c r="E93" s="4">
        <f t="shared" si="20"/>
        <v>2160</v>
      </c>
      <c r="F93" s="5">
        <f t="shared" si="21"/>
        <v>90</v>
      </c>
      <c r="G93">
        <f t="shared" si="48"/>
        <v>0</v>
      </c>
      <c r="H93">
        <f t="shared" si="39"/>
        <v>0</v>
      </c>
      <c r="I93">
        <f t="shared" si="40"/>
        <v>0</v>
      </c>
      <c r="J93">
        <f t="shared" si="41"/>
        <v>0</v>
      </c>
      <c r="K93">
        <f t="shared" si="42"/>
        <v>0</v>
      </c>
      <c r="L93" s="86">
        <f t="shared" si="22"/>
        <v>3</v>
      </c>
      <c r="M93" s="86">
        <f t="shared" si="23"/>
        <v>5</v>
      </c>
      <c r="N93" s="91"/>
      <c r="O93">
        <f t="shared" si="24"/>
        <v>9</v>
      </c>
      <c r="P93">
        <f t="shared" si="25"/>
        <v>11</v>
      </c>
      <c r="Q93">
        <f t="shared" si="43"/>
        <v>7</v>
      </c>
      <c r="R93">
        <f t="shared" si="44"/>
        <v>0</v>
      </c>
      <c r="S93">
        <f t="shared" si="27"/>
        <v>11</v>
      </c>
      <c r="T93">
        <f t="shared" si="45"/>
        <v>2</v>
      </c>
      <c r="U93">
        <f t="shared" si="46"/>
        <v>0</v>
      </c>
      <c r="X93" s="90" t="s">
        <v>26</v>
      </c>
      <c r="Y93" s="90" t="s">
        <v>26</v>
      </c>
      <c r="Z93" s="90" t="s">
        <v>26</v>
      </c>
      <c r="AA93" s="29" t="s">
        <v>18</v>
      </c>
      <c r="AB93" s="29" t="s">
        <v>22</v>
      </c>
      <c r="AC93" s="90" t="s">
        <v>26</v>
      </c>
      <c r="AD93" s="90" t="s">
        <v>14</v>
      </c>
      <c r="AE93" s="29" t="s">
        <v>18</v>
      </c>
      <c r="AF93" s="90" t="s">
        <v>13</v>
      </c>
      <c r="AG93" s="90" t="s">
        <v>14</v>
      </c>
      <c r="AH93" s="90" t="s">
        <v>14</v>
      </c>
      <c r="AI93" s="29" t="s">
        <v>18</v>
      </c>
      <c r="AJ93" s="90" t="s">
        <v>14</v>
      </c>
      <c r="AK93" s="90" t="s">
        <v>26</v>
      </c>
      <c r="AL93" s="90" t="s">
        <v>13</v>
      </c>
      <c r="AM93" s="90" t="s">
        <v>53</v>
      </c>
      <c r="AN93" s="90" t="s">
        <v>53</v>
      </c>
      <c r="AO93" s="29" t="s">
        <v>18</v>
      </c>
      <c r="AP93" s="90" t="s">
        <v>13</v>
      </c>
      <c r="AQ93" s="29" t="s">
        <v>18</v>
      </c>
      <c r="AR93" s="29" t="s">
        <v>22</v>
      </c>
      <c r="AS93" s="90" t="s">
        <v>26</v>
      </c>
      <c r="AT93" s="90" t="s">
        <v>26</v>
      </c>
      <c r="AU93" s="90" t="s">
        <v>26</v>
      </c>
      <c r="AV93" s="90" t="s">
        <v>26</v>
      </c>
      <c r="AW93" s="90" t="s">
        <v>14</v>
      </c>
      <c r="AX93" s="29" t="s">
        <v>18</v>
      </c>
      <c r="AY93" s="29" t="s">
        <v>22</v>
      </c>
      <c r="AZ93" s="90" t="s">
        <v>26</v>
      </c>
      <c r="BA93" s="29" t="s">
        <v>18</v>
      </c>
      <c r="BB93" s="29" t="s">
        <v>22</v>
      </c>
      <c r="BC93" s="29" t="s">
        <v>18</v>
      </c>
      <c r="BD93" s="29" t="s">
        <v>22</v>
      </c>
      <c r="BE93" s="90" t="s">
        <v>26</v>
      </c>
      <c r="BF93" s="29" t="s">
        <v>22</v>
      </c>
      <c r="BG93" s="29" t="s">
        <v>18</v>
      </c>
      <c r="BJ93" s="29" t="s">
        <v>18</v>
      </c>
      <c r="BK93" s="29" t="s">
        <v>22</v>
      </c>
      <c r="BL93" s="29" t="s">
        <v>18</v>
      </c>
      <c r="BM93" s="29" t="s">
        <v>17</v>
      </c>
      <c r="BN93" s="29" t="s">
        <v>17</v>
      </c>
      <c r="BO93" s="29" t="s">
        <v>17</v>
      </c>
      <c r="BP93" s="29" t="s">
        <v>17</v>
      </c>
      <c r="BQ93" s="29" t="s">
        <v>17</v>
      </c>
      <c r="BR93" s="29" t="s">
        <v>17</v>
      </c>
      <c r="BS93" s="29" t="s">
        <v>17</v>
      </c>
      <c r="BT93" s="29" t="s">
        <v>17</v>
      </c>
      <c r="BU93" s="29" t="s">
        <v>17</v>
      </c>
    </row>
    <row r="94" spans="1:73" x14ac:dyDescent="0.3">
      <c r="A94" s="2">
        <f t="shared" ref="A94:B94" si="73">A93+1</f>
        <v>175</v>
      </c>
      <c r="B94" s="12">
        <f t="shared" si="73"/>
        <v>92</v>
      </c>
      <c r="C94" s="24">
        <v>44736.708333333336</v>
      </c>
      <c r="D94" s="4">
        <v>24</v>
      </c>
      <c r="E94" s="4">
        <f t="shared" si="20"/>
        <v>2184</v>
      </c>
      <c r="F94" s="5">
        <f t="shared" si="21"/>
        <v>91</v>
      </c>
      <c r="G94">
        <f t="shared" si="48"/>
        <v>0</v>
      </c>
      <c r="H94">
        <f t="shared" si="39"/>
        <v>0</v>
      </c>
      <c r="I94">
        <f t="shared" si="40"/>
        <v>0</v>
      </c>
      <c r="J94">
        <f t="shared" si="41"/>
        <v>0</v>
      </c>
      <c r="K94">
        <f t="shared" si="42"/>
        <v>0</v>
      </c>
      <c r="L94" s="86">
        <f t="shared" si="22"/>
        <v>3</v>
      </c>
      <c r="M94" s="86">
        <f t="shared" si="23"/>
        <v>5</v>
      </c>
      <c r="N94" s="91"/>
      <c r="O94">
        <f t="shared" si="24"/>
        <v>9</v>
      </c>
      <c r="P94">
        <f t="shared" si="25"/>
        <v>11</v>
      </c>
      <c r="Q94">
        <f t="shared" si="43"/>
        <v>7</v>
      </c>
      <c r="R94">
        <f t="shared" si="44"/>
        <v>0</v>
      </c>
      <c r="S94">
        <f t="shared" si="27"/>
        <v>11</v>
      </c>
      <c r="T94">
        <f t="shared" si="45"/>
        <v>2</v>
      </c>
      <c r="U94">
        <f t="shared" si="46"/>
        <v>0</v>
      </c>
      <c r="X94" s="90" t="s">
        <v>26</v>
      </c>
      <c r="Y94" s="90" t="s">
        <v>26</v>
      </c>
      <c r="Z94" s="90" t="s">
        <v>26</v>
      </c>
      <c r="AA94" s="29" t="s">
        <v>18</v>
      </c>
      <c r="AB94" s="29" t="s">
        <v>22</v>
      </c>
      <c r="AC94" s="90" t="s">
        <v>26</v>
      </c>
      <c r="AD94" s="90" t="s">
        <v>14</v>
      </c>
      <c r="AE94" s="29" t="s">
        <v>18</v>
      </c>
      <c r="AF94" s="90" t="s">
        <v>13</v>
      </c>
      <c r="AG94" s="90" t="s">
        <v>14</v>
      </c>
      <c r="AH94" s="90" t="s">
        <v>14</v>
      </c>
      <c r="AI94" s="29" t="s">
        <v>18</v>
      </c>
      <c r="AJ94" s="90" t="s">
        <v>14</v>
      </c>
      <c r="AK94" s="90" t="s">
        <v>26</v>
      </c>
      <c r="AL94" s="90" t="s">
        <v>13</v>
      </c>
      <c r="AM94" s="90" t="s">
        <v>53</v>
      </c>
      <c r="AN94" s="90" t="s">
        <v>53</v>
      </c>
      <c r="AO94" s="29" t="s">
        <v>18</v>
      </c>
      <c r="AP94" s="90" t="s">
        <v>13</v>
      </c>
      <c r="AQ94" s="29" t="s">
        <v>18</v>
      </c>
      <c r="AR94" s="29" t="s">
        <v>22</v>
      </c>
      <c r="AS94" s="90" t="s">
        <v>26</v>
      </c>
      <c r="AT94" s="90" t="s">
        <v>26</v>
      </c>
      <c r="AU94" s="90" t="s">
        <v>26</v>
      </c>
      <c r="AV94" s="90" t="s">
        <v>26</v>
      </c>
      <c r="AW94" s="90" t="s">
        <v>14</v>
      </c>
      <c r="AX94" s="29" t="s">
        <v>18</v>
      </c>
      <c r="AY94" s="29" t="s">
        <v>22</v>
      </c>
      <c r="AZ94" s="90" t="s">
        <v>26</v>
      </c>
      <c r="BA94" s="29" t="s">
        <v>18</v>
      </c>
      <c r="BB94" s="29" t="s">
        <v>22</v>
      </c>
      <c r="BC94" s="29" t="s">
        <v>18</v>
      </c>
      <c r="BD94" s="29" t="s">
        <v>22</v>
      </c>
      <c r="BE94" s="90" t="s">
        <v>26</v>
      </c>
      <c r="BF94" s="29" t="s">
        <v>22</v>
      </c>
      <c r="BG94" s="29" t="s">
        <v>18</v>
      </c>
      <c r="BJ94" s="29" t="s">
        <v>18</v>
      </c>
      <c r="BK94" s="29" t="s">
        <v>22</v>
      </c>
      <c r="BL94" s="29" t="s">
        <v>18</v>
      </c>
      <c r="BM94" s="29" t="s">
        <v>17</v>
      </c>
      <c r="BN94" s="29" t="s">
        <v>17</v>
      </c>
      <c r="BO94" s="29" t="s">
        <v>17</v>
      </c>
      <c r="BP94" s="29" t="s">
        <v>17</v>
      </c>
      <c r="BQ94" s="29" t="s">
        <v>17</v>
      </c>
      <c r="BR94" s="29" t="s">
        <v>17</v>
      </c>
      <c r="BS94" s="29" t="s">
        <v>17</v>
      </c>
      <c r="BT94" s="29" t="s">
        <v>17</v>
      </c>
      <c r="BU94" s="29" t="s">
        <v>17</v>
      </c>
    </row>
    <row r="95" spans="1:73" x14ac:dyDescent="0.3">
      <c r="A95" s="2">
        <f t="shared" ref="A95:B95" si="74">A94+1</f>
        <v>176</v>
      </c>
      <c r="B95" s="12">
        <f t="shared" si="74"/>
        <v>93</v>
      </c>
      <c r="C95" s="24">
        <v>44737.708333333336</v>
      </c>
      <c r="D95" s="4">
        <v>24</v>
      </c>
      <c r="E95" s="4">
        <f t="shared" si="20"/>
        <v>2208</v>
      </c>
      <c r="F95" s="5">
        <f t="shared" si="21"/>
        <v>92</v>
      </c>
      <c r="G95">
        <f t="shared" si="48"/>
        <v>0</v>
      </c>
      <c r="H95">
        <f t="shared" si="39"/>
        <v>0</v>
      </c>
      <c r="I95">
        <f t="shared" si="40"/>
        <v>0</v>
      </c>
      <c r="J95">
        <f t="shared" si="41"/>
        <v>0</v>
      </c>
      <c r="K95">
        <f t="shared" si="42"/>
        <v>0</v>
      </c>
      <c r="L95" s="86">
        <f t="shared" si="22"/>
        <v>3</v>
      </c>
      <c r="M95" s="86">
        <f t="shared" si="23"/>
        <v>5</v>
      </c>
      <c r="N95" s="91"/>
      <c r="O95">
        <f t="shared" si="24"/>
        <v>9</v>
      </c>
      <c r="P95">
        <f t="shared" si="25"/>
        <v>11</v>
      </c>
      <c r="Q95">
        <f t="shared" si="43"/>
        <v>7</v>
      </c>
      <c r="R95">
        <f t="shared" si="44"/>
        <v>0</v>
      </c>
      <c r="S95">
        <f t="shared" si="27"/>
        <v>11</v>
      </c>
      <c r="T95">
        <f t="shared" si="45"/>
        <v>2</v>
      </c>
      <c r="U95">
        <f t="shared" si="46"/>
        <v>0</v>
      </c>
      <c r="X95" s="90" t="s">
        <v>26</v>
      </c>
      <c r="Y95" s="90" t="s">
        <v>26</v>
      </c>
      <c r="Z95" s="90" t="s">
        <v>26</v>
      </c>
      <c r="AA95" s="29" t="s">
        <v>18</v>
      </c>
      <c r="AB95" s="29" t="s">
        <v>22</v>
      </c>
      <c r="AC95" s="90" t="s">
        <v>26</v>
      </c>
      <c r="AD95" s="90" t="s">
        <v>14</v>
      </c>
      <c r="AE95" s="29" t="s">
        <v>18</v>
      </c>
      <c r="AF95" s="90" t="s">
        <v>13</v>
      </c>
      <c r="AG95" s="90" t="s">
        <v>14</v>
      </c>
      <c r="AH95" s="90" t="s">
        <v>14</v>
      </c>
      <c r="AI95" s="29" t="s">
        <v>18</v>
      </c>
      <c r="AJ95" s="90" t="s">
        <v>14</v>
      </c>
      <c r="AK95" s="90" t="s">
        <v>26</v>
      </c>
      <c r="AL95" s="90" t="s">
        <v>13</v>
      </c>
      <c r="AM95" s="90" t="s">
        <v>53</v>
      </c>
      <c r="AN95" s="90" t="s">
        <v>53</v>
      </c>
      <c r="AO95" s="29" t="s">
        <v>18</v>
      </c>
      <c r="AP95" s="90" t="s">
        <v>13</v>
      </c>
      <c r="AQ95" s="29" t="s">
        <v>18</v>
      </c>
      <c r="AR95" s="29" t="s">
        <v>22</v>
      </c>
      <c r="AS95" s="90" t="s">
        <v>26</v>
      </c>
      <c r="AT95" s="90" t="s">
        <v>26</v>
      </c>
      <c r="AU95" s="90" t="s">
        <v>26</v>
      </c>
      <c r="AV95" s="90" t="s">
        <v>26</v>
      </c>
      <c r="AW95" s="90" t="s">
        <v>14</v>
      </c>
      <c r="AX95" s="29" t="s">
        <v>18</v>
      </c>
      <c r="AY95" s="29" t="s">
        <v>22</v>
      </c>
      <c r="AZ95" s="90" t="s">
        <v>26</v>
      </c>
      <c r="BA95" s="29" t="s">
        <v>18</v>
      </c>
      <c r="BB95" s="29" t="s">
        <v>22</v>
      </c>
      <c r="BC95" s="29" t="s">
        <v>18</v>
      </c>
      <c r="BD95" s="29" t="s">
        <v>22</v>
      </c>
      <c r="BE95" s="90" t="s">
        <v>26</v>
      </c>
      <c r="BF95" s="29" t="s">
        <v>22</v>
      </c>
      <c r="BG95" s="29" t="s">
        <v>18</v>
      </c>
      <c r="BJ95" s="29" t="s">
        <v>18</v>
      </c>
      <c r="BK95" s="29" t="s">
        <v>22</v>
      </c>
      <c r="BL95" s="29" t="s">
        <v>18</v>
      </c>
      <c r="BM95" s="29" t="s">
        <v>17</v>
      </c>
      <c r="BN95" s="29" t="s">
        <v>17</v>
      </c>
      <c r="BO95" s="29" t="s">
        <v>17</v>
      </c>
      <c r="BP95" s="29" t="s">
        <v>17</v>
      </c>
      <c r="BQ95" s="29" t="s">
        <v>17</v>
      </c>
      <c r="BR95" s="29" t="s">
        <v>17</v>
      </c>
      <c r="BS95" s="29" t="s">
        <v>17</v>
      </c>
      <c r="BT95" s="29" t="s">
        <v>17</v>
      </c>
      <c r="BU95" s="29" t="s">
        <v>17</v>
      </c>
    </row>
    <row r="96" spans="1:73" x14ac:dyDescent="0.3">
      <c r="A96" s="2">
        <f t="shared" ref="A96:B96" si="75">A95+1</f>
        <v>177</v>
      </c>
      <c r="B96" s="12">
        <f t="shared" si="75"/>
        <v>94</v>
      </c>
      <c r="C96" s="24">
        <v>44738.708333333336</v>
      </c>
      <c r="D96" s="4">
        <v>24</v>
      </c>
      <c r="E96" s="4">
        <f t="shared" si="20"/>
        <v>2232</v>
      </c>
      <c r="F96" s="5">
        <f t="shared" si="21"/>
        <v>93</v>
      </c>
      <c r="G96">
        <f t="shared" si="48"/>
        <v>0</v>
      </c>
      <c r="H96">
        <f t="shared" si="39"/>
        <v>0</v>
      </c>
      <c r="I96">
        <f t="shared" si="40"/>
        <v>0</v>
      </c>
      <c r="J96">
        <f t="shared" si="41"/>
        <v>0</v>
      </c>
      <c r="K96">
        <f t="shared" si="42"/>
        <v>0</v>
      </c>
      <c r="L96" s="86">
        <f t="shared" si="22"/>
        <v>2</v>
      </c>
      <c r="M96" s="86">
        <f t="shared" si="23"/>
        <v>5</v>
      </c>
      <c r="N96" s="91"/>
      <c r="O96">
        <f t="shared" si="24"/>
        <v>9</v>
      </c>
      <c r="P96">
        <f t="shared" si="25"/>
        <v>11</v>
      </c>
      <c r="Q96">
        <f t="shared" si="43"/>
        <v>7</v>
      </c>
      <c r="R96">
        <f t="shared" si="44"/>
        <v>0</v>
      </c>
      <c r="S96">
        <f t="shared" si="27"/>
        <v>11</v>
      </c>
      <c r="T96">
        <f t="shared" si="45"/>
        <v>3</v>
      </c>
      <c r="U96">
        <f t="shared" si="46"/>
        <v>0</v>
      </c>
      <c r="X96" s="90" t="s">
        <v>26</v>
      </c>
      <c r="Y96" s="90" t="s">
        <v>26</v>
      </c>
      <c r="Z96" s="90" t="s">
        <v>26</v>
      </c>
      <c r="AA96" s="29" t="s">
        <v>18</v>
      </c>
      <c r="AB96" s="29" t="s">
        <v>22</v>
      </c>
      <c r="AC96" s="90" t="s">
        <v>26</v>
      </c>
      <c r="AD96" s="90" t="s">
        <v>14</v>
      </c>
      <c r="AE96" s="29" t="s">
        <v>18</v>
      </c>
      <c r="AF96" s="90" t="s">
        <v>13</v>
      </c>
      <c r="AG96" s="90" t="s">
        <v>14</v>
      </c>
      <c r="AH96" s="90" t="s">
        <v>14</v>
      </c>
      <c r="AI96" s="29" t="s">
        <v>18</v>
      </c>
      <c r="AJ96" s="90" t="s">
        <v>14</v>
      </c>
      <c r="AK96" s="90" t="s">
        <v>26</v>
      </c>
      <c r="AL96" s="90" t="s">
        <v>13</v>
      </c>
      <c r="AM96" s="90" t="s">
        <v>53</v>
      </c>
      <c r="AN96" s="90" t="s">
        <v>53</v>
      </c>
      <c r="AO96" s="29" t="s">
        <v>18</v>
      </c>
      <c r="AP96" s="90" t="s">
        <v>53</v>
      </c>
      <c r="AQ96" s="29" t="s">
        <v>18</v>
      </c>
      <c r="AR96" s="29" t="s">
        <v>22</v>
      </c>
      <c r="AS96" s="90" t="s">
        <v>26</v>
      </c>
      <c r="AT96" s="90" t="s">
        <v>26</v>
      </c>
      <c r="AU96" s="90" t="s">
        <v>26</v>
      </c>
      <c r="AV96" s="90" t="s">
        <v>26</v>
      </c>
      <c r="AW96" s="90" t="s">
        <v>14</v>
      </c>
      <c r="AX96" s="29" t="s">
        <v>18</v>
      </c>
      <c r="AY96" s="29" t="s">
        <v>22</v>
      </c>
      <c r="AZ96" s="90" t="s">
        <v>26</v>
      </c>
      <c r="BA96" s="29" t="s">
        <v>18</v>
      </c>
      <c r="BB96" s="29" t="s">
        <v>22</v>
      </c>
      <c r="BC96" s="29" t="s">
        <v>18</v>
      </c>
      <c r="BD96" s="29" t="s">
        <v>22</v>
      </c>
      <c r="BE96" s="90" t="s">
        <v>26</v>
      </c>
      <c r="BF96" s="29" t="s">
        <v>22</v>
      </c>
      <c r="BG96" s="29" t="s">
        <v>18</v>
      </c>
      <c r="BJ96" s="29" t="s">
        <v>18</v>
      </c>
      <c r="BK96" s="29" t="s">
        <v>22</v>
      </c>
      <c r="BL96" s="29" t="s">
        <v>18</v>
      </c>
      <c r="BM96" s="29" t="s">
        <v>17</v>
      </c>
      <c r="BN96" s="29" t="s">
        <v>17</v>
      </c>
      <c r="BO96" s="29" t="s">
        <v>17</v>
      </c>
      <c r="BP96" s="29" t="s">
        <v>17</v>
      </c>
      <c r="BQ96" s="29" t="s">
        <v>17</v>
      </c>
      <c r="BR96" s="29" t="s">
        <v>17</v>
      </c>
      <c r="BS96" s="29" t="s">
        <v>17</v>
      </c>
      <c r="BT96" s="29" t="s">
        <v>17</v>
      </c>
      <c r="BU96" s="29" t="s">
        <v>17</v>
      </c>
    </row>
    <row r="97" spans="1:73" x14ac:dyDescent="0.3">
      <c r="A97" s="2">
        <f t="shared" ref="A97:B97" si="76">A96+1</f>
        <v>178</v>
      </c>
      <c r="B97" s="12">
        <f t="shared" si="76"/>
        <v>95</v>
      </c>
      <c r="C97" s="24">
        <v>44739.708333333336</v>
      </c>
      <c r="D97" s="4">
        <v>24</v>
      </c>
      <c r="E97" s="4">
        <f t="shared" si="20"/>
        <v>2256</v>
      </c>
      <c r="F97" s="5">
        <f t="shared" si="21"/>
        <v>94</v>
      </c>
      <c r="G97">
        <f t="shared" si="48"/>
        <v>0</v>
      </c>
      <c r="H97">
        <f t="shared" si="39"/>
        <v>0</v>
      </c>
      <c r="I97">
        <f t="shared" si="40"/>
        <v>0</v>
      </c>
      <c r="J97">
        <f t="shared" si="41"/>
        <v>0</v>
      </c>
      <c r="K97">
        <f t="shared" si="42"/>
        <v>0</v>
      </c>
      <c r="L97" s="86">
        <f t="shared" si="22"/>
        <v>2</v>
      </c>
      <c r="M97" s="86">
        <f t="shared" si="23"/>
        <v>5</v>
      </c>
      <c r="N97" s="91"/>
      <c r="O97">
        <f t="shared" si="24"/>
        <v>9</v>
      </c>
      <c r="P97">
        <f t="shared" si="25"/>
        <v>11</v>
      </c>
      <c r="Q97">
        <f t="shared" si="43"/>
        <v>7</v>
      </c>
      <c r="R97">
        <f t="shared" si="44"/>
        <v>0</v>
      </c>
      <c r="S97">
        <f t="shared" si="27"/>
        <v>11</v>
      </c>
      <c r="T97">
        <f t="shared" si="45"/>
        <v>3</v>
      </c>
      <c r="U97">
        <f t="shared" si="46"/>
        <v>0</v>
      </c>
      <c r="X97" s="90" t="s">
        <v>26</v>
      </c>
      <c r="Y97" s="90" t="s">
        <v>26</v>
      </c>
      <c r="Z97" s="90" t="s">
        <v>26</v>
      </c>
      <c r="AA97" s="29" t="s">
        <v>18</v>
      </c>
      <c r="AB97" s="29" t="s">
        <v>22</v>
      </c>
      <c r="AC97" s="90" t="s">
        <v>26</v>
      </c>
      <c r="AD97" s="90" t="s">
        <v>14</v>
      </c>
      <c r="AE97" s="29" t="s">
        <v>18</v>
      </c>
      <c r="AF97" s="90" t="s">
        <v>13</v>
      </c>
      <c r="AG97" s="90" t="s">
        <v>14</v>
      </c>
      <c r="AH97" s="90" t="s">
        <v>14</v>
      </c>
      <c r="AI97" s="29" t="s">
        <v>18</v>
      </c>
      <c r="AJ97" s="90" t="s">
        <v>14</v>
      </c>
      <c r="AK97" s="90" t="s">
        <v>26</v>
      </c>
      <c r="AL97" s="90" t="s">
        <v>13</v>
      </c>
      <c r="AM97" s="90" t="s">
        <v>53</v>
      </c>
      <c r="AN97" s="90" t="s">
        <v>53</v>
      </c>
      <c r="AO97" s="29" t="s">
        <v>18</v>
      </c>
      <c r="AP97" s="90" t="s">
        <v>53</v>
      </c>
      <c r="AQ97" s="29" t="s">
        <v>18</v>
      </c>
      <c r="AR97" s="29" t="s">
        <v>22</v>
      </c>
      <c r="AS97" s="90" t="s">
        <v>26</v>
      </c>
      <c r="AT97" s="90" t="s">
        <v>26</v>
      </c>
      <c r="AU97" s="90" t="s">
        <v>26</v>
      </c>
      <c r="AV97" s="90" t="s">
        <v>26</v>
      </c>
      <c r="AW97" s="90" t="s">
        <v>14</v>
      </c>
      <c r="AX97" s="29" t="s">
        <v>18</v>
      </c>
      <c r="AY97" s="29" t="s">
        <v>22</v>
      </c>
      <c r="AZ97" s="90" t="s">
        <v>26</v>
      </c>
      <c r="BA97" s="29" t="s">
        <v>18</v>
      </c>
      <c r="BB97" s="29" t="s">
        <v>22</v>
      </c>
      <c r="BC97" s="29" t="s">
        <v>18</v>
      </c>
      <c r="BD97" s="29" t="s">
        <v>22</v>
      </c>
      <c r="BE97" s="90" t="s">
        <v>26</v>
      </c>
      <c r="BF97" s="29" t="s">
        <v>22</v>
      </c>
      <c r="BG97" s="29" t="s">
        <v>18</v>
      </c>
      <c r="BJ97" s="29" t="s">
        <v>18</v>
      </c>
      <c r="BK97" s="29" t="s">
        <v>22</v>
      </c>
      <c r="BL97" s="29" t="s">
        <v>18</v>
      </c>
      <c r="BM97" s="29" t="s">
        <v>17</v>
      </c>
      <c r="BN97" s="29" t="s">
        <v>17</v>
      </c>
      <c r="BO97" s="29" t="s">
        <v>17</v>
      </c>
      <c r="BP97" s="29" t="s">
        <v>17</v>
      </c>
      <c r="BQ97" s="29" t="s">
        <v>17</v>
      </c>
      <c r="BR97" s="29" t="s">
        <v>17</v>
      </c>
      <c r="BS97" s="29" t="s">
        <v>17</v>
      </c>
      <c r="BT97" s="29" t="s">
        <v>17</v>
      </c>
      <c r="BU97" s="29" t="s">
        <v>17</v>
      </c>
    </row>
    <row r="98" spans="1:73" x14ac:dyDescent="0.3">
      <c r="A98" s="2">
        <f t="shared" ref="A98:B98" si="77">A97+1</f>
        <v>179</v>
      </c>
      <c r="B98" s="12">
        <f t="shared" si="77"/>
        <v>96</v>
      </c>
      <c r="C98" s="24">
        <v>44740.708333333336</v>
      </c>
      <c r="D98" s="4">
        <v>24</v>
      </c>
      <c r="E98" s="4">
        <f t="shared" si="20"/>
        <v>2280</v>
      </c>
      <c r="F98" s="5">
        <f t="shared" si="21"/>
        <v>95</v>
      </c>
      <c r="G98">
        <f t="shared" si="48"/>
        <v>0</v>
      </c>
      <c r="H98">
        <f t="shared" si="39"/>
        <v>0</v>
      </c>
      <c r="I98">
        <f t="shared" si="40"/>
        <v>0</v>
      </c>
      <c r="J98">
        <f t="shared" si="41"/>
        <v>0</v>
      </c>
      <c r="K98">
        <f t="shared" si="42"/>
        <v>0</v>
      </c>
      <c r="L98" s="86">
        <f t="shared" si="22"/>
        <v>2</v>
      </c>
      <c r="M98" s="86">
        <f t="shared" si="23"/>
        <v>5</v>
      </c>
      <c r="N98" s="91"/>
      <c r="O98">
        <f t="shared" si="24"/>
        <v>9</v>
      </c>
      <c r="P98">
        <f t="shared" si="25"/>
        <v>11</v>
      </c>
      <c r="Q98">
        <f t="shared" si="43"/>
        <v>7</v>
      </c>
      <c r="R98">
        <f t="shared" si="44"/>
        <v>0</v>
      </c>
      <c r="S98">
        <f t="shared" si="27"/>
        <v>11</v>
      </c>
      <c r="T98">
        <f t="shared" si="45"/>
        <v>3</v>
      </c>
      <c r="U98">
        <f t="shared" si="46"/>
        <v>0</v>
      </c>
      <c r="X98" s="90" t="s">
        <v>26</v>
      </c>
      <c r="Y98" s="90" t="s">
        <v>26</v>
      </c>
      <c r="Z98" s="90" t="s">
        <v>26</v>
      </c>
      <c r="AA98" s="29" t="s">
        <v>18</v>
      </c>
      <c r="AB98" s="29" t="s">
        <v>22</v>
      </c>
      <c r="AC98" s="90" t="s">
        <v>26</v>
      </c>
      <c r="AD98" s="90" t="s">
        <v>14</v>
      </c>
      <c r="AE98" s="29" t="s">
        <v>18</v>
      </c>
      <c r="AF98" s="90" t="s">
        <v>13</v>
      </c>
      <c r="AG98" s="90" t="s">
        <v>14</v>
      </c>
      <c r="AH98" s="90" t="s">
        <v>14</v>
      </c>
      <c r="AI98" s="29" t="s">
        <v>18</v>
      </c>
      <c r="AJ98" s="90" t="s">
        <v>14</v>
      </c>
      <c r="AK98" s="90" t="s">
        <v>26</v>
      </c>
      <c r="AL98" s="90" t="s">
        <v>13</v>
      </c>
      <c r="AM98" s="90" t="s">
        <v>53</v>
      </c>
      <c r="AN98" s="90" t="s">
        <v>53</v>
      </c>
      <c r="AO98" s="29" t="s">
        <v>18</v>
      </c>
      <c r="AP98" s="90" t="s">
        <v>53</v>
      </c>
      <c r="AQ98" s="29" t="s">
        <v>18</v>
      </c>
      <c r="AR98" s="29" t="s">
        <v>22</v>
      </c>
      <c r="AS98" s="90" t="s">
        <v>26</v>
      </c>
      <c r="AT98" s="90" t="s">
        <v>26</v>
      </c>
      <c r="AU98" s="90" t="s">
        <v>26</v>
      </c>
      <c r="AV98" s="90" t="s">
        <v>26</v>
      </c>
      <c r="AW98" s="90" t="s">
        <v>14</v>
      </c>
      <c r="AX98" s="29" t="s">
        <v>18</v>
      </c>
      <c r="AY98" s="29" t="s">
        <v>22</v>
      </c>
      <c r="AZ98" s="90" t="s">
        <v>26</v>
      </c>
      <c r="BA98" s="29" t="s">
        <v>18</v>
      </c>
      <c r="BB98" s="29" t="s">
        <v>22</v>
      </c>
      <c r="BC98" s="29" t="s">
        <v>18</v>
      </c>
      <c r="BD98" s="29" t="s">
        <v>22</v>
      </c>
      <c r="BE98" s="90" t="s">
        <v>26</v>
      </c>
      <c r="BF98" s="29" t="s">
        <v>22</v>
      </c>
      <c r="BG98" s="29" t="s">
        <v>18</v>
      </c>
      <c r="BJ98" s="29" t="s">
        <v>18</v>
      </c>
      <c r="BK98" s="29" t="s">
        <v>22</v>
      </c>
      <c r="BL98" s="29" t="s">
        <v>18</v>
      </c>
      <c r="BM98" s="29" t="s">
        <v>17</v>
      </c>
      <c r="BN98" s="29" t="s">
        <v>17</v>
      </c>
      <c r="BO98" s="29" t="s">
        <v>17</v>
      </c>
      <c r="BP98" s="29" t="s">
        <v>17</v>
      </c>
      <c r="BQ98" s="29" t="s">
        <v>17</v>
      </c>
      <c r="BR98" s="29" t="s">
        <v>17</v>
      </c>
      <c r="BS98" s="29" t="s">
        <v>17</v>
      </c>
      <c r="BT98" s="29" t="s">
        <v>17</v>
      </c>
      <c r="BU98" s="29" t="s">
        <v>17</v>
      </c>
    </row>
    <row r="99" spans="1:73" x14ac:dyDescent="0.3">
      <c r="A99" s="2">
        <f t="shared" ref="A99:B99" si="78">A98+1</f>
        <v>180</v>
      </c>
      <c r="B99" s="12">
        <f t="shared" si="78"/>
        <v>97</v>
      </c>
      <c r="C99" s="24">
        <v>44741.708333333336</v>
      </c>
      <c r="D99" s="4">
        <v>24</v>
      </c>
      <c r="E99" s="4">
        <f t="shared" si="20"/>
        <v>2304</v>
      </c>
      <c r="F99" s="5">
        <f t="shared" si="21"/>
        <v>96</v>
      </c>
      <c r="G99">
        <f t="shared" si="48"/>
        <v>0</v>
      </c>
      <c r="H99">
        <f t="shared" si="39"/>
        <v>0</v>
      </c>
      <c r="I99">
        <f t="shared" si="40"/>
        <v>0</v>
      </c>
      <c r="J99">
        <f t="shared" si="41"/>
        <v>0</v>
      </c>
      <c r="K99">
        <f t="shared" si="42"/>
        <v>0</v>
      </c>
      <c r="L99" s="86">
        <f t="shared" si="22"/>
        <v>2</v>
      </c>
      <c r="M99" s="86">
        <f t="shared" si="23"/>
        <v>5</v>
      </c>
      <c r="N99" s="91"/>
      <c r="O99">
        <f t="shared" si="24"/>
        <v>9</v>
      </c>
      <c r="P99">
        <f t="shared" si="25"/>
        <v>11</v>
      </c>
      <c r="Q99">
        <f t="shared" si="43"/>
        <v>7</v>
      </c>
      <c r="R99">
        <f t="shared" si="44"/>
        <v>0</v>
      </c>
      <c r="S99">
        <f t="shared" si="27"/>
        <v>11</v>
      </c>
      <c r="T99">
        <f t="shared" si="45"/>
        <v>3</v>
      </c>
      <c r="U99">
        <f t="shared" si="46"/>
        <v>0</v>
      </c>
      <c r="X99" s="90" t="s">
        <v>26</v>
      </c>
      <c r="Y99" s="90" t="s">
        <v>26</v>
      </c>
      <c r="Z99" s="90" t="s">
        <v>26</v>
      </c>
      <c r="AA99" s="29" t="s">
        <v>18</v>
      </c>
      <c r="AB99" s="29" t="s">
        <v>22</v>
      </c>
      <c r="AC99" s="90" t="s">
        <v>26</v>
      </c>
      <c r="AD99" s="90" t="s">
        <v>14</v>
      </c>
      <c r="AE99" s="29" t="s">
        <v>18</v>
      </c>
      <c r="AF99" s="90" t="s">
        <v>13</v>
      </c>
      <c r="AG99" s="90" t="s">
        <v>14</v>
      </c>
      <c r="AH99" s="90" t="s">
        <v>14</v>
      </c>
      <c r="AI99" s="29" t="s">
        <v>18</v>
      </c>
      <c r="AJ99" s="90" t="s">
        <v>14</v>
      </c>
      <c r="AK99" s="90" t="s">
        <v>26</v>
      </c>
      <c r="AL99" s="90" t="s">
        <v>13</v>
      </c>
      <c r="AM99" s="90" t="s">
        <v>53</v>
      </c>
      <c r="AN99" s="90" t="s">
        <v>53</v>
      </c>
      <c r="AO99" s="29" t="s">
        <v>18</v>
      </c>
      <c r="AP99" s="90" t="s">
        <v>53</v>
      </c>
      <c r="AQ99" s="29" t="s">
        <v>18</v>
      </c>
      <c r="AR99" s="29" t="s">
        <v>22</v>
      </c>
      <c r="AS99" s="90" t="s">
        <v>26</v>
      </c>
      <c r="AT99" s="90" t="s">
        <v>26</v>
      </c>
      <c r="AU99" s="90" t="s">
        <v>26</v>
      </c>
      <c r="AV99" s="90" t="s">
        <v>26</v>
      </c>
      <c r="AW99" s="90" t="s">
        <v>14</v>
      </c>
      <c r="AX99" s="29" t="s">
        <v>18</v>
      </c>
      <c r="AY99" s="29" t="s">
        <v>22</v>
      </c>
      <c r="AZ99" s="90" t="s">
        <v>26</v>
      </c>
      <c r="BA99" s="29" t="s">
        <v>18</v>
      </c>
      <c r="BB99" s="29" t="s">
        <v>22</v>
      </c>
      <c r="BC99" s="29" t="s">
        <v>18</v>
      </c>
      <c r="BD99" s="29" t="s">
        <v>22</v>
      </c>
      <c r="BE99" s="90" t="s">
        <v>26</v>
      </c>
      <c r="BF99" s="29" t="s">
        <v>22</v>
      </c>
      <c r="BG99" s="29" t="s">
        <v>18</v>
      </c>
      <c r="BJ99" s="29" t="s">
        <v>18</v>
      </c>
      <c r="BK99" s="29" t="s">
        <v>22</v>
      </c>
      <c r="BL99" s="29" t="s">
        <v>18</v>
      </c>
      <c r="BM99" s="29" t="s">
        <v>17</v>
      </c>
      <c r="BN99" s="29" t="s">
        <v>17</v>
      </c>
      <c r="BO99" s="29" t="s">
        <v>17</v>
      </c>
      <c r="BP99" s="29" t="s">
        <v>17</v>
      </c>
      <c r="BQ99" s="29" t="s">
        <v>17</v>
      </c>
      <c r="BR99" s="29" t="s">
        <v>17</v>
      </c>
      <c r="BS99" s="29" t="s">
        <v>17</v>
      </c>
      <c r="BT99" s="29" t="s">
        <v>17</v>
      </c>
      <c r="BU99" s="29" t="s">
        <v>17</v>
      </c>
    </row>
    <row r="100" spans="1:73" x14ac:dyDescent="0.3">
      <c r="A100" s="2">
        <f t="shared" ref="A100:B100" si="79">A99+1</f>
        <v>181</v>
      </c>
      <c r="B100" s="12">
        <f t="shared" si="79"/>
        <v>98</v>
      </c>
      <c r="C100" s="24">
        <v>44742.708333333336</v>
      </c>
      <c r="D100" s="4">
        <v>24</v>
      </c>
      <c r="E100" s="4">
        <f t="shared" si="20"/>
        <v>2328</v>
      </c>
      <c r="F100" s="5">
        <f t="shared" si="21"/>
        <v>97</v>
      </c>
      <c r="G100">
        <f t="shared" si="48"/>
        <v>0</v>
      </c>
      <c r="H100">
        <f t="shared" si="39"/>
        <v>0</v>
      </c>
      <c r="I100">
        <f t="shared" si="40"/>
        <v>0</v>
      </c>
      <c r="J100">
        <f t="shared" si="41"/>
        <v>0</v>
      </c>
      <c r="K100">
        <f t="shared" si="42"/>
        <v>0</v>
      </c>
      <c r="L100" s="86">
        <f t="shared" si="22"/>
        <v>2</v>
      </c>
      <c r="M100" s="86">
        <f t="shared" si="23"/>
        <v>4</v>
      </c>
      <c r="N100" s="91"/>
      <c r="O100">
        <f t="shared" si="24"/>
        <v>9</v>
      </c>
      <c r="P100">
        <f t="shared" si="25"/>
        <v>11</v>
      </c>
      <c r="Q100">
        <f t="shared" si="43"/>
        <v>7</v>
      </c>
      <c r="R100">
        <f t="shared" si="44"/>
        <v>0</v>
      </c>
      <c r="S100">
        <f t="shared" si="27"/>
        <v>11</v>
      </c>
      <c r="T100">
        <f t="shared" si="45"/>
        <v>3</v>
      </c>
      <c r="U100">
        <f t="shared" si="46"/>
        <v>1</v>
      </c>
      <c r="X100" s="90" t="s">
        <v>26</v>
      </c>
      <c r="Y100" s="90" t="s">
        <v>26</v>
      </c>
      <c r="Z100" s="90" t="s">
        <v>26</v>
      </c>
      <c r="AA100" s="29" t="s">
        <v>18</v>
      </c>
      <c r="AB100" s="29" t="s">
        <v>22</v>
      </c>
      <c r="AC100" s="90" t="s">
        <v>26</v>
      </c>
      <c r="AD100" s="90" t="s">
        <v>14</v>
      </c>
      <c r="AE100" s="29" t="s">
        <v>18</v>
      </c>
      <c r="AF100" s="90" t="s">
        <v>13</v>
      </c>
      <c r="AG100" s="90" t="s">
        <v>14</v>
      </c>
      <c r="AH100" s="90" t="s">
        <v>14</v>
      </c>
      <c r="AI100" s="29" t="s">
        <v>18</v>
      </c>
      <c r="AJ100" s="90" t="s">
        <v>14</v>
      </c>
      <c r="AK100" s="90" t="s">
        <v>26</v>
      </c>
      <c r="AL100" s="90" t="s">
        <v>13</v>
      </c>
      <c r="AM100" s="90" t="s">
        <v>53</v>
      </c>
      <c r="AN100" s="90" t="s">
        <v>53</v>
      </c>
      <c r="AO100" s="29" t="s">
        <v>18</v>
      </c>
      <c r="AP100" s="90" t="s">
        <v>53</v>
      </c>
      <c r="AQ100" s="29" t="s">
        <v>18</v>
      </c>
      <c r="AR100" s="29" t="s">
        <v>22</v>
      </c>
      <c r="AS100" s="90" t="s">
        <v>26</v>
      </c>
      <c r="AT100" s="90" t="s">
        <v>26</v>
      </c>
      <c r="AU100" s="90" t="s">
        <v>26</v>
      </c>
      <c r="AV100" s="90" t="s">
        <v>26</v>
      </c>
      <c r="AW100" s="90" t="s">
        <v>54</v>
      </c>
      <c r="AX100" s="29" t="s">
        <v>18</v>
      </c>
      <c r="AY100" s="29" t="s">
        <v>22</v>
      </c>
      <c r="AZ100" s="90" t="s">
        <v>26</v>
      </c>
      <c r="BA100" s="29" t="s">
        <v>18</v>
      </c>
      <c r="BB100" s="29" t="s">
        <v>22</v>
      </c>
      <c r="BC100" s="29" t="s">
        <v>18</v>
      </c>
      <c r="BD100" s="29" t="s">
        <v>22</v>
      </c>
      <c r="BE100" s="90" t="s">
        <v>26</v>
      </c>
      <c r="BF100" s="29" t="s">
        <v>22</v>
      </c>
      <c r="BG100" s="29" t="s">
        <v>18</v>
      </c>
      <c r="BJ100" s="29" t="s">
        <v>18</v>
      </c>
      <c r="BK100" s="29" t="s">
        <v>22</v>
      </c>
      <c r="BL100" s="29" t="s">
        <v>18</v>
      </c>
      <c r="BM100" s="29" t="s">
        <v>17</v>
      </c>
      <c r="BN100" s="29" t="s">
        <v>17</v>
      </c>
      <c r="BO100" s="29" t="s">
        <v>17</v>
      </c>
      <c r="BP100" s="29" t="s">
        <v>17</v>
      </c>
      <c r="BQ100" s="29" t="s">
        <v>17</v>
      </c>
      <c r="BR100" s="29" t="s">
        <v>17</v>
      </c>
      <c r="BS100" s="29" t="s">
        <v>17</v>
      </c>
      <c r="BT100" s="29" t="s">
        <v>17</v>
      </c>
      <c r="BU100" s="29" t="s">
        <v>17</v>
      </c>
    </row>
    <row r="101" spans="1:73" x14ac:dyDescent="0.3">
      <c r="A101" s="2">
        <f t="shared" ref="A101:B101" si="80">A100+1</f>
        <v>182</v>
      </c>
      <c r="B101" s="12">
        <f t="shared" si="80"/>
        <v>99</v>
      </c>
      <c r="C101" s="24">
        <v>44743.708333333336</v>
      </c>
      <c r="D101" s="4">
        <v>24</v>
      </c>
      <c r="E101" s="4">
        <f t="shared" si="20"/>
        <v>2352</v>
      </c>
      <c r="F101" s="5">
        <f t="shared" si="21"/>
        <v>98</v>
      </c>
      <c r="G101">
        <f t="shared" si="48"/>
        <v>0</v>
      </c>
      <c r="H101">
        <f t="shared" si="39"/>
        <v>0</v>
      </c>
      <c r="I101">
        <f t="shared" si="40"/>
        <v>0</v>
      </c>
      <c r="J101">
        <f t="shared" si="41"/>
        <v>0</v>
      </c>
      <c r="K101">
        <f t="shared" si="42"/>
        <v>0</v>
      </c>
      <c r="L101" s="86">
        <f t="shared" si="22"/>
        <v>2</v>
      </c>
      <c r="M101" s="86">
        <f t="shared" si="23"/>
        <v>4</v>
      </c>
      <c r="N101" s="91"/>
      <c r="O101">
        <f t="shared" si="24"/>
        <v>9</v>
      </c>
      <c r="P101">
        <f t="shared" si="25"/>
        <v>11</v>
      </c>
      <c r="Q101">
        <f t="shared" si="43"/>
        <v>7</v>
      </c>
      <c r="R101">
        <f t="shared" si="44"/>
        <v>0</v>
      </c>
      <c r="S101">
        <f t="shared" si="27"/>
        <v>11</v>
      </c>
      <c r="T101">
        <f t="shared" si="45"/>
        <v>3</v>
      </c>
      <c r="U101">
        <f t="shared" si="46"/>
        <v>1</v>
      </c>
      <c r="X101" s="90" t="s">
        <v>26</v>
      </c>
      <c r="Y101" s="90" t="s">
        <v>26</v>
      </c>
      <c r="Z101" s="90" t="s">
        <v>26</v>
      </c>
      <c r="AA101" s="29" t="s">
        <v>18</v>
      </c>
      <c r="AB101" s="29" t="s">
        <v>22</v>
      </c>
      <c r="AC101" s="90" t="s">
        <v>26</v>
      </c>
      <c r="AD101" s="90" t="s">
        <v>14</v>
      </c>
      <c r="AE101" s="29" t="s">
        <v>18</v>
      </c>
      <c r="AF101" s="90" t="s">
        <v>13</v>
      </c>
      <c r="AG101" s="90" t="s">
        <v>14</v>
      </c>
      <c r="AH101" s="90" t="s">
        <v>14</v>
      </c>
      <c r="AI101" s="29" t="s">
        <v>18</v>
      </c>
      <c r="AJ101" s="90" t="s">
        <v>14</v>
      </c>
      <c r="AK101" s="90" t="s">
        <v>26</v>
      </c>
      <c r="AL101" s="90" t="s">
        <v>13</v>
      </c>
      <c r="AM101" s="90" t="s">
        <v>53</v>
      </c>
      <c r="AN101" s="90" t="s">
        <v>53</v>
      </c>
      <c r="AO101" s="29" t="s">
        <v>18</v>
      </c>
      <c r="AP101" s="90" t="s">
        <v>53</v>
      </c>
      <c r="AQ101" s="29" t="s">
        <v>18</v>
      </c>
      <c r="AR101" s="29" t="s">
        <v>22</v>
      </c>
      <c r="AS101" s="90" t="s">
        <v>26</v>
      </c>
      <c r="AT101" s="90" t="s">
        <v>26</v>
      </c>
      <c r="AU101" s="90" t="s">
        <v>26</v>
      </c>
      <c r="AV101" s="90" t="s">
        <v>26</v>
      </c>
      <c r="AW101" s="90" t="s">
        <v>54</v>
      </c>
      <c r="AX101" s="29" t="s">
        <v>18</v>
      </c>
      <c r="AY101" s="29" t="s">
        <v>22</v>
      </c>
      <c r="AZ101" s="90" t="s">
        <v>26</v>
      </c>
      <c r="BA101" s="29" t="s">
        <v>18</v>
      </c>
      <c r="BB101" s="29" t="s">
        <v>22</v>
      </c>
      <c r="BC101" s="29" t="s">
        <v>18</v>
      </c>
      <c r="BD101" s="29" t="s">
        <v>22</v>
      </c>
      <c r="BE101" s="90" t="s">
        <v>26</v>
      </c>
      <c r="BF101" s="29" t="s">
        <v>22</v>
      </c>
      <c r="BG101" s="29" t="s">
        <v>18</v>
      </c>
      <c r="BJ101" s="29" t="s">
        <v>18</v>
      </c>
      <c r="BK101" s="29" t="s">
        <v>22</v>
      </c>
      <c r="BL101" s="29" t="s">
        <v>18</v>
      </c>
      <c r="BM101" s="29" t="s">
        <v>17</v>
      </c>
      <c r="BN101" s="29" t="s">
        <v>17</v>
      </c>
      <c r="BO101" s="29" t="s">
        <v>17</v>
      </c>
      <c r="BP101" s="29" t="s">
        <v>17</v>
      </c>
      <c r="BQ101" s="29" t="s">
        <v>17</v>
      </c>
      <c r="BR101" s="29" t="s">
        <v>17</v>
      </c>
      <c r="BS101" s="29" t="s">
        <v>17</v>
      </c>
      <c r="BT101" s="29" t="s">
        <v>17</v>
      </c>
      <c r="BU101" s="29" t="s">
        <v>17</v>
      </c>
    </row>
    <row r="102" spans="1:73" x14ac:dyDescent="0.3">
      <c r="A102" s="2">
        <f t="shared" ref="A102:B102" si="81">A101+1</f>
        <v>183</v>
      </c>
      <c r="B102" s="12">
        <f t="shared" si="81"/>
        <v>100</v>
      </c>
      <c r="C102" s="24">
        <v>44744.708333333336</v>
      </c>
      <c r="D102" s="4">
        <v>24</v>
      </c>
      <c r="E102" s="4">
        <f t="shared" si="20"/>
        <v>2376</v>
      </c>
      <c r="F102" s="5">
        <f t="shared" si="21"/>
        <v>99</v>
      </c>
      <c r="G102">
        <f t="shared" si="48"/>
        <v>0</v>
      </c>
      <c r="H102">
        <f t="shared" si="39"/>
        <v>0</v>
      </c>
      <c r="I102">
        <f t="shared" si="40"/>
        <v>0</v>
      </c>
      <c r="J102">
        <f t="shared" si="41"/>
        <v>0</v>
      </c>
      <c r="K102">
        <f t="shared" si="42"/>
        <v>0</v>
      </c>
      <c r="L102" s="86">
        <f t="shared" si="22"/>
        <v>2</v>
      </c>
      <c r="M102" s="86">
        <f t="shared" si="23"/>
        <v>4</v>
      </c>
      <c r="N102" s="91"/>
      <c r="O102">
        <f t="shared" si="24"/>
        <v>9</v>
      </c>
      <c r="P102">
        <f t="shared" si="25"/>
        <v>11</v>
      </c>
      <c r="Q102">
        <f t="shared" si="43"/>
        <v>7</v>
      </c>
      <c r="R102">
        <f t="shared" si="44"/>
        <v>0</v>
      </c>
      <c r="S102">
        <f t="shared" si="27"/>
        <v>11</v>
      </c>
      <c r="T102">
        <f t="shared" si="45"/>
        <v>3</v>
      </c>
      <c r="U102">
        <f t="shared" si="46"/>
        <v>1</v>
      </c>
      <c r="X102" s="90" t="s">
        <v>26</v>
      </c>
      <c r="Y102" s="90" t="s">
        <v>26</v>
      </c>
      <c r="Z102" s="90" t="s">
        <v>26</v>
      </c>
      <c r="AA102" s="29" t="s">
        <v>18</v>
      </c>
      <c r="AB102" s="29" t="s">
        <v>22</v>
      </c>
      <c r="AC102" s="90" t="s">
        <v>26</v>
      </c>
      <c r="AD102" s="90" t="s">
        <v>14</v>
      </c>
      <c r="AE102" s="29" t="s">
        <v>18</v>
      </c>
      <c r="AF102" s="90" t="s">
        <v>13</v>
      </c>
      <c r="AG102" s="90" t="s">
        <v>14</v>
      </c>
      <c r="AH102" s="90" t="s">
        <v>14</v>
      </c>
      <c r="AI102" s="29" t="s">
        <v>18</v>
      </c>
      <c r="AJ102" s="90" t="s">
        <v>14</v>
      </c>
      <c r="AK102" s="90" t="s">
        <v>26</v>
      </c>
      <c r="AL102" s="90" t="s">
        <v>13</v>
      </c>
      <c r="AM102" s="90" t="s">
        <v>53</v>
      </c>
      <c r="AN102" s="90" t="s">
        <v>53</v>
      </c>
      <c r="AO102" s="29" t="s">
        <v>18</v>
      </c>
      <c r="AP102" s="90" t="s">
        <v>53</v>
      </c>
      <c r="AQ102" s="29" t="s">
        <v>18</v>
      </c>
      <c r="AR102" s="29" t="s">
        <v>22</v>
      </c>
      <c r="AS102" s="90" t="s">
        <v>26</v>
      </c>
      <c r="AT102" s="90" t="s">
        <v>26</v>
      </c>
      <c r="AU102" s="90" t="s">
        <v>26</v>
      </c>
      <c r="AV102" s="90" t="s">
        <v>26</v>
      </c>
      <c r="AW102" s="90" t="s">
        <v>54</v>
      </c>
      <c r="AX102" s="29" t="s">
        <v>18</v>
      </c>
      <c r="AY102" s="29" t="s">
        <v>22</v>
      </c>
      <c r="AZ102" s="90" t="s">
        <v>26</v>
      </c>
      <c r="BA102" s="29" t="s">
        <v>18</v>
      </c>
      <c r="BB102" s="29" t="s">
        <v>22</v>
      </c>
      <c r="BC102" s="29" t="s">
        <v>18</v>
      </c>
      <c r="BD102" s="29" t="s">
        <v>22</v>
      </c>
      <c r="BE102" s="90" t="s">
        <v>26</v>
      </c>
      <c r="BF102" s="29" t="s">
        <v>22</v>
      </c>
      <c r="BG102" s="29" t="s">
        <v>18</v>
      </c>
      <c r="BJ102" s="29" t="s">
        <v>18</v>
      </c>
      <c r="BK102" s="29" t="s">
        <v>22</v>
      </c>
      <c r="BL102" s="29" t="s">
        <v>18</v>
      </c>
      <c r="BM102" s="29" t="s">
        <v>17</v>
      </c>
      <c r="BN102" s="29" t="s">
        <v>17</v>
      </c>
      <c r="BO102" s="29" t="s">
        <v>17</v>
      </c>
      <c r="BP102" s="29" t="s">
        <v>17</v>
      </c>
      <c r="BQ102" s="29" t="s">
        <v>17</v>
      </c>
      <c r="BR102" s="29" t="s">
        <v>17</v>
      </c>
      <c r="BS102" s="29" t="s">
        <v>17</v>
      </c>
      <c r="BT102" s="29" t="s">
        <v>17</v>
      </c>
      <c r="BU102" s="29" t="s">
        <v>17</v>
      </c>
    </row>
    <row r="103" spans="1:73" x14ac:dyDescent="0.3">
      <c r="A103" s="2">
        <f t="shared" ref="A103:B103" si="82">A102+1</f>
        <v>184</v>
      </c>
      <c r="B103" s="12">
        <f t="shared" si="82"/>
        <v>101</v>
      </c>
      <c r="C103" s="24">
        <v>44745.708333333336</v>
      </c>
      <c r="D103" s="4">
        <v>24</v>
      </c>
      <c r="E103" s="4">
        <f t="shared" si="20"/>
        <v>2400</v>
      </c>
      <c r="F103" s="5">
        <f t="shared" si="21"/>
        <v>100</v>
      </c>
      <c r="G103">
        <f t="shared" si="48"/>
        <v>0</v>
      </c>
      <c r="H103">
        <f t="shared" si="39"/>
        <v>0</v>
      </c>
      <c r="I103">
        <f t="shared" si="40"/>
        <v>0</v>
      </c>
      <c r="J103">
        <f t="shared" si="41"/>
        <v>0</v>
      </c>
      <c r="K103">
        <f t="shared" si="42"/>
        <v>0</v>
      </c>
      <c r="L103" s="86">
        <f t="shared" si="22"/>
        <v>2</v>
      </c>
      <c r="M103" s="86">
        <f t="shared" si="23"/>
        <v>4</v>
      </c>
      <c r="N103" s="91"/>
      <c r="O103">
        <f t="shared" si="24"/>
        <v>9</v>
      </c>
      <c r="P103">
        <f t="shared" si="25"/>
        <v>11</v>
      </c>
      <c r="Q103">
        <f t="shared" si="43"/>
        <v>7</v>
      </c>
      <c r="R103">
        <f t="shared" si="44"/>
        <v>0</v>
      </c>
      <c r="S103">
        <f t="shared" si="27"/>
        <v>11</v>
      </c>
      <c r="T103">
        <f t="shared" si="45"/>
        <v>3</v>
      </c>
      <c r="U103">
        <f t="shared" si="46"/>
        <v>1</v>
      </c>
      <c r="X103" s="90" t="s">
        <v>26</v>
      </c>
      <c r="Y103" s="90" t="s">
        <v>26</v>
      </c>
      <c r="Z103" s="90" t="s">
        <v>26</v>
      </c>
      <c r="AA103" s="29" t="s">
        <v>18</v>
      </c>
      <c r="AB103" s="29" t="s">
        <v>22</v>
      </c>
      <c r="AC103" s="90" t="s">
        <v>26</v>
      </c>
      <c r="AD103" s="90" t="s">
        <v>14</v>
      </c>
      <c r="AE103" s="29" t="s">
        <v>18</v>
      </c>
      <c r="AF103" s="90" t="s">
        <v>13</v>
      </c>
      <c r="AG103" s="90" t="s">
        <v>14</v>
      </c>
      <c r="AH103" s="90" t="s">
        <v>14</v>
      </c>
      <c r="AI103" s="29" t="s">
        <v>18</v>
      </c>
      <c r="AJ103" s="90" t="s">
        <v>14</v>
      </c>
      <c r="AK103" s="90" t="s">
        <v>26</v>
      </c>
      <c r="AL103" s="90" t="s">
        <v>13</v>
      </c>
      <c r="AM103" s="90" t="s">
        <v>53</v>
      </c>
      <c r="AN103" s="90" t="s">
        <v>53</v>
      </c>
      <c r="AO103" s="29" t="s">
        <v>18</v>
      </c>
      <c r="AP103" s="90" t="s">
        <v>53</v>
      </c>
      <c r="AQ103" s="29" t="s">
        <v>18</v>
      </c>
      <c r="AR103" s="29" t="s">
        <v>22</v>
      </c>
      <c r="AS103" s="90" t="s">
        <v>26</v>
      </c>
      <c r="AT103" s="90" t="s">
        <v>26</v>
      </c>
      <c r="AU103" s="90" t="s">
        <v>26</v>
      </c>
      <c r="AV103" s="90" t="s">
        <v>26</v>
      </c>
      <c r="AW103" s="90" t="s">
        <v>54</v>
      </c>
      <c r="AX103" s="29" t="s">
        <v>18</v>
      </c>
      <c r="AY103" s="29" t="s">
        <v>22</v>
      </c>
      <c r="AZ103" s="90" t="s">
        <v>26</v>
      </c>
      <c r="BA103" s="29" t="s">
        <v>18</v>
      </c>
      <c r="BB103" s="29" t="s">
        <v>22</v>
      </c>
      <c r="BC103" s="29" t="s">
        <v>18</v>
      </c>
      <c r="BD103" s="29" t="s">
        <v>22</v>
      </c>
      <c r="BE103" s="90" t="s">
        <v>26</v>
      </c>
      <c r="BF103" s="29" t="s">
        <v>22</v>
      </c>
      <c r="BG103" s="29" t="s">
        <v>18</v>
      </c>
      <c r="BJ103" s="29" t="s">
        <v>18</v>
      </c>
      <c r="BK103" s="29" t="s">
        <v>22</v>
      </c>
      <c r="BL103" s="29" t="s">
        <v>18</v>
      </c>
      <c r="BM103" s="29" t="s">
        <v>17</v>
      </c>
      <c r="BN103" s="29" t="s">
        <v>17</v>
      </c>
      <c r="BO103" s="29" t="s">
        <v>17</v>
      </c>
      <c r="BP103" s="29" t="s">
        <v>17</v>
      </c>
      <c r="BQ103" s="29" t="s">
        <v>17</v>
      </c>
      <c r="BR103" s="29" t="s">
        <v>17</v>
      </c>
      <c r="BS103" s="29" t="s">
        <v>17</v>
      </c>
      <c r="BT103" s="29" t="s">
        <v>17</v>
      </c>
      <c r="BU103" s="29" t="s">
        <v>17</v>
      </c>
    </row>
    <row r="104" spans="1:73" x14ac:dyDescent="0.3">
      <c r="A104" s="2">
        <f t="shared" ref="A104:B104" si="83">A103+1</f>
        <v>185</v>
      </c>
      <c r="B104" s="12">
        <f t="shared" si="83"/>
        <v>102</v>
      </c>
      <c r="C104" s="24">
        <v>44746.708333333336</v>
      </c>
      <c r="D104" s="4">
        <v>24</v>
      </c>
      <c r="E104" s="4">
        <f t="shared" si="20"/>
        <v>2424</v>
      </c>
      <c r="F104" s="5">
        <f t="shared" si="21"/>
        <v>101</v>
      </c>
      <c r="G104">
        <f t="shared" si="48"/>
        <v>0</v>
      </c>
      <c r="H104">
        <f t="shared" si="39"/>
        <v>0</v>
      </c>
      <c r="I104">
        <f t="shared" si="40"/>
        <v>0</v>
      </c>
      <c r="J104">
        <f t="shared" si="41"/>
        <v>0</v>
      </c>
      <c r="K104">
        <f t="shared" si="42"/>
        <v>0</v>
      </c>
      <c r="L104" s="86">
        <f t="shared" si="22"/>
        <v>2</v>
      </c>
      <c r="M104" s="86">
        <f t="shared" si="23"/>
        <v>3</v>
      </c>
      <c r="N104" s="91"/>
      <c r="O104">
        <f t="shared" si="24"/>
        <v>9</v>
      </c>
      <c r="P104">
        <f t="shared" si="25"/>
        <v>11</v>
      </c>
      <c r="Q104">
        <f t="shared" si="43"/>
        <v>7</v>
      </c>
      <c r="R104">
        <f t="shared" si="44"/>
        <v>0</v>
      </c>
      <c r="S104">
        <f t="shared" si="27"/>
        <v>11</v>
      </c>
      <c r="T104">
        <f t="shared" si="45"/>
        <v>3</v>
      </c>
      <c r="U104">
        <f t="shared" si="46"/>
        <v>2</v>
      </c>
      <c r="X104" s="90" t="s">
        <v>26</v>
      </c>
      <c r="Y104" s="90" t="s">
        <v>26</v>
      </c>
      <c r="Z104" s="90" t="s">
        <v>26</v>
      </c>
      <c r="AA104" s="29" t="s">
        <v>18</v>
      </c>
      <c r="AB104" s="29" t="s">
        <v>22</v>
      </c>
      <c r="AC104" s="90" t="s">
        <v>26</v>
      </c>
      <c r="AD104" s="90" t="s">
        <v>14</v>
      </c>
      <c r="AE104" s="29" t="s">
        <v>18</v>
      </c>
      <c r="AF104" s="90" t="s">
        <v>13</v>
      </c>
      <c r="AG104" s="90" t="s">
        <v>14</v>
      </c>
      <c r="AH104" s="90" t="s">
        <v>14</v>
      </c>
      <c r="AI104" s="29" t="s">
        <v>18</v>
      </c>
      <c r="AJ104" s="90" t="s">
        <v>54</v>
      </c>
      <c r="AK104" s="90" t="s">
        <v>26</v>
      </c>
      <c r="AL104" s="90" t="s">
        <v>13</v>
      </c>
      <c r="AM104" s="90" t="s">
        <v>53</v>
      </c>
      <c r="AN104" s="90" t="s">
        <v>53</v>
      </c>
      <c r="AO104" s="29" t="s">
        <v>18</v>
      </c>
      <c r="AP104" s="90" t="s">
        <v>53</v>
      </c>
      <c r="AQ104" s="29" t="s">
        <v>18</v>
      </c>
      <c r="AR104" s="29" t="s">
        <v>22</v>
      </c>
      <c r="AS104" s="90" t="s">
        <v>26</v>
      </c>
      <c r="AT104" s="90" t="s">
        <v>26</v>
      </c>
      <c r="AU104" s="90" t="s">
        <v>26</v>
      </c>
      <c r="AV104" s="90" t="s">
        <v>26</v>
      </c>
      <c r="AW104" s="90" t="s">
        <v>54</v>
      </c>
      <c r="AX104" s="29" t="s">
        <v>18</v>
      </c>
      <c r="AY104" s="29" t="s">
        <v>22</v>
      </c>
      <c r="AZ104" s="90" t="s">
        <v>26</v>
      </c>
      <c r="BA104" s="29" t="s">
        <v>18</v>
      </c>
      <c r="BB104" s="29" t="s">
        <v>22</v>
      </c>
      <c r="BC104" s="29" t="s">
        <v>18</v>
      </c>
      <c r="BD104" s="29" t="s">
        <v>22</v>
      </c>
      <c r="BE104" s="90" t="s">
        <v>26</v>
      </c>
      <c r="BF104" s="29" t="s">
        <v>22</v>
      </c>
      <c r="BG104" s="29" t="s">
        <v>18</v>
      </c>
      <c r="BJ104" s="29" t="s">
        <v>18</v>
      </c>
      <c r="BK104" s="29" t="s">
        <v>22</v>
      </c>
      <c r="BL104" s="29" t="s">
        <v>18</v>
      </c>
      <c r="BM104" s="29" t="s">
        <v>17</v>
      </c>
      <c r="BN104" s="29" t="s">
        <v>17</v>
      </c>
      <c r="BO104" s="29" t="s">
        <v>17</v>
      </c>
      <c r="BP104" s="29" t="s">
        <v>17</v>
      </c>
      <c r="BQ104" s="29" t="s">
        <v>17</v>
      </c>
      <c r="BR104" s="29" t="s">
        <v>17</v>
      </c>
      <c r="BS104" s="29" t="s">
        <v>17</v>
      </c>
      <c r="BT104" s="29" t="s">
        <v>17</v>
      </c>
      <c r="BU104" s="29" t="s">
        <v>17</v>
      </c>
    </row>
    <row r="105" spans="1:73" x14ac:dyDescent="0.3">
      <c r="A105" s="2">
        <f t="shared" ref="A105:B105" si="84">A104+1</f>
        <v>186</v>
      </c>
      <c r="B105" s="12">
        <f t="shared" si="84"/>
        <v>103</v>
      </c>
      <c r="C105" s="24">
        <v>44747.708333333336</v>
      </c>
      <c r="D105" s="4">
        <v>24</v>
      </c>
      <c r="E105" s="4">
        <f t="shared" si="20"/>
        <v>2448</v>
      </c>
      <c r="F105" s="5">
        <f t="shared" si="21"/>
        <v>102</v>
      </c>
      <c r="G105">
        <f t="shared" si="48"/>
        <v>0</v>
      </c>
      <c r="H105">
        <f t="shared" si="39"/>
        <v>0</v>
      </c>
      <c r="I105">
        <f t="shared" si="40"/>
        <v>0</v>
      </c>
      <c r="J105">
        <f t="shared" si="41"/>
        <v>0</v>
      </c>
      <c r="K105">
        <f t="shared" si="42"/>
        <v>0</v>
      </c>
      <c r="L105" s="86">
        <f t="shared" si="22"/>
        <v>2</v>
      </c>
      <c r="M105" s="86">
        <f t="shared" si="23"/>
        <v>3</v>
      </c>
      <c r="N105" s="91"/>
      <c r="O105">
        <f t="shared" si="24"/>
        <v>9</v>
      </c>
      <c r="P105">
        <f t="shared" si="25"/>
        <v>11</v>
      </c>
      <c r="Q105">
        <f t="shared" si="43"/>
        <v>7</v>
      </c>
      <c r="R105">
        <f t="shared" si="44"/>
        <v>0</v>
      </c>
      <c r="S105">
        <f t="shared" si="27"/>
        <v>11</v>
      </c>
      <c r="T105">
        <f t="shared" si="45"/>
        <v>3</v>
      </c>
      <c r="U105">
        <f t="shared" si="46"/>
        <v>2</v>
      </c>
      <c r="X105" s="90" t="s">
        <v>26</v>
      </c>
      <c r="Y105" s="90" t="s">
        <v>26</v>
      </c>
      <c r="Z105" s="90" t="s">
        <v>26</v>
      </c>
      <c r="AA105" s="29" t="s">
        <v>18</v>
      </c>
      <c r="AB105" s="29" t="s">
        <v>22</v>
      </c>
      <c r="AC105" s="90" t="s">
        <v>26</v>
      </c>
      <c r="AD105" s="90" t="s">
        <v>14</v>
      </c>
      <c r="AE105" s="29" t="s">
        <v>18</v>
      </c>
      <c r="AF105" s="90" t="s">
        <v>13</v>
      </c>
      <c r="AG105" s="90" t="s">
        <v>14</v>
      </c>
      <c r="AH105" s="90" t="s">
        <v>14</v>
      </c>
      <c r="AI105" s="29" t="s">
        <v>18</v>
      </c>
      <c r="AJ105" s="90" t="s">
        <v>54</v>
      </c>
      <c r="AK105" s="90" t="s">
        <v>26</v>
      </c>
      <c r="AL105" s="90" t="s">
        <v>13</v>
      </c>
      <c r="AM105" s="90" t="s">
        <v>53</v>
      </c>
      <c r="AN105" s="90" t="s">
        <v>53</v>
      </c>
      <c r="AO105" s="29" t="s">
        <v>18</v>
      </c>
      <c r="AP105" s="90" t="s">
        <v>53</v>
      </c>
      <c r="AQ105" s="29" t="s">
        <v>18</v>
      </c>
      <c r="AR105" s="29" t="s">
        <v>22</v>
      </c>
      <c r="AS105" s="90" t="s">
        <v>26</v>
      </c>
      <c r="AT105" s="90" t="s">
        <v>26</v>
      </c>
      <c r="AU105" s="90" t="s">
        <v>26</v>
      </c>
      <c r="AV105" s="90" t="s">
        <v>26</v>
      </c>
      <c r="AW105" s="90" t="s">
        <v>54</v>
      </c>
      <c r="AX105" s="29" t="s">
        <v>18</v>
      </c>
      <c r="AY105" s="29" t="s">
        <v>22</v>
      </c>
      <c r="AZ105" s="90" t="s">
        <v>26</v>
      </c>
      <c r="BA105" s="29" t="s">
        <v>18</v>
      </c>
      <c r="BB105" s="29" t="s">
        <v>22</v>
      </c>
      <c r="BC105" s="29" t="s">
        <v>18</v>
      </c>
      <c r="BD105" s="29" t="s">
        <v>22</v>
      </c>
      <c r="BE105" s="90" t="s">
        <v>26</v>
      </c>
      <c r="BF105" s="29" t="s">
        <v>22</v>
      </c>
      <c r="BG105" s="29" t="s">
        <v>18</v>
      </c>
      <c r="BJ105" s="29" t="s">
        <v>18</v>
      </c>
      <c r="BK105" s="29" t="s">
        <v>22</v>
      </c>
      <c r="BL105" s="29" t="s">
        <v>18</v>
      </c>
      <c r="BM105" s="29" t="s">
        <v>17</v>
      </c>
      <c r="BN105" s="29" t="s">
        <v>17</v>
      </c>
      <c r="BO105" s="29" t="s">
        <v>17</v>
      </c>
      <c r="BP105" s="29" t="s">
        <v>17</v>
      </c>
      <c r="BQ105" s="29" t="s">
        <v>17</v>
      </c>
      <c r="BR105" s="29" t="s">
        <v>17</v>
      </c>
      <c r="BS105" s="29" t="s">
        <v>17</v>
      </c>
      <c r="BT105" s="29" t="s">
        <v>17</v>
      </c>
      <c r="BU105" s="29" t="s">
        <v>17</v>
      </c>
    </row>
    <row r="106" spans="1:73" x14ac:dyDescent="0.3">
      <c r="A106" s="2">
        <f t="shared" ref="A106:B106" si="85">A105+1</f>
        <v>187</v>
      </c>
      <c r="B106" s="12">
        <f t="shared" si="85"/>
        <v>104</v>
      </c>
      <c r="C106" s="24">
        <v>44748.708333333336</v>
      </c>
      <c r="D106" s="4">
        <v>24</v>
      </c>
      <c r="E106" s="4">
        <f t="shared" si="20"/>
        <v>2472</v>
      </c>
      <c r="F106" s="5">
        <f t="shared" si="21"/>
        <v>103</v>
      </c>
      <c r="G106">
        <f t="shared" si="48"/>
        <v>0</v>
      </c>
      <c r="H106">
        <f t="shared" si="39"/>
        <v>0</v>
      </c>
      <c r="I106">
        <f t="shared" si="40"/>
        <v>0</v>
      </c>
      <c r="J106">
        <f t="shared" si="41"/>
        <v>0</v>
      </c>
      <c r="K106">
        <f t="shared" si="42"/>
        <v>0</v>
      </c>
      <c r="L106" s="86">
        <f t="shared" si="22"/>
        <v>2</v>
      </c>
      <c r="M106" s="86">
        <f t="shared" si="23"/>
        <v>3</v>
      </c>
      <c r="N106" s="91"/>
      <c r="O106">
        <f t="shared" si="24"/>
        <v>9</v>
      </c>
      <c r="P106">
        <f t="shared" si="25"/>
        <v>11</v>
      </c>
      <c r="Q106">
        <f t="shared" si="43"/>
        <v>7</v>
      </c>
      <c r="R106">
        <f t="shared" si="44"/>
        <v>0</v>
      </c>
      <c r="S106">
        <f t="shared" si="27"/>
        <v>11</v>
      </c>
      <c r="T106">
        <f t="shared" si="45"/>
        <v>3</v>
      </c>
      <c r="U106">
        <f t="shared" si="46"/>
        <v>2</v>
      </c>
      <c r="X106" s="90" t="s">
        <v>26</v>
      </c>
      <c r="Y106" s="90" t="s">
        <v>26</v>
      </c>
      <c r="Z106" s="90" t="s">
        <v>26</v>
      </c>
      <c r="AA106" s="29" t="s">
        <v>18</v>
      </c>
      <c r="AB106" s="29" t="s">
        <v>22</v>
      </c>
      <c r="AC106" s="90" t="s">
        <v>26</v>
      </c>
      <c r="AD106" s="90" t="s">
        <v>14</v>
      </c>
      <c r="AE106" s="29" t="s">
        <v>18</v>
      </c>
      <c r="AF106" s="90" t="s">
        <v>13</v>
      </c>
      <c r="AG106" s="90" t="s">
        <v>14</v>
      </c>
      <c r="AH106" s="90" t="s">
        <v>14</v>
      </c>
      <c r="AI106" s="29" t="s">
        <v>18</v>
      </c>
      <c r="AJ106" s="90" t="s">
        <v>54</v>
      </c>
      <c r="AK106" s="90" t="s">
        <v>26</v>
      </c>
      <c r="AL106" s="90" t="s">
        <v>13</v>
      </c>
      <c r="AM106" s="90" t="s">
        <v>53</v>
      </c>
      <c r="AN106" s="90" t="s">
        <v>53</v>
      </c>
      <c r="AO106" s="29" t="s">
        <v>18</v>
      </c>
      <c r="AP106" s="90" t="s">
        <v>53</v>
      </c>
      <c r="AQ106" s="29" t="s">
        <v>18</v>
      </c>
      <c r="AR106" s="29" t="s">
        <v>22</v>
      </c>
      <c r="AS106" s="90" t="s">
        <v>26</v>
      </c>
      <c r="AT106" s="90" t="s">
        <v>26</v>
      </c>
      <c r="AU106" s="90" t="s">
        <v>26</v>
      </c>
      <c r="AV106" s="90" t="s">
        <v>26</v>
      </c>
      <c r="AW106" s="90" t="s">
        <v>54</v>
      </c>
      <c r="AX106" s="29" t="s">
        <v>18</v>
      </c>
      <c r="AY106" s="29" t="s">
        <v>22</v>
      </c>
      <c r="AZ106" s="90" t="s">
        <v>26</v>
      </c>
      <c r="BA106" s="29" t="s">
        <v>18</v>
      </c>
      <c r="BB106" s="29" t="s">
        <v>22</v>
      </c>
      <c r="BC106" s="29" t="s">
        <v>18</v>
      </c>
      <c r="BD106" s="29" t="s">
        <v>22</v>
      </c>
      <c r="BE106" s="90" t="s">
        <v>26</v>
      </c>
      <c r="BF106" s="29" t="s">
        <v>22</v>
      </c>
      <c r="BG106" s="29" t="s">
        <v>18</v>
      </c>
      <c r="BJ106" s="29" t="s">
        <v>18</v>
      </c>
      <c r="BK106" s="29" t="s">
        <v>22</v>
      </c>
      <c r="BL106" s="29" t="s">
        <v>18</v>
      </c>
      <c r="BM106" s="29" t="s">
        <v>17</v>
      </c>
      <c r="BN106" s="29" t="s">
        <v>17</v>
      </c>
      <c r="BO106" s="29" t="s">
        <v>17</v>
      </c>
      <c r="BP106" s="29" t="s">
        <v>17</v>
      </c>
      <c r="BQ106" s="29" t="s">
        <v>17</v>
      </c>
      <c r="BR106" s="29" t="s">
        <v>17</v>
      </c>
      <c r="BS106" s="29" t="s">
        <v>17</v>
      </c>
      <c r="BT106" s="29" t="s">
        <v>17</v>
      </c>
      <c r="BU106" s="29" t="s">
        <v>17</v>
      </c>
    </row>
    <row r="107" spans="1:73" x14ac:dyDescent="0.3">
      <c r="A107" s="2">
        <f t="shared" ref="A107:B107" si="86">A106+1</f>
        <v>188</v>
      </c>
      <c r="B107" s="12">
        <f t="shared" si="86"/>
        <v>105</v>
      </c>
      <c r="C107" s="24">
        <v>44749.708333333336</v>
      </c>
      <c r="D107" s="4">
        <v>24</v>
      </c>
      <c r="E107" s="4">
        <f t="shared" si="20"/>
        <v>2496</v>
      </c>
      <c r="F107" s="5">
        <f t="shared" si="21"/>
        <v>104</v>
      </c>
      <c r="G107">
        <f t="shared" si="48"/>
        <v>0</v>
      </c>
      <c r="H107">
        <f t="shared" si="39"/>
        <v>0</v>
      </c>
      <c r="I107">
        <f t="shared" si="40"/>
        <v>0</v>
      </c>
      <c r="J107">
        <f t="shared" si="41"/>
        <v>0</v>
      </c>
      <c r="K107">
        <f t="shared" si="42"/>
        <v>0</v>
      </c>
      <c r="L107" s="86">
        <f t="shared" si="22"/>
        <v>2</v>
      </c>
      <c r="M107" s="86">
        <f t="shared" si="23"/>
        <v>3</v>
      </c>
      <c r="N107" s="91"/>
      <c r="O107">
        <f t="shared" si="24"/>
        <v>9</v>
      </c>
      <c r="P107">
        <f t="shared" si="25"/>
        <v>11</v>
      </c>
      <c r="Q107">
        <f t="shared" si="43"/>
        <v>7</v>
      </c>
      <c r="R107">
        <f t="shared" si="44"/>
        <v>0</v>
      </c>
      <c r="S107">
        <f t="shared" si="27"/>
        <v>11</v>
      </c>
      <c r="T107">
        <f t="shared" si="45"/>
        <v>3</v>
      </c>
      <c r="U107">
        <f t="shared" si="46"/>
        <v>2</v>
      </c>
      <c r="X107" s="90" t="s">
        <v>26</v>
      </c>
      <c r="Y107" s="90" t="s">
        <v>26</v>
      </c>
      <c r="Z107" s="90" t="s">
        <v>26</v>
      </c>
      <c r="AA107" s="29" t="s">
        <v>18</v>
      </c>
      <c r="AB107" s="29" t="s">
        <v>22</v>
      </c>
      <c r="AC107" s="90" t="s">
        <v>26</v>
      </c>
      <c r="AD107" s="90" t="s">
        <v>14</v>
      </c>
      <c r="AE107" s="29" t="s">
        <v>18</v>
      </c>
      <c r="AF107" s="90" t="s">
        <v>13</v>
      </c>
      <c r="AG107" s="90" t="s">
        <v>14</v>
      </c>
      <c r="AH107" s="90" t="s">
        <v>14</v>
      </c>
      <c r="AI107" s="29" t="s">
        <v>18</v>
      </c>
      <c r="AJ107" s="90" t="s">
        <v>54</v>
      </c>
      <c r="AK107" s="90" t="s">
        <v>26</v>
      </c>
      <c r="AL107" s="90" t="s">
        <v>13</v>
      </c>
      <c r="AM107" s="90" t="s">
        <v>53</v>
      </c>
      <c r="AN107" s="90" t="s">
        <v>53</v>
      </c>
      <c r="AO107" s="29" t="s">
        <v>18</v>
      </c>
      <c r="AP107" s="90" t="s">
        <v>53</v>
      </c>
      <c r="AQ107" s="29" t="s">
        <v>18</v>
      </c>
      <c r="AR107" s="29" t="s">
        <v>22</v>
      </c>
      <c r="AS107" s="90" t="s">
        <v>26</v>
      </c>
      <c r="AT107" s="90" t="s">
        <v>26</v>
      </c>
      <c r="AU107" s="90" t="s">
        <v>26</v>
      </c>
      <c r="AV107" s="90" t="s">
        <v>26</v>
      </c>
      <c r="AW107" s="90" t="s">
        <v>54</v>
      </c>
      <c r="AX107" s="29" t="s">
        <v>18</v>
      </c>
      <c r="AY107" s="29" t="s">
        <v>22</v>
      </c>
      <c r="AZ107" s="90" t="s">
        <v>26</v>
      </c>
      <c r="BA107" s="29" t="s">
        <v>18</v>
      </c>
      <c r="BB107" s="29" t="s">
        <v>22</v>
      </c>
      <c r="BC107" s="29" t="s">
        <v>18</v>
      </c>
      <c r="BD107" s="29" t="s">
        <v>22</v>
      </c>
      <c r="BE107" s="90" t="s">
        <v>26</v>
      </c>
      <c r="BF107" s="29" t="s">
        <v>22</v>
      </c>
      <c r="BG107" s="29" t="s">
        <v>18</v>
      </c>
      <c r="BJ107" s="29" t="s">
        <v>18</v>
      </c>
      <c r="BK107" s="29" t="s">
        <v>22</v>
      </c>
      <c r="BL107" s="29" t="s">
        <v>18</v>
      </c>
      <c r="BM107" s="29" t="s">
        <v>17</v>
      </c>
      <c r="BN107" s="29" t="s">
        <v>17</v>
      </c>
      <c r="BO107" s="29" t="s">
        <v>17</v>
      </c>
      <c r="BP107" s="29" t="s">
        <v>17</v>
      </c>
      <c r="BQ107" s="29" t="s">
        <v>17</v>
      </c>
      <c r="BR107" s="29" t="s">
        <v>17</v>
      </c>
      <c r="BS107" s="29" t="s">
        <v>17</v>
      </c>
      <c r="BT107" s="29" t="s">
        <v>17</v>
      </c>
      <c r="BU107" s="29" t="s">
        <v>17</v>
      </c>
    </row>
    <row r="108" spans="1:73" x14ac:dyDescent="0.3">
      <c r="A108" s="2">
        <f t="shared" ref="A108:B108" si="87">A107+1</f>
        <v>189</v>
      </c>
      <c r="B108" s="12">
        <f t="shared" si="87"/>
        <v>106</v>
      </c>
      <c r="C108" s="24">
        <v>44750.708333333336</v>
      </c>
      <c r="D108" s="4">
        <v>24</v>
      </c>
      <c r="E108" s="4">
        <f t="shared" si="20"/>
        <v>2520</v>
      </c>
      <c r="F108" s="5">
        <f t="shared" si="21"/>
        <v>105</v>
      </c>
      <c r="G108">
        <f t="shared" si="48"/>
        <v>0</v>
      </c>
      <c r="H108">
        <f t="shared" si="39"/>
        <v>0</v>
      </c>
      <c r="I108">
        <f t="shared" si="40"/>
        <v>0</v>
      </c>
      <c r="J108">
        <f t="shared" si="41"/>
        <v>0</v>
      </c>
      <c r="K108">
        <f t="shared" si="42"/>
        <v>0</v>
      </c>
      <c r="L108" s="86">
        <f t="shared" si="22"/>
        <v>2</v>
      </c>
      <c r="M108" s="86">
        <f t="shared" si="23"/>
        <v>3</v>
      </c>
      <c r="N108" s="91"/>
      <c r="O108">
        <f t="shared" si="24"/>
        <v>9</v>
      </c>
      <c r="P108">
        <f t="shared" si="25"/>
        <v>11</v>
      </c>
      <c r="Q108">
        <f t="shared" si="43"/>
        <v>7</v>
      </c>
      <c r="R108">
        <f t="shared" si="44"/>
        <v>0</v>
      </c>
      <c r="S108">
        <f t="shared" si="27"/>
        <v>11</v>
      </c>
      <c r="T108">
        <f t="shared" si="45"/>
        <v>3</v>
      </c>
      <c r="U108">
        <f t="shared" si="46"/>
        <v>2</v>
      </c>
      <c r="X108" s="90" t="s">
        <v>26</v>
      </c>
      <c r="Y108" s="90" t="s">
        <v>26</v>
      </c>
      <c r="Z108" s="90" t="s">
        <v>26</v>
      </c>
      <c r="AA108" s="29" t="s">
        <v>18</v>
      </c>
      <c r="AB108" s="29" t="s">
        <v>22</v>
      </c>
      <c r="AC108" s="90" t="s">
        <v>26</v>
      </c>
      <c r="AD108" s="90" t="s">
        <v>14</v>
      </c>
      <c r="AE108" s="29" t="s">
        <v>18</v>
      </c>
      <c r="AF108" s="90" t="s">
        <v>13</v>
      </c>
      <c r="AG108" s="90" t="s">
        <v>14</v>
      </c>
      <c r="AH108" s="90" t="s">
        <v>14</v>
      </c>
      <c r="AI108" s="29" t="s">
        <v>18</v>
      </c>
      <c r="AJ108" s="90" t="s">
        <v>54</v>
      </c>
      <c r="AK108" s="90" t="s">
        <v>26</v>
      </c>
      <c r="AL108" s="90" t="s">
        <v>13</v>
      </c>
      <c r="AM108" s="90" t="s">
        <v>53</v>
      </c>
      <c r="AN108" s="90" t="s">
        <v>53</v>
      </c>
      <c r="AO108" s="29" t="s">
        <v>18</v>
      </c>
      <c r="AP108" s="90" t="s">
        <v>53</v>
      </c>
      <c r="AQ108" s="29" t="s">
        <v>18</v>
      </c>
      <c r="AR108" s="29" t="s">
        <v>22</v>
      </c>
      <c r="AS108" s="90" t="s">
        <v>26</v>
      </c>
      <c r="AT108" s="90" t="s">
        <v>26</v>
      </c>
      <c r="AU108" s="90" t="s">
        <v>26</v>
      </c>
      <c r="AV108" s="90" t="s">
        <v>26</v>
      </c>
      <c r="AW108" s="90" t="s">
        <v>54</v>
      </c>
      <c r="AX108" s="29" t="s">
        <v>18</v>
      </c>
      <c r="AY108" s="29" t="s">
        <v>22</v>
      </c>
      <c r="AZ108" s="90" t="s">
        <v>26</v>
      </c>
      <c r="BA108" s="29" t="s">
        <v>18</v>
      </c>
      <c r="BB108" s="29" t="s">
        <v>22</v>
      </c>
      <c r="BC108" s="29" t="s">
        <v>18</v>
      </c>
      <c r="BD108" s="29" t="s">
        <v>22</v>
      </c>
      <c r="BE108" s="90" t="s">
        <v>26</v>
      </c>
      <c r="BF108" s="29" t="s">
        <v>22</v>
      </c>
      <c r="BG108" s="29" t="s">
        <v>18</v>
      </c>
      <c r="BJ108" s="29" t="s">
        <v>18</v>
      </c>
      <c r="BK108" s="29" t="s">
        <v>22</v>
      </c>
      <c r="BL108" s="29" t="s">
        <v>18</v>
      </c>
      <c r="BM108" s="29" t="s">
        <v>17</v>
      </c>
      <c r="BN108" s="29" t="s">
        <v>17</v>
      </c>
      <c r="BO108" s="29" t="s">
        <v>17</v>
      </c>
      <c r="BP108" s="29" t="s">
        <v>17</v>
      </c>
      <c r="BQ108" s="29" t="s">
        <v>17</v>
      </c>
      <c r="BR108" s="29" t="s">
        <v>17</v>
      </c>
      <c r="BS108" s="29" t="s">
        <v>17</v>
      </c>
      <c r="BT108" s="29" t="s">
        <v>17</v>
      </c>
      <c r="BU108" s="29" t="s">
        <v>17</v>
      </c>
    </row>
    <row r="109" spans="1:73" x14ac:dyDescent="0.3">
      <c r="A109" s="2">
        <f t="shared" ref="A109:B109" si="88">A108+1</f>
        <v>190</v>
      </c>
      <c r="B109" s="12">
        <f t="shared" si="88"/>
        <v>107</v>
      </c>
      <c r="C109" s="24">
        <v>44751.708333333336</v>
      </c>
      <c r="D109" s="4">
        <v>24</v>
      </c>
      <c r="E109" s="4">
        <f t="shared" si="20"/>
        <v>2544</v>
      </c>
      <c r="F109" s="5">
        <f t="shared" si="21"/>
        <v>106</v>
      </c>
      <c r="G109">
        <f t="shared" si="48"/>
        <v>0</v>
      </c>
      <c r="H109">
        <f t="shared" si="39"/>
        <v>0</v>
      </c>
      <c r="I109">
        <f t="shared" si="40"/>
        <v>0</v>
      </c>
      <c r="J109">
        <f t="shared" si="41"/>
        <v>0</v>
      </c>
      <c r="K109">
        <f t="shared" si="42"/>
        <v>0</v>
      </c>
      <c r="L109" s="86">
        <f t="shared" si="22"/>
        <v>2</v>
      </c>
      <c r="M109" s="86">
        <f t="shared" si="23"/>
        <v>3</v>
      </c>
      <c r="N109" s="91"/>
      <c r="O109">
        <f t="shared" si="24"/>
        <v>9</v>
      </c>
      <c r="P109">
        <f t="shared" si="25"/>
        <v>11</v>
      </c>
      <c r="Q109">
        <f t="shared" si="43"/>
        <v>7</v>
      </c>
      <c r="R109">
        <f t="shared" si="44"/>
        <v>0</v>
      </c>
      <c r="S109">
        <f t="shared" si="27"/>
        <v>11</v>
      </c>
      <c r="T109">
        <f t="shared" si="45"/>
        <v>3</v>
      </c>
      <c r="U109">
        <f t="shared" si="46"/>
        <v>2</v>
      </c>
      <c r="X109" s="90" t="s">
        <v>26</v>
      </c>
      <c r="Y109" s="90" t="s">
        <v>26</v>
      </c>
      <c r="Z109" s="90" t="s">
        <v>26</v>
      </c>
      <c r="AA109" s="29" t="s">
        <v>18</v>
      </c>
      <c r="AB109" s="29" t="s">
        <v>22</v>
      </c>
      <c r="AC109" s="90" t="s">
        <v>26</v>
      </c>
      <c r="AD109" s="90" t="s">
        <v>14</v>
      </c>
      <c r="AE109" s="29" t="s">
        <v>18</v>
      </c>
      <c r="AF109" s="90" t="s">
        <v>13</v>
      </c>
      <c r="AG109" s="90" t="s">
        <v>14</v>
      </c>
      <c r="AH109" s="90" t="s">
        <v>14</v>
      </c>
      <c r="AI109" s="29" t="s">
        <v>18</v>
      </c>
      <c r="AJ109" s="90" t="s">
        <v>54</v>
      </c>
      <c r="AK109" s="90" t="s">
        <v>26</v>
      </c>
      <c r="AL109" s="90" t="s">
        <v>13</v>
      </c>
      <c r="AM109" s="90" t="s">
        <v>53</v>
      </c>
      <c r="AN109" s="90" t="s">
        <v>53</v>
      </c>
      <c r="AO109" s="29" t="s">
        <v>18</v>
      </c>
      <c r="AP109" s="90" t="s">
        <v>53</v>
      </c>
      <c r="AQ109" s="29" t="s">
        <v>18</v>
      </c>
      <c r="AR109" s="29" t="s">
        <v>22</v>
      </c>
      <c r="AS109" s="90" t="s">
        <v>26</v>
      </c>
      <c r="AT109" s="90" t="s">
        <v>26</v>
      </c>
      <c r="AU109" s="90" t="s">
        <v>26</v>
      </c>
      <c r="AV109" s="90" t="s">
        <v>26</v>
      </c>
      <c r="AW109" s="90" t="s">
        <v>54</v>
      </c>
      <c r="AX109" s="29" t="s">
        <v>18</v>
      </c>
      <c r="AY109" s="29" t="s">
        <v>22</v>
      </c>
      <c r="AZ109" s="90" t="s">
        <v>26</v>
      </c>
      <c r="BA109" s="29" t="s">
        <v>18</v>
      </c>
      <c r="BB109" s="29" t="s">
        <v>22</v>
      </c>
      <c r="BC109" s="29" t="s">
        <v>18</v>
      </c>
      <c r="BD109" s="29" t="s">
        <v>22</v>
      </c>
      <c r="BE109" s="90" t="s">
        <v>26</v>
      </c>
      <c r="BF109" s="29" t="s">
        <v>22</v>
      </c>
      <c r="BG109" s="29" t="s">
        <v>18</v>
      </c>
      <c r="BJ109" s="29" t="s">
        <v>18</v>
      </c>
      <c r="BK109" s="29" t="s">
        <v>22</v>
      </c>
      <c r="BL109" s="29" t="s">
        <v>18</v>
      </c>
      <c r="BM109" s="29" t="s">
        <v>17</v>
      </c>
      <c r="BN109" s="29" t="s">
        <v>17</v>
      </c>
      <c r="BO109" s="29" t="s">
        <v>17</v>
      </c>
      <c r="BP109" s="29" t="s">
        <v>17</v>
      </c>
      <c r="BQ109" s="29" t="s">
        <v>17</v>
      </c>
      <c r="BR109" s="29" t="s">
        <v>17</v>
      </c>
      <c r="BS109" s="29" t="s">
        <v>17</v>
      </c>
      <c r="BT109" s="29" t="s">
        <v>17</v>
      </c>
      <c r="BU109" s="29" t="s">
        <v>17</v>
      </c>
    </row>
    <row r="110" spans="1:73" x14ac:dyDescent="0.3">
      <c r="A110" s="2">
        <f t="shared" ref="A110:B110" si="89">A109+1</f>
        <v>191</v>
      </c>
      <c r="B110" s="12">
        <f t="shared" si="89"/>
        <v>108</v>
      </c>
      <c r="C110" s="24">
        <v>44752.708333333336</v>
      </c>
      <c r="D110" s="4">
        <v>24</v>
      </c>
      <c r="E110" s="4">
        <f t="shared" si="20"/>
        <v>2568</v>
      </c>
      <c r="F110" s="5">
        <f t="shared" si="21"/>
        <v>107</v>
      </c>
      <c r="G110">
        <f t="shared" si="48"/>
        <v>0</v>
      </c>
      <c r="H110">
        <f t="shared" si="39"/>
        <v>0</v>
      </c>
      <c r="I110">
        <f t="shared" si="40"/>
        <v>0</v>
      </c>
      <c r="J110">
        <f t="shared" si="41"/>
        <v>0</v>
      </c>
      <c r="K110">
        <f t="shared" si="42"/>
        <v>0</v>
      </c>
      <c r="L110" s="86">
        <f t="shared" si="22"/>
        <v>2</v>
      </c>
      <c r="M110" s="86">
        <f t="shared" si="23"/>
        <v>3</v>
      </c>
      <c r="N110" s="91"/>
      <c r="O110">
        <f t="shared" si="24"/>
        <v>9</v>
      </c>
      <c r="P110">
        <f t="shared" si="25"/>
        <v>11</v>
      </c>
      <c r="Q110">
        <f t="shared" si="43"/>
        <v>7</v>
      </c>
      <c r="R110">
        <f t="shared" si="44"/>
        <v>0</v>
      </c>
      <c r="S110">
        <f t="shared" si="27"/>
        <v>11</v>
      </c>
      <c r="T110">
        <f t="shared" si="45"/>
        <v>3</v>
      </c>
      <c r="U110">
        <f t="shared" si="46"/>
        <v>2</v>
      </c>
      <c r="X110" s="90" t="s">
        <v>26</v>
      </c>
      <c r="Y110" s="90" t="s">
        <v>26</v>
      </c>
      <c r="Z110" s="90" t="s">
        <v>26</v>
      </c>
      <c r="AA110" s="29" t="s">
        <v>18</v>
      </c>
      <c r="AB110" s="29" t="s">
        <v>22</v>
      </c>
      <c r="AC110" s="90" t="s">
        <v>26</v>
      </c>
      <c r="AD110" s="90" t="s">
        <v>14</v>
      </c>
      <c r="AE110" s="29" t="s">
        <v>18</v>
      </c>
      <c r="AF110" s="90" t="s">
        <v>13</v>
      </c>
      <c r="AG110" s="90" t="s">
        <v>14</v>
      </c>
      <c r="AH110" s="90" t="s">
        <v>14</v>
      </c>
      <c r="AI110" s="29" t="s">
        <v>18</v>
      </c>
      <c r="AJ110" s="90" t="s">
        <v>54</v>
      </c>
      <c r="AK110" s="90" t="s">
        <v>26</v>
      </c>
      <c r="AL110" s="90" t="s">
        <v>13</v>
      </c>
      <c r="AM110" s="90" t="s">
        <v>53</v>
      </c>
      <c r="AN110" s="90" t="s">
        <v>53</v>
      </c>
      <c r="AO110" s="29" t="s">
        <v>18</v>
      </c>
      <c r="AP110" s="90" t="s">
        <v>53</v>
      </c>
      <c r="AQ110" s="29" t="s">
        <v>18</v>
      </c>
      <c r="AR110" s="29" t="s">
        <v>22</v>
      </c>
      <c r="AS110" s="90" t="s">
        <v>26</v>
      </c>
      <c r="AT110" s="90" t="s">
        <v>26</v>
      </c>
      <c r="AU110" s="90" t="s">
        <v>26</v>
      </c>
      <c r="AV110" s="90" t="s">
        <v>26</v>
      </c>
      <c r="AW110" s="90" t="s">
        <v>54</v>
      </c>
      <c r="AX110" s="29" t="s">
        <v>18</v>
      </c>
      <c r="AY110" s="29" t="s">
        <v>22</v>
      </c>
      <c r="AZ110" s="90" t="s">
        <v>26</v>
      </c>
      <c r="BA110" s="29" t="s">
        <v>18</v>
      </c>
      <c r="BB110" s="29" t="s">
        <v>22</v>
      </c>
      <c r="BC110" s="29" t="s">
        <v>18</v>
      </c>
      <c r="BD110" s="29" t="s">
        <v>22</v>
      </c>
      <c r="BE110" s="90" t="s">
        <v>26</v>
      </c>
      <c r="BF110" s="29" t="s">
        <v>22</v>
      </c>
      <c r="BG110" s="29" t="s">
        <v>18</v>
      </c>
      <c r="BJ110" s="29" t="s">
        <v>18</v>
      </c>
      <c r="BK110" s="29" t="s">
        <v>22</v>
      </c>
      <c r="BL110" s="29" t="s">
        <v>18</v>
      </c>
      <c r="BM110" s="29" t="s">
        <v>17</v>
      </c>
      <c r="BN110" s="29" t="s">
        <v>17</v>
      </c>
      <c r="BO110" s="29" t="s">
        <v>17</v>
      </c>
      <c r="BP110" s="29" t="s">
        <v>17</v>
      </c>
      <c r="BQ110" s="29" t="s">
        <v>17</v>
      </c>
      <c r="BR110" s="29" t="s">
        <v>17</v>
      </c>
      <c r="BS110" s="29" t="s">
        <v>17</v>
      </c>
      <c r="BT110" s="29" t="s">
        <v>17</v>
      </c>
      <c r="BU110" s="29" t="s">
        <v>17</v>
      </c>
    </row>
    <row r="111" spans="1:73" x14ac:dyDescent="0.3">
      <c r="A111" s="2">
        <f t="shared" ref="A111:B111" si="90">A110+1</f>
        <v>192</v>
      </c>
      <c r="B111" s="12">
        <f t="shared" si="90"/>
        <v>109</v>
      </c>
      <c r="C111" s="24">
        <v>44753.708333333336</v>
      </c>
      <c r="D111" s="4">
        <v>24</v>
      </c>
      <c r="E111" s="4">
        <f t="shared" si="20"/>
        <v>2592</v>
      </c>
      <c r="F111" s="5">
        <f t="shared" si="21"/>
        <v>108</v>
      </c>
      <c r="G111">
        <f t="shared" si="48"/>
        <v>0</v>
      </c>
      <c r="H111">
        <f t="shared" si="39"/>
        <v>0</v>
      </c>
      <c r="I111">
        <f t="shared" si="40"/>
        <v>0</v>
      </c>
      <c r="J111">
        <f t="shared" si="41"/>
        <v>0</v>
      </c>
      <c r="K111">
        <f t="shared" si="42"/>
        <v>0</v>
      </c>
      <c r="L111" s="86">
        <f t="shared" si="22"/>
        <v>2</v>
      </c>
      <c r="M111" s="86">
        <f t="shared" si="23"/>
        <v>3</v>
      </c>
      <c r="O111">
        <f t="shared" si="24"/>
        <v>9</v>
      </c>
      <c r="P111">
        <f t="shared" si="25"/>
        <v>11</v>
      </c>
      <c r="Q111">
        <f t="shared" si="43"/>
        <v>7</v>
      </c>
      <c r="R111">
        <f t="shared" si="44"/>
        <v>0</v>
      </c>
      <c r="S111">
        <f t="shared" si="27"/>
        <v>11</v>
      </c>
      <c r="T111">
        <f t="shared" si="45"/>
        <v>3</v>
      </c>
      <c r="U111">
        <f t="shared" si="46"/>
        <v>2</v>
      </c>
      <c r="X111" s="90" t="s">
        <v>26</v>
      </c>
      <c r="Y111" s="90" t="s">
        <v>26</v>
      </c>
      <c r="Z111" s="90" t="s">
        <v>26</v>
      </c>
      <c r="AA111" s="29" t="s">
        <v>18</v>
      </c>
      <c r="AB111" s="29" t="s">
        <v>22</v>
      </c>
      <c r="AC111" s="90" t="s">
        <v>26</v>
      </c>
      <c r="AD111" s="90" t="s">
        <v>14</v>
      </c>
      <c r="AE111" s="29" t="s">
        <v>18</v>
      </c>
      <c r="AF111" s="90" t="s">
        <v>13</v>
      </c>
      <c r="AG111" s="90" t="s">
        <v>14</v>
      </c>
      <c r="AH111" s="90" t="s">
        <v>14</v>
      </c>
      <c r="AI111" s="29" t="s">
        <v>18</v>
      </c>
      <c r="AJ111" s="90" t="s">
        <v>54</v>
      </c>
      <c r="AK111" s="90" t="s">
        <v>26</v>
      </c>
      <c r="AL111" s="90" t="s">
        <v>13</v>
      </c>
      <c r="AM111" s="90" t="s">
        <v>53</v>
      </c>
      <c r="AN111" s="90" t="s">
        <v>53</v>
      </c>
      <c r="AO111" s="29" t="s">
        <v>18</v>
      </c>
      <c r="AP111" s="90" t="s">
        <v>53</v>
      </c>
      <c r="AQ111" s="29" t="s">
        <v>18</v>
      </c>
      <c r="AR111" s="29" t="s">
        <v>22</v>
      </c>
      <c r="AS111" s="90" t="s">
        <v>26</v>
      </c>
      <c r="AT111" s="90" t="s">
        <v>26</v>
      </c>
      <c r="AU111" s="90" t="s">
        <v>26</v>
      </c>
      <c r="AV111" s="90" t="s">
        <v>26</v>
      </c>
      <c r="AW111" s="90" t="s">
        <v>54</v>
      </c>
      <c r="AX111" s="29" t="s">
        <v>18</v>
      </c>
      <c r="AY111" s="29" t="s">
        <v>22</v>
      </c>
      <c r="AZ111" s="90" t="s">
        <v>26</v>
      </c>
      <c r="BA111" s="29" t="s">
        <v>18</v>
      </c>
      <c r="BB111" s="29" t="s">
        <v>22</v>
      </c>
      <c r="BC111" s="29" t="s">
        <v>18</v>
      </c>
      <c r="BD111" s="29" t="s">
        <v>22</v>
      </c>
      <c r="BE111" s="90" t="s">
        <v>26</v>
      </c>
      <c r="BF111" s="29" t="s">
        <v>22</v>
      </c>
      <c r="BG111" s="29" t="s">
        <v>18</v>
      </c>
      <c r="BJ111" s="29" t="s">
        <v>18</v>
      </c>
      <c r="BK111" s="29" t="s">
        <v>22</v>
      </c>
      <c r="BL111" s="29" t="s">
        <v>18</v>
      </c>
      <c r="BM111" s="29" t="s">
        <v>17</v>
      </c>
      <c r="BN111" s="29" t="s">
        <v>17</v>
      </c>
      <c r="BO111" s="29" t="s">
        <v>17</v>
      </c>
      <c r="BP111" s="29" t="s">
        <v>17</v>
      </c>
      <c r="BQ111" s="29" t="s">
        <v>17</v>
      </c>
      <c r="BR111" s="29" t="s">
        <v>17</v>
      </c>
      <c r="BS111" s="29" t="s">
        <v>17</v>
      </c>
      <c r="BT111" s="29" t="s">
        <v>17</v>
      </c>
      <c r="BU111" s="29" t="s">
        <v>17</v>
      </c>
    </row>
    <row r="112" spans="1:73" x14ac:dyDescent="0.3">
      <c r="A112" s="2">
        <f t="shared" ref="A112:B112" si="91">A111+1</f>
        <v>193</v>
      </c>
      <c r="B112" s="12">
        <f t="shared" si="91"/>
        <v>110</v>
      </c>
      <c r="C112" s="24">
        <v>44754.708333333336</v>
      </c>
      <c r="D112" s="4">
        <v>24</v>
      </c>
      <c r="E112" s="4">
        <f t="shared" si="20"/>
        <v>2616</v>
      </c>
      <c r="F112" s="5">
        <f>E112/24</f>
        <v>109</v>
      </c>
      <c r="G112">
        <f t="shared" si="48"/>
        <v>0</v>
      </c>
      <c r="H112">
        <f t="shared" si="39"/>
        <v>0</v>
      </c>
      <c r="I112">
        <f t="shared" si="40"/>
        <v>0</v>
      </c>
      <c r="J112">
        <f t="shared" si="41"/>
        <v>0</v>
      </c>
      <c r="K112">
        <f t="shared" si="42"/>
        <v>0</v>
      </c>
      <c r="L112" s="86">
        <f t="shared" si="22"/>
        <v>2</v>
      </c>
      <c r="M112" s="86">
        <f t="shared" si="23"/>
        <v>3</v>
      </c>
      <c r="O112">
        <f t="shared" si="24"/>
        <v>9</v>
      </c>
      <c r="P112">
        <f t="shared" si="25"/>
        <v>11</v>
      </c>
      <c r="Q112">
        <f t="shared" si="43"/>
        <v>7</v>
      </c>
      <c r="R112">
        <f t="shared" si="44"/>
        <v>0</v>
      </c>
      <c r="S112">
        <f t="shared" si="27"/>
        <v>11</v>
      </c>
      <c r="T112">
        <f t="shared" si="45"/>
        <v>3</v>
      </c>
      <c r="U112">
        <f t="shared" si="46"/>
        <v>2</v>
      </c>
      <c r="X112" s="90" t="s">
        <v>26</v>
      </c>
      <c r="Y112" s="90" t="s">
        <v>26</v>
      </c>
      <c r="Z112" s="90" t="s">
        <v>26</v>
      </c>
      <c r="AA112" s="29" t="s">
        <v>18</v>
      </c>
      <c r="AB112" s="29" t="s">
        <v>22</v>
      </c>
      <c r="AC112" s="90" t="s">
        <v>26</v>
      </c>
      <c r="AD112" s="90" t="s">
        <v>14</v>
      </c>
      <c r="AE112" s="29" t="s">
        <v>18</v>
      </c>
      <c r="AF112" s="90" t="s">
        <v>13</v>
      </c>
      <c r="AG112" s="90" t="s">
        <v>14</v>
      </c>
      <c r="AH112" s="90" t="s">
        <v>14</v>
      </c>
      <c r="AI112" s="29" t="s">
        <v>18</v>
      </c>
      <c r="AJ112" s="90" t="s">
        <v>54</v>
      </c>
      <c r="AK112" s="90" t="s">
        <v>26</v>
      </c>
      <c r="AL112" s="90" t="s">
        <v>13</v>
      </c>
      <c r="AM112" s="90" t="s">
        <v>53</v>
      </c>
      <c r="AN112" s="90" t="s">
        <v>53</v>
      </c>
      <c r="AO112" s="29" t="s">
        <v>18</v>
      </c>
      <c r="AP112" s="90" t="s">
        <v>53</v>
      </c>
      <c r="AQ112" s="29" t="s">
        <v>18</v>
      </c>
      <c r="AR112" s="29" t="s">
        <v>22</v>
      </c>
      <c r="AS112" s="90" t="s">
        <v>26</v>
      </c>
      <c r="AT112" s="90" t="s">
        <v>26</v>
      </c>
      <c r="AU112" s="90" t="s">
        <v>26</v>
      </c>
      <c r="AV112" s="90" t="s">
        <v>26</v>
      </c>
      <c r="AW112" s="90" t="s">
        <v>54</v>
      </c>
      <c r="AX112" s="29" t="s">
        <v>18</v>
      </c>
      <c r="AY112" s="29" t="s">
        <v>22</v>
      </c>
      <c r="AZ112" s="90" t="s">
        <v>26</v>
      </c>
      <c r="BA112" s="29" t="s">
        <v>18</v>
      </c>
      <c r="BB112" s="29" t="s">
        <v>22</v>
      </c>
      <c r="BC112" s="29" t="s">
        <v>18</v>
      </c>
      <c r="BD112" s="29" t="s">
        <v>22</v>
      </c>
      <c r="BE112" s="90" t="s">
        <v>26</v>
      </c>
      <c r="BF112" s="29" t="s">
        <v>22</v>
      </c>
      <c r="BG112" s="29" t="s">
        <v>18</v>
      </c>
      <c r="BJ112" s="29" t="s">
        <v>18</v>
      </c>
      <c r="BK112" s="29" t="s">
        <v>22</v>
      </c>
      <c r="BL112" s="29" t="s">
        <v>18</v>
      </c>
      <c r="BM112" s="29" t="s">
        <v>17</v>
      </c>
      <c r="BN112" s="29" t="s">
        <v>17</v>
      </c>
      <c r="BO112" s="29" t="s">
        <v>17</v>
      </c>
      <c r="BP112" s="29" t="s">
        <v>17</v>
      </c>
      <c r="BQ112" s="29" t="s">
        <v>17</v>
      </c>
      <c r="BR112" s="29" t="s">
        <v>17</v>
      </c>
      <c r="BS112" s="29" t="s">
        <v>17</v>
      </c>
      <c r="BT112" s="29" t="s">
        <v>17</v>
      </c>
      <c r="BU112" s="29" t="s">
        <v>17</v>
      </c>
    </row>
    <row r="113" spans="1:73" x14ac:dyDescent="0.3">
      <c r="A113" s="2">
        <f t="shared" ref="A113:B113" si="92">A112+1</f>
        <v>194</v>
      </c>
      <c r="B113" s="12">
        <f t="shared" si="92"/>
        <v>111</v>
      </c>
      <c r="C113" s="24">
        <v>44755.708333333336</v>
      </c>
      <c r="D113" s="4">
        <v>24</v>
      </c>
      <c r="E113" s="4">
        <f t="shared" si="20"/>
        <v>2640</v>
      </c>
      <c r="F113" s="5">
        <f t="shared" si="21"/>
        <v>110</v>
      </c>
      <c r="G113">
        <f t="shared" si="48"/>
        <v>0</v>
      </c>
      <c r="H113">
        <f t="shared" si="39"/>
        <v>0</v>
      </c>
      <c r="I113">
        <f t="shared" si="40"/>
        <v>0</v>
      </c>
      <c r="J113">
        <f t="shared" si="41"/>
        <v>0</v>
      </c>
      <c r="K113">
        <f t="shared" si="42"/>
        <v>0</v>
      </c>
      <c r="L113" s="86">
        <f t="shared" si="22"/>
        <v>2</v>
      </c>
      <c r="M113" s="86">
        <f t="shared" si="23"/>
        <v>3</v>
      </c>
      <c r="N113" s="11"/>
      <c r="O113">
        <f t="shared" si="24"/>
        <v>9</v>
      </c>
      <c r="P113">
        <f t="shared" si="25"/>
        <v>11</v>
      </c>
      <c r="Q113">
        <f t="shared" si="43"/>
        <v>7</v>
      </c>
      <c r="R113">
        <f t="shared" si="44"/>
        <v>0</v>
      </c>
      <c r="S113">
        <f t="shared" si="27"/>
        <v>11</v>
      </c>
      <c r="T113">
        <f t="shared" si="45"/>
        <v>3</v>
      </c>
      <c r="U113">
        <f t="shared" si="46"/>
        <v>2</v>
      </c>
      <c r="X113" s="90" t="s">
        <v>26</v>
      </c>
      <c r="Y113" s="90" t="s">
        <v>26</v>
      </c>
      <c r="Z113" s="90" t="s">
        <v>26</v>
      </c>
      <c r="AA113" s="29" t="s">
        <v>18</v>
      </c>
      <c r="AB113" s="29" t="s">
        <v>22</v>
      </c>
      <c r="AC113" s="90" t="s">
        <v>26</v>
      </c>
      <c r="AD113" s="90" t="s">
        <v>14</v>
      </c>
      <c r="AE113" s="29" t="s">
        <v>18</v>
      </c>
      <c r="AF113" s="90" t="s">
        <v>13</v>
      </c>
      <c r="AG113" s="90" t="s">
        <v>14</v>
      </c>
      <c r="AH113" s="90" t="s">
        <v>14</v>
      </c>
      <c r="AI113" s="29" t="s">
        <v>18</v>
      </c>
      <c r="AJ113" s="90" t="s">
        <v>54</v>
      </c>
      <c r="AK113" s="90" t="s">
        <v>26</v>
      </c>
      <c r="AL113" s="90" t="s">
        <v>13</v>
      </c>
      <c r="AM113" s="90" t="s">
        <v>53</v>
      </c>
      <c r="AN113" s="90" t="s">
        <v>53</v>
      </c>
      <c r="AO113" s="29" t="s">
        <v>18</v>
      </c>
      <c r="AP113" s="90" t="s">
        <v>53</v>
      </c>
      <c r="AQ113" s="29" t="s">
        <v>18</v>
      </c>
      <c r="AR113" s="29" t="s">
        <v>22</v>
      </c>
      <c r="AS113" s="90" t="s">
        <v>26</v>
      </c>
      <c r="AT113" s="90" t="s">
        <v>26</v>
      </c>
      <c r="AU113" s="90" t="s">
        <v>26</v>
      </c>
      <c r="AV113" s="90" t="s">
        <v>26</v>
      </c>
      <c r="AW113" s="90" t="s">
        <v>54</v>
      </c>
      <c r="AX113" s="29" t="s">
        <v>18</v>
      </c>
      <c r="AY113" s="29" t="s">
        <v>22</v>
      </c>
      <c r="AZ113" s="90" t="s">
        <v>26</v>
      </c>
      <c r="BA113" s="29" t="s">
        <v>18</v>
      </c>
      <c r="BB113" s="29" t="s">
        <v>22</v>
      </c>
      <c r="BC113" s="29" t="s">
        <v>18</v>
      </c>
      <c r="BD113" s="29" t="s">
        <v>22</v>
      </c>
      <c r="BE113" s="90" t="s">
        <v>26</v>
      </c>
      <c r="BF113" s="29" t="s">
        <v>22</v>
      </c>
      <c r="BG113" s="29" t="s">
        <v>18</v>
      </c>
      <c r="BJ113" s="29" t="s">
        <v>18</v>
      </c>
      <c r="BK113" s="29" t="s">
        <v>22</v>
      </c>
      <c r="BL113" s="29" t="s">
        <v>18</v>
      </c>
      <c r="BM113" s="29" t="s">
        <v>17</v>
      </c>
      <c r="BN113" s="29" t="s">
        <v>17</v>
      </c>
      <c r="BO113" s="29" t="s">
        <v>17</v>
      </c>
      <c r="BP113" s="29" t="s">
        <v>17</v>
      </c>
      <c r="BQ113" s="29" t="s">
        <v>17</v>
      </c>
      <c r="BR113" s="29" t="s">
        <v>17</v>
      </c>
      <c r="BS113" s="29" t="s">
        <v>17</v>
      </c>
      <c r="BT113" s="29" t="s">
        <v>17</v>
      </c>
      <c r="BU113" s="29" t="s">
        <v>17</v>
      </c>
    </row>
    <row r="114" spans="1:73" x14ac:dyDescent="0.3">
      <c r="A114" s="2">
        <f t="shared" ref="A114:B114" si="93">A113+1</f>
        <v>195</v>
      </c>
      <c r="B114" s="12">
        <f t="shared" si="93"/>
        <v>112</v>
      </c>
      <c r="C114" s="24">
        <v>44756.708333333336</v>
      </c>
      <c r="D114" s="4">
        <v>24</v>
      </c>
      <c r="E114" s="4">
        <f t="shared" si="20"/>
        <v>2664</v>
      </c>
      <c r="F114" s="5">
        <f t="shared" si="21"/>
        <v>111</v>
      </c>
      <c r="G114">
        <f t="shared" si="48"/>
        <v>0</v>
      </c>
      <c r="H114">
        <f t="shared" si="39"/>
        <v>0</v>
      </c>
      <c r="I114">
        <f t="shared" si="40"/>
        <v>0</v>
      </c>
      <c r="J114">
        <f t="shared" si="41"/>
        <v>0</v>
      </c>
      <c r="K114">
        <f t="shared" si="42"/>
        <v>0</v>
      </c>
      <c r="L114" s="86">
        <f t="shared" si="22"/>
        <v>2</v>
      </c>
      <c r="M114" s="86">
        <f t="shared" si="23"/>
        <v>3</v>
      </c>
      <c r="N114" s="5"/>
      <c r="O114">
        <f t="shared" si="24"/>
        <v>9</v>
      </c>
      <c r="P114">
        <f t="shared" si="25"/>
        <v>11</v>
      </c>
      <c r="Q114">
        <f t="shared" si="43"/>
        <v>7</v>
      </c>
      <c r="R114">
        <f t="shared" si="44"/>
        <v>0</v>
      </c>
      <c r="S114">
        <f t="shared" si="27"/>
        <v>11</v>
      </c>
      <c r="T114">
        <f t="shared" si="45"/>
        <v>3</v>
      </c>
      <c r="U114">
        <f t="shared" si="46"/>
        <v>2</v>
      </c>
      <c r="X114" s="90" t="s">
        <v>26</v>
      </c>
      <c r="Y114" s="90" t="s">
        <v>26</v>
      </c>
      <c r="Z114" s="90" t="s">
        <v>26</v>
      </c>
      <c r="AA114" s="29" t="s">
        <v>18</v>
      </c>
      <c r="AB114" s="29" t="s">
        <v>22</v>
      </c>
      <c r="AC114" s="90" t="s">
        <v>26</v>
      </c>
      <c r="AD114" s="90" t="s">
        <v>14</v>
      </c>
      <c r="AE114" s="29" t="s">
        <v>18</v>
      </c>
      <c r="AF114" s="90" t="s">
        <v>13</v>
      </c>
      <c r="AG114" s="90" t="s">
        <v>14</v>
      </c>
      <c r="AH114" s="90" t="s">
        <v>14</v>
      </c>
      <c r="AI114" s="29" t="s">
        <v>18</v>
      </c>
      <c r="AJ114" s="90" t="s">
        <v>54</v>
      </c>
      <c r="AK114" s="90" t="s">
        <v>26</v>
      </c>
      <c r="AL114" s="90" t="s">
        <v>13</v>
      </c>
      <c r="AM114" s="90" t="s">
        <v>53</v>
      </c>
      <c r="AN114" s="90" t="s">
        <v>53</v>
      </c>
      <c r="AO114" s="29" t="s">
        <v>18</v>
      </c>
      <c r="AP114" s="90" t="s">
        <v>53</v>
      </c>
      <c r="AQ114" s="29" t="s">
        <v>18</v>
      </c>
      <c r="AR114" s="29" t="s">
        <v>22</v>
      </c>
      <c r="AS114" s="90" t="s">
        <v>26</v>
      </c>
      <c r="AT114" s="90" t="s">
        <v>26</v>
      </c>
      <c r="AU114" s="90" t="s">
        <v>26</v>
      </c>
      <c r="AV114" s="90" t="s">
        <v>26</v>
      </c>
      <c r="AW114" s="90" t="s">
        <v>54</v>
      </c>
      <c r="AX114" s="29" t="s">
        <v>18</v>
      </c>
      <c r="AY114" s="29" t="s">
        <v>22</v>
      </c>
      <c r="AZ114" s="90" t="s">
        <v>26</v>
      </c>
      <c r="BA114" s="29" t="s">
        <v>18</v>
      </c>
      <c r="BB114" s="29" t="s">
        <v>22</v>
      </c>
      <c r="BC114" s="29" t="s">
        <v>18</v>
      </c>
      <c r="BD114" s="29" t="s">
        <v>22</v>
      </c>
      <c r="BE114" s="90" t="s">
        <v>26</v>
      </c>
      <c r="BF114" s="29" t="s">
        <v>22</v>
      </c>
      <c r="BG114" s="29" t="s">
        <v>18</v>
      </c>
      <c r="BJ114" s="29" t="s">
        <v>18</v>
      </c>
      <c r="BK114" s="29" t="s">
        <v>22</v>
      </c>
      <c r="BL114" s="29" t="s">
        <v>18</v>
      </c>
      <c r="BM114" s="29" t="s">
        <v>17</v>
      </c>
      <c r="BN114" s="29" t="s">
        <v>17</v>
      </c>
      <c r="BO114" s="29" t="s">
        <v>17</v>
      </c>
      <c r="BP114" s="29" t="s">
        <v>17</v>
      </c>
      <c r="BQ114" s="29" t="s">
        <v>17</v>
      </c>
      <c r="BR114" s="29" t="s">
        <v>17</v>
      </c>
      <c r="BS114" s="29" t="s">
        <v>17</v>
      </c>
      <c r="BT114" s="29" t="s">
        <v>17</v>
      </c>
      <c r="BU114" s="29" t="s">
        <v>17</v>
      </c>
    </row>
    <row r="115" spans="1:73" x14ac:dyDescent="0.3">
      <c r="A115" s="2">
        <f t="shared" ref="A115:B115" si="94">A114+1</f>
        <v>196</v>
      </c>
      <c r="B115" s="12">
        <f t="shared" si="94"/>
        <v>113</v>
      </c>
      <c r="C115" s="24">
        <v>44757.708333333336</v>
      </c>
      <c r="D115" s="4">
        <v>24</v>
      </c>
      <c r="E115" s="4">
        <f t="shared" si="20"/>
        <v>2688</v>
      </c>
      <c r="F115" s="5">
        <f t="shared" si="21"/>
        <v>112</v>
      </c>
      <c r="G115">
        <f t="shared" si="48"/>
        <v>0</v>
      </c>
      <c r="H115">
        <f t="shared" si="39"/>
        <v>0</v>
      </c>
      <c r="I115">
        <f t="shared" si="40"/>
        <v>0</v>
      </c>
      <c r="J115">
        <f t="shared" si="41"/>
        <v>0</v>
      </c>
      <c r="K115">
        <f t="shared" si="42"/>
        <v>0</v>
      </c>
      <c r="L115" s="86">
        <f t="shared" si="22"/>
        <v>2</v>
      </c>
      <c r="M115" s="86">
        <f t="shared" si="23"/>
        <v>3</v>
      </c>
      <c r="N115" s="5"/>
      <c r="O115">
        <f t="shared" si="24"/>
        <v>9</v>
      </c>
      <c r="P115">
        <f t="shared" si="25"/>
        <v>11</v>
      </c>
      <c r="Q115">
        <f t="shared" si="43"/>
        <v>7</v>
      </c>
      <c r="R115">
        <f t="shared" si="44"/>
        <v>0</v>
      </c>
      <c r="S115">
        <f t="shared" si="27"/>
        <v>11</v>
      </c>
      <c r="T115">
        <f t="shared" si="45"/>
        <v>3</v>
      </c>
      <c r="U115">
        <f t="shared" si="46"/>
        <v>2</v>
      </c>
      <c r="X115" s="90" t="s">
        <v>26</v>
      </c>
      <c r="Y115" s="90" t="s">
        <v>26</v>
      </c>
      <c r="Z115" s="90" t="s">
        <v>26</v>
      </c>
      <c r="AA115" s="29" t="s">
        <v>18</v>
      </c>
      <c r="AB115" s="29" t="s">
        <v>22</v>
      </c>
      <c r="AC115" s="90" t="s">
        <v>26</v>
      </c>
      <c r="AD115" s="90" t="s">
        <v>14</v>
      </c>
      <c r="AE115" s="29" t="s">
        <v>18</v>
      </c>
      <c r="AF115" s="90" t="s">
        <v>13</v>
      </c>
      <c r="AG115" s="90" t="s">
        <v>14</v>
      </c>
      <c r="AH115" s="90" t="s">
        <v>14</v>
      </c>
      <c r="AI115" s="29" t="s">
        <v>18</v>
      </c>
      <c r="AJ115" s="90" t="s">
        <v>54</v>
      </c>
      <c r="AK115" s="90" t="s">
        <v>26</v>
      </c>
      <c r="AL115" s="90" t="s">
        <v>13</v>
      </c>
      <c r="AM115" s="90" t="s">
        <v>53</v>
      </c>
      <c r="AN115" s="90" t="s">
        <v>53</v>
      </c>
      <c r="AO115" s="29" t="s">
        <v>18</v>
      </c>
      <c r="AP115" s="90" t="s">
        <v>53</v>
      </c>
      <c r="AQ115" s="29" t="s">
        <v>18</v>
      </c>
      <c r="AR115" s="29" t="s">
        <v>22</v>
      </c>
      <c r="AS115" s="90" t="s">
        <v>26</v>
      </c>
      <c r="AT115" s="90" t="s">
        <v>26</v>
      </c>
      <c r="AU115" s="90" t="s">
        <v>26</v>
      </c>
      <c r="AV115" s="90" t="s">
        <v>26</v>
      </c>
      <c r="AW115" s="90" t="s">
        <v>54</v>
      </c>
      <c r="AX115" s="29" t="s">
        <v>18</v>
      </c>
      <c r="AY115" s="29" t="s">
        <v>22</v>
      </c>
      <c r="AZ115" s="90" t="s">
        <v>26</v>
      </c>
      <c r="BA115" s="29" t="s">
        <v>18</v>
      </c>
      <c r="BB115" s="29" t="s">
        <v>22</v>
      </c>
      <c r="BC115" s="29" t="s">
        <v>18</v>
      </c>
      <c r="BD115" s="29" t="s">
        <v>22</v>
      </c>
      <c r="BE115" s="90" t="s">
        <v>26</v>
      </c>
      <c r="BF115" s="29" t="s">
        <v>22</v>
      </c>
      <c r="BG115" s="29" t="s">
        <v>18</v>
      </c>
      <c r="BJ115" s="29" t="s">
        <v>18</v>
      </c>
      <c r="BK115" s="29" t="s">
        <v>22</v>
      </c>
      <c r="BL115" s="29" t="s">
        <v>18</v>
      </c>
      <c r="BM115" s="29" t="s">
        <v>17</v>
      </c>
      <c r="BN115" s="29" t="s">
        <v>17</v>
      </c>
      <c r="BO115" s="29" t="s">
        <v>17</v>
      </c>
      <c r="BP115" s="29" t="s">
        <v>17</v>
      </c>
      <c r="BQ115" s="29" t="s">
        <v>17</v>
      </c>
      <c r="BR115" s="29" t="s">
        <v>17</v>
      </c>
      <c r="BS115" s="29" t="s">
        <v>17</v>
      </c>
      <c r="BT115" s="29" t="s">
        <v>17</v>
      </c>
      <c r="BU115" s="29" t="s">
        <v>17</v>
      </c>
    </row>
    <row r="116" spans="1:73" x14ac:dyDescent="0.3">
      <c r="A116" s="2">
        <f t="shared" ref="A116:B116" si="95">A115+1</f>
        <v>197</v>
      </c>
      <c r="B116" s="12">
        <f t="shared" si="95"/>
        <v>114</v>
      </c>
      <c r="C116" s="24">
        <v>44758.708333333336</v>
      </c>
      <c r="D116" s="4">
        <v>24</v>
      </c>
      <c r="E116" s="4">
        <f t="shared" si="20"/>
        <v>2712</v>
      </c>
      <c r="F116" s="5">
        <f t="shared" si="21"/>
        <v>113</v>
      </c>
      <c r="G116">
        <f t="shared" si="48"/>
        <v>0</v>
      </c>
      <c r="H116">
        <f t="shared" si="39"/>
        <v>0</v>
      </c>
      <c r="I116">
        <f t="shared" si="40"/>
        <v>0</v>
      </c>
      <c r="J116">
        <f t="shared" si="41"/>
        <v>0</v>
      </c>
      <c r="K116">
        <f t="shared" si="42"/>
        <v>0</v>
      </c>
      <c r="L116" s="86">
        <f t="shared" si="22"/>
        <v>2</v>
      </c>
      <c r="M116" s="86">
        <f t="shared" si="23"/>
        <v>3</v>
      </c>
      <c r="N116" s="5"/>
      <c r="O116">
        <f t="shared" si="24"/>
        <v>9</v>
      </c>
      <c r="P116">
        <f t="shared" si="25"/>
        <v>11</v>
      </c>
      <c r="Q116">
        <f t="shared" si="43"/>
        <v>7</v>
      </c>
      <c r="R116">
        <f t="shared" si="44"/>
        <v>0</v>
      </c>
      <c r="S116">
        <f t="shared" si="27"/>
        <v>11</v>
      </c>
      <c r="T116">
        <f t="shared" si="45"/>
        <v>3</v>
      </c>
      <c r="U116">
        <f t="shared" si="46"/>
        <v>2</v>
      </c>
      <c r="X116" s="90" t="s">
        <v>26</v>
      </c>
      <c r="Y116" s="90" t="s">
        <v>26</v>
      </c>
      <c r="Z116" s="90" t="s">
        <v>26</v>
      </c>
      <c r="AA116" s="29" t="s">
        <v>18</v>
      </c>
      <c r="AB116" s="29" t="s">
        <v>22</v>
      </c>
      <c r="AC116" s="90" t="s">
        <v>26</v>
      </c>
      <c r="AD116" s="90" t="s">
        <v>14</v>
      </c>
      <c r="AE116" s="29" t="s">
        <v>18</v>
      </c>
      <c r="AF116" s="90" t="s">
        <v>13</v>
      </c>
      <c r="AG116" s="90" t="s">
        <v>14</v>
      </c>
      <c r="AH116" s="90" t="s">
        <v>14</v>
      </c>
      <c r="AI116" s="29" t="s">
        <v>18</v>
      </c>
      <c r="AJ116" s="90" t="s">
        <v>54</v>
      </c>
      <c r="AK116" s="90" t="s">
        <v>26</v>
      </c>
      <c r="AL116" s="90" t="s">
        <v>13</v>
      </c>
      <c r="AM116" s="90" t="s">
        <v>53</v>
      </c>
      <c r="AN116" s="90" t="s">
        <v>53</v>
      </c>
      <c r="AO116" s="29" t="s">
        <v>18</v>
      </c>
      <c r="AP116" s="90" t="s">
        <v>53</v>
      </c>
      <c r="AQ116" s="29" t="s">
        <v>18</v>
      </c>
      <c r="AR116" s="29" t="s">
        <v>22</v>
      </c>
      <c r="AS116" s="90" t="s">
        <v>26</v>
      </c>
      <c r="AT116" s="90" t="s">
        <v>26</v>
      </c>
      <c r="AU116" s="90" t="s">
        <v>26</v>
      </c>
      <c r="AV116" s="90" t="s">
        <v>26</v>
      </c>
      <c r="AW116" s="90" t="s">
        <v>54</v>
      </c>
      <c r="AX116" s="29" t="s">
        <v>18</v>
      </c>
      <c r="AY116" s="29" t="s">
        <v>22</v>
      </c>
      <c r="AZ116" s="90" t="s">
        <v>26</v>
      </c>
      <c r="BA116" s="29" t="s">
        <v>18</v>
      </c>
      <c r="BB116" s="29" t="s">
        <v>22</v>
      </c>
      <c r="BC116" s="29" t="s">
        <v>18</v>
      </c>
      <c r="BD116" s="29" t="s">
        <v>22</v>
      </c>
      <c r="BE116" s="90" t="s">
        <v>26</v>
      </c>
      <c r="BF116" s="29" t="s">
        <v>22</v>
      </c>
      <c r="BG116" s="29" t="s">
        <v>18</v>
      </c>
      <c r="BJ116" s="29" t="s">
        <v>18</v>
      </c>
      <c r="BK116" s="29" t="s">
        <v>22</v>
      </c>
      <c r="BL116" s="29" t="s">
        <v>18</v>
      </c>
      <c r="BM116" s="29" t="s">
        <v>17</v>
      </c>
      <c r="BN116" s="29" t="s">
        <v>17</v>
      </c>
      <c r="BO116" s="29" t="s">
        <v>17</v>
      </c>
      <c r="BP116" s="29" t="s">
        <v>17</v>
      </c>
      <c r="BQ116" s="29" t="s">
        <v>17</v>
      </c>
      <c r="BR116" s="29" t="s">
        <v>17</v>
      </c>
      <c r="BS116" s="29" t="s">
        <v>17</v>
      </c>
      <c r="BT116" s="29" t="s">
        <v>17</v>
      </c>
      <c r="BU116" s="29" t="s">
        <v>17</v>
      </c>
    </row>
    <row r="117" spans="1:73" x14ac:dyDescent="0.3">
      <c r="A117" s="2">
        <f t="shared" ref="A117:B117" si="96">A116+1</f>
        <v>198</v>
      </c>
      <c r="B117" s="12">
        <f t="shared" si="96"/>
        <v>115</v>
      </c>
      <c r="C117" s="24">
        <v>44759.708333333336</v>
      </c>
      <c r="D117" s="4">
        <v>24</v>
      </c>
      <c r="E117" s="4">
        <f t="shared" si="20"/>
        <v>2736</v>
      </c>
      <c r="F117" s="5">
        <f t="shared" si="21"/>
        <v>114</v>
      </c>
      <c r="G117">
        <f t="shared" si="48"/>
        <v>0</v>
      </c>
      <c r="H117">
        <f t="shared" si="39"/>
        <v>0</v>
      </c>
      <c r="I117">
        <f t="shared" si="40"/>
        <v>0</v>
      </c>
      <c r="J117">
        <f t="shared" si="41"/>
        <v>0</v>
      </c>
      <c r="K117">
        <f t="shared" si="42"/>
        <v>0</v>
      </c>
      <c r="L117" s="86">
        <f t="shared" si="22"/>
        <v>1</v>
      </c>
      <c r="M117" s="86">
        <f t="shared" si="23"/>
        <v>2</v>
      </c>
      <c r="N117" s="5"/>
      <c r="O117">
        <f t="shared" si="24"/>
        <v>9</v>
      </c>
      <c r="P117">
        <f t="shared" si="25"/>
        <v>11</v>
      </c>
      <c r="Q117">
        <f t="shared" si="43"/>
        <v>7</v>
      </c>
      <c r="R117">
        <f t="shared" si="44"/>
        <v>0</v>
      </c>
      <c r="S117">
        <f t="shared" si="27"/>
        <v>11</v>
      </c>
      <c r="T117">
        <f t="shared" si="45"/>
        <v>4</v>
      </c>
      <c r="U117">
        <f t="shared" si="46"/>
        <v>3</v>
      </c>
      <c r="X117" s="90" t="s">
        <v>26</v>
      </c>
      <c r="Y117" s="90" t="s">
        <v>26</v>
      </c>
      <c r="Z117" s="90" t="s">
        <v>26</v>
      </c>
      <c r="AA117" s="29" t="s">
        <v>18</v>
      </c>
      <c r="AB117" s="29" t="s">
        <v>22</v>
      </c>
      <c r="AC117" s="90" t="s">
        <v>26</v>
      </c>
      <c r="AD117" s="90" t="s">
        <v>14</v>
      </c>
      <c r="AE117" s="29" t="s">
        <v>18</v>
      </c>
      <c r="AF117" s="90" t="s">
        <v>13</v>
      </c>
      <c r="AG117" s="90" t="s">
        <v>54</v>
      </c>
      <c r="AH117" s="90" t="s">
        <v>14</v>
      </c>
      <c r="AI117" s="29" t="s">
        <v>18</v>
      </c>
      <c r="AJ117" s="90" t="s">
        <v>54</v>
      </c>
      <c r="AK117" s="90" t="s">
        <v>26</v>
      </c>
      <c r="AL117" s="90" t="s">
        <v>53</v>
      </c>
      <c r="AM117" s="90" t="s">
        <v>53</v>
      </c>
      <c r="AN117" s="90" t="s">
        <v>53</v>
      </c>
      <c r="AO117" s="29" t="s">
        <v>18</v>
      </c>
      <c r="AP117" s="90" t="s">
        <v>53</v>
      </c>
      <c r="AQ117" s="29" t="s">
        <v>18</v>
      </c>
      <c r="AR117" s="29" t="s">
        <v>22</v>
      </c>
      <c r="AS117" s="90" t="s">
        <v>26</v>
      </c>
      <c r="AT117" s="90" t="s">
        <v>26</v>
      </c>
      <c r="AU117" s="90" t="s">
        <v>26</v>
      </c>
      <c r="AV117" s="90" t="s">
        <v>26</v>
      </c>
      <c r="AW117" s="90" t="s">
        <v>54</v>
      </c>
      <c r="AX117" s="29" t="s">
        <v>18</v>
      </c>
      <c r="AY117" s="29" t="s">
        <v>22</v>
      </c>
      <c r="AZ117" s="90" t="s">
        <v>26</v>
      </c>
      <c r="BA117" s="29" t="s">
        <v>18</v>
      </c>
      <c r="BB117" s="29" t="s">
        <v>22</v>
      </c>
      <c r="BC117" s="29" t="s">
        <v>18</v>
      </c>
      <c r="BD117" s="29" t="s">
        <v>22</v>
      </c>
      <c r="BE117" s="90" t="s">
        <v>26</v>
      </c>
      <c r="BF117" s="29" t="s">
        <v>22</v>
      </c>
      <c r="BG117" s="29" t="s">
        <v>18</v>
      </c>
      <c r="BJ117" s="29" t="s">
        <v>18</v>
      </c>
      <c r="BK117" s="29" t="s">
        <v>22</v>
      </c>
      <c r="BL117" s="29" t="s">
        <v>18</v>
      </c>
      <c r="BM117" s="29" t="s">
        <v>17</v>
      </c>
      <c r="BN117" s="29" t="s">
        <v>17</v>
      </c>
      <c r="BO117" s="29" t="s">
        <v>17</v>
      </c>
      <c r="BP117" s="29" t="s">
        <v>17</v>
      </c>
      <c r="BQ117" s="29" t="s">
        <v>17</v>
      </c>
      <c r="BR117" s="29" t="s">
        <v>17</v>
      </c>
      <c r="BS117" s="29" t="s">
        <v>17</v>
      </c>
      <c r="BT117" s="29" t="s">
        <v>17</v>
      </c>
      <c r="BU117" s="29" t="s">
        <v>17</v>
      </c>
    </row>
    <row r="118" spans="1:73" x14ac:dyDescent="0.3">
      <c r="A118" s="2">
        <f t="shared" ref="A118:B118" si="97">A117+1</f>
        <v>199</v>
      </c>
      <c r="B118" s="12">
        <f t="shared" si="97"/>
        <v>116</v>
      </c>
      <c r="C118" s="24">
        <v>44760.708333333336</v>
      </c>
      <c r="D118" s="4">
        <v>24</v>
      </c>
      <c r="E118" s="4">
        <f t="shared" si="20"/>
        <v>2760</v>
      </c>
      <c r="F118" s="5">
        <f t="shared" si="21"/>
        <v>115</v>
      </c>
      <c r="G118">
        <f t="shared" si="48"/>
        <v>0</v>
      </c>
      <c r="H118">
        <f t="shared" si="39"/>
        <v>0</v>
      </c>
      <c r="I118">
        <f t="shared" si="40"/>
        <v>0</v>
      </c>
      <c r="J118">
        <f t="shared" si="41"/>
        <v>0</v>
      </c>
      <c r="K118">
        <f t="shared" si="42"/>
        <v>0</v>
      </c>
      <c r="L118" s="86">
        <f t="shared" si="22"/>
        <v>1</v>
      </c>
      <c r="M118" s="86">
        <f t="shared" si="23"/>
        <v>2</v>
      </c>
      <c r="N118" s="5"/>
      <c r="O118">
        <f t="shared" si="24"/>
        <v>9</v>
      </c>
      <c r="P118">
        <f t="shared" si="25"/>
        <v>11</v>
      </c>
      <c r="Q118">
        <f t="shared" si="43"/>
        <v>7</v>
      </c>
      <c r="R118">
        <f t="shared" si="44"/>
        <v>0</v>
      </c>
      <c r="S118">
        <f t="shared" si="27"/>
        <v>11</v>
      </c>
      <c r="T118">
        <f t="shared" si="45"/>
        <v>4</v>
      </c>
      <c r="U118">
        <f t="shared" si="46"/>
        <v>3</v>
      </c>
      <c r="X118" s="90" t="s">
        <v>26</v>
      </c>
      <c r="Y118" s="90" t="s">
        <v>26</v>
      </c>
      <c r="Z118" s="90" t="s">
        <v>26</v>
      </c>
      <c r="AA118" s="29" t="s">
        <v>18</v>
      </c>
      <c r="AB118" s="29" t="s">
        <v>22</v>
      </c>
      <c r="AC118" s="90" t="s">
        <v>26</v>
      </c>
      <c r="AD118" s="90" t="s">
        <v>14</v>
      </c>
      <c r="AE118" s="29" t="s">
        <v>18</v>
      </c>
      <c r="AF118" s="90" t="s">
        <v>13</v>
      </c>
      <c r="AG118" s="90" t="s">
        <v>54</v>
      </c>
      <c r="AH118" s="90" t="s">
        <v>14</v>
      </c>
      <c r="AI118" s="29" t="s">
        <v>18</v>
      </c>
      <c r="AJ118" s="90" t="s">
        <v>54</v>
      </c>
      <c r="AK118" s="90" t="s">
        <v>26</v>
      </c>
      <c r="AL118" s="90" t="s">
        <v>53</v>
      </c>
      <c r="AM118" s="90" t="s">
        <v>53</v>
      </c>
      <c r="AN118" s="90" t="s">
        <v>53</v>
      </c>
      <c r="AO118" s="29" t="s">
        <v>18</v>
      </c>
      <c r="AP118" s="90" t="s">
        <v>53</v>
      </c>
      <c r="AQ118" s="29" t="s">
        <v>18</v>
      </c>
      <c r="AR118" s="29" t="s">
        <v>22</v>
      </c>
      <c r="AS118" s="90" t="s">
        <v>26</v>
      </c>
      <c r="AT118" s="90" t="s">
        <v>26</v>
      </c>
      <c r="AU118" s="90" t="s">
        <v>26</v>
      </c>
      <c r="AV118" s="90" t="s">
        <v>26</v>
      </c>
      <c r="AW118" s="90" t="s">
        <v>54</v>
      </c>
      <c r="AX118" s="29" t="s">
        <v>18</v>
      </c>
      <c r="AY118" s="29" t="s">
        <v>22</v>
      </c>
      <c r="AZ118" s="90" t="s">
        <v>26</v>
      </c>
      <c r="BA118" s="29" t="s">
        <v>18</v>
      </c>
      <c r="BB118" s="29" t="s">
        <v>22</v>
      </c>
      <c r="BC118" s="29" t="s">
        <v>18</v>
      </c>
      <c r="BD118" s="29" t="s">
        <v>22</v>
      </c>
      <c r="BE118" s="90" t="s">
        <v>26</v>
      </c>
      <c r="BF118" s="29" t="s">
        <v>22</v>
      </c>
      <c r="BG118" s="29" t="s">
        <v>18</v>
      </c>
      <c r="BJ118" s="29" t="s">
        <v>18</v>
      </c>
      <c r="BK118" s="29" t="s">
        <v>22</v>
      </c>
      <c r="BL118" s="29" t="s">
        <v>18</v>
      </c>
      <c r="BM118" s="29" t="s">
        <v>17</v>
      </c>
      <c r="BN118" s="29" t="s">
        <v>17</v>
      </c>
      <c r="BO118" s="29" t="s">
        <v>17</v>
      </c>
      <c r="BP118" s="29" t="s">
        <v>17</v>
      </c>
      <c r="BQ118" s="29" t="s">
        <v>17</v>
      </c>
      <c r="BR118" s="29" t="s">
        <v>17</v>
      </c>
      <c r="BS118" s="29" t="s">
        <v>17</v>
      </c>
      <c r="BT118" s="29" t="s">
        <v>17</v>
      </c>
      <c r="BU118" s="29" t="s">
        <v>17</v>
      </c>
    </row>
    <row r="119" spans="1:73" x14ac:dyDescent="0.3">
      <c r="A119" s="2">
        <f t="shared" ref="A119:B119" si="98">A118+1</f>
        <v>200</v>
      </c>
      <c r="B119" s="12">
        <f t="shared" si="98"/>
        <v>117</v>
      </c>
      <c r="C119" s="24">
        <v>44761.708333333336</v>
      </c>
      <c r="D119" s="4">
        <v>24</v>
      </c>
      <c r="E119" s="4">
        <f t="shared" si="20"/>
        <v>2784</v>
      </c>
      <c r="F119" s="5">
        <f t="shared" si="21"/>
        <v>116</v>
      </c>
      <c r="G119">
        <f t="shared" si="48"/>
        <v>0</v>
      </c>
      <c r="H119">
        <f t="shared" si="39"/>
        <v>0</v>
      </c>
      <c r="I119">
        <f t="shared" si="40"/>
        <v>0</v>
      </c>
      <c r="J119">
        <f t="shared" si="41"/>
        <v>0</v>
      </c>
      <c r="K119">
        <f t="shared" si="42"/>
        <v>0</v>
      </c>
      <c r="L119" s="86">
        <f t="shared" si="22"/>
        <v>1</v>
      </c>
      <c r="M119" s="86">
        <f t="shared" si="23"/>
        <v>2</v>
      </c>
      <c r="N119" s="5"/>
      <c r="O119">
        <f t="shared" si="24"/>
        <v>9</v>
      </c>
      <c r="P119">
        <f t="shared" si="25"/>
        <v>11</v>
      </c>
      <c r="Q119">
        <f t="shared" si="43"/>
        <v>7</v>
      </c>
      <c r="R119">
        <f t="shared" si="44"/>
        <v>0</v>
      </c>
      <c r="S119">
        <f t="shared" si="27"/>
        <v>11</v>
      </c>
      <c r="T119">
        <f t="shared" si="45"/>
        <v>4</v>
      </c>
      <c r="U119">
        <f t="shared" si="46"/>
        <v>3</v>
      </c>
      <c r="X119" s="90" t="s">
        <v>26</v>
      </c>
      <c r="Y119" s="90" t="s">
        <v>26</v>
      </c>
      <c r="Z119" s="90" t="s">
        <v>26</v>
      </c>
      <c r="AA119" s="29" t="s">
        <v>18</v>
      </c>
      <c r="AB119" s="29" t="s">
        <v>22</v>
      </c>
      <c r="AC119" s="90" t="s">
        <v>26</v>
      </c>
      <c r="AD119" s="90" t="s">
        <v>14</v>
      </c>
      <c r="AE119" s="29" t="s">
        <v>18</v>
      </c>
      <c r="AF119" s="90" t="s">
        <v>13</v>
      </c>
      <c r="AG119" s="90" t="s">
        <v>54</v>
      </c>
      <c r="AH119" s="90" t="s">
        <v>14</v>
      </c>
      <c r="AI119" s="29" t="s">
        <v>18</v>
      </c>
      <c r="AJ119" s="90" t="s">
        <v>54</v>
      </c>
      <c r="AK119" s="90" t="s">
        <v>26</v>
      </c>
      <c r="AL119" s="90" t="s">
        <v>53</v>
      </c>
      <c r="AM119" s="90" t="s">
        <v>53</v>
      </c>
      <c r="AN119" s="90" t="s">
        <v>53</v>
      </c>
      <c r="AO119" s="29" t="s">
        <v>18</v>
      </c>
      <c r="AP119" s="90" t="s">
        <v>53</v>
      </c>
      <c r="AQ119" s="29" t="s">
        <v>18</v>
      </c>
      <c r="AR119" s="29" t="s">
        <v>22</v>
      </c>
      <c r="AS119" s="90" t="s">
        <v>26</v>
      </c>
      <c r="AT119" s="90" t="s">
        <v>26</v>
      </c>
      <c r="AU119" s="90" t="s">
        <v>26</v>
      </c>
      <c r="AV119" s="90" t="s">
        <v>26</v>
      </c>
      <c r="AW119" s="90" t="s">
        <v>54</v>
      </c>
      <c r="AX119" s="29" t="s">
        <v>18</v>
      </c>
      <c r="AY119" s="29" t="s">
        <v>22</v>
      </c>
      <c r="AZ119" s="90" t="s">
        <v>26</v>
      </c>
      <c r="BA119" s="29" t="s">
        <v>18</v>
      </c>
      <c r="BB119" s="29" t="s">
        <v>22</v>
      </c>
      <c r="BC119" s="29" t="s">
        <v>18</v>
      </c>
      <c r="BD119" s="29" t="s">
        <v>22</v>
      </c>
      <c r="BE119" s="90" t="s">
        <v>26</v>
      </c>
      <c r="BF119" s="29" t="s">
        <v>22</v>
      </c>
      <c r="BG119" s="29" t="s">
        <v>18</v>
      </c>
      <c r="BJ119" s="29" t="s">
        <v>18</v>
      </c>
      <c r="BK119" s="29" t="s">
        <v>22</v>
      </c>
      <c r="BL119" s="29" t="s">
        <v>18</v>
      </c>
      <c r="BM119" s="29" t="s">
        <v>17</v>
      </c>
      <c r="BN119" s="29" t="s">
        <v>17</v>
      </c>
      <c r="BO119" s="29" t="s">
        <v>17</v>
      </c>
      <c r="BP119" s="29" t="s">
        <v>17</v>
      </c>
      <c r="BQ119" s="29" t="s">
        <v>17</v>
      </c>
      <c r="BR119" s="29" t="s">
        <v>17</v>
      </c>
      <c r="BS119" s="29" t="s">
        <v>17</v>
      </c>
      <c r="BT119" s="29" t="s">
        <v>17</v>
      </c>
      <c r="BU119" s="29" t="s">
        <v>17</v>
      </c>
    </row>
    <row r="120" spans="1:73" x14ac:dyDescent="0.3">
      <c r="A120" s="2">
        <f t="shared" ref="A120:B120" si="99">A119+1</f>
        <v>201</v>
      </c>
      <c r="B120" s="12">
        <f t="shared" si="99"/>
        <v>118</v>
      </c>
      <c r="C120" s="24">
        <v>44762.708333333336</v>
      </c>
      <c r="D120" s="4">
        <v>24</v>
      </c>
      <c r="E120" s="4">
        <f t="shared" ref="E120:E142" si="100">E119+D120</f>
        <v>2808</v>
      </c>
      <c r="F120" s="5">
        <f t="shared" ref="F120:F142" si="101">E120/24</f>
        <v>117</v>
      </c>
      <c r="G120">
        <f t="shared" si="48"/>
        <v>0</v>
      </c>
      <c r="H120">
        <f t="shared" si="39"/>
        <v>0</v>
      </c>
      <c r="I120">
        <f t="shared" si="40"/>
        <v>0</v>
      </c>
      <c r="J120">
        <f t="shared" si="41"/>
        <v>0</v>
      </c>
      <c r="K120">
        <f t="shared" si="42"/>
        <v>0</v>
      </c>
      <c r="L120" s="86">
        <f>COUNTIF($X120:$BU120, "AM")</f>
        <v>1</v>
      </c>
      <c r="M120" s="86">
        <f>COUNTIF($X120:$BU120, "AF")</f>
        <v>2</v>
      </c>
      <c r="N120" s="5"/>
      <c r="O120">
        <f t="shared" ref="O120:O142" si="102">COUNTIF($X120:$BU120, "E_D")</f>
        <v>9</v>
      </c>
      <c r="P120">
        <f t="shared" ref="P120:P142" si="103">COUNTIF($X120:$BU120, "L1_D")</f>
        <v>11</v>
      </c>
      <c r="Q120">
        <f t="shared" si="43"/>
        <v>7</v>
      </c>
      <c r="R120">
        <f t="shared" si="44"/>
        <v>0</v>
      </c>
      <c r="S120">
        <f t="shared" si="27"/>
        <v>11</v>
      </c>
      <c r="T120">
        <f t="shared" si="45"/>
        <v>4</v>
      </c>
      <c r="U120">
        <f t="shared" si="46"/>
        <v>3</v>
      </c>
      <c r="X120" s="90" t="s">
        <v>26</v>
      </c>
      <c r="Y120" s="90" t="s">
        <v>26</v>
      </c>
      <c r="Z120" s="90" t="s">
        <v>26</v>
      </c>
      <c r="AA120" s="29" t="s">
        <v>18</v>
      </c>
      <c r="AB120" s="29" t="s">
        <v>22</v>
      </c>
      <c r="AC120" s="90" t="s">
        <v>26</v>
      </c>
      <c r="AD120" s="90" t="s">
        <v>14</v>
      </c>
      <c r="AE120" s="29" t="s">
        <v>18</v>
      </c>
      <c r="AF120" s="90" t="s">
        <v>13</v>
      </c>
      <c r="AG120" s="90" t="s">
        <v>54</v>
      </c>
      <c r="AH120" s="90" t="s">
        <v>14</v>
      </c>
      <c r="AI120" s="29" t="s">
        <v>18</v>
      </c>
      <c r="AJ120" s="90" t="s">
        <v>54</v>
      </c>
      <c r="AK120" s="90" t="s">
        <v>26</v>
      </c>
      <c r="AL120" s="90" t="s">
        <v>53</v>
      </c>
      <c r="AM120" s="90" t="s">
        <v>53</v>
      </c>
      <c r="AN120" s="90" t="s">
        <v>53</v>
      </c>
      <c r="AO120" s="29" t="s">
        <v>18</v>
      </c>
      <c r="AP120" s="90" t="s">
        <v>53</v>
      </c>
      <c r="AQ120" s="29" t="s">
        <v>18</v>
      </c>
      <c r="AR120" s="29" t="s">
        <v>22</v>
      </c>
      <c r="AS120" s="90" t="s">
        <v>26</v>
      </c>
      <c r="AT120" s="90" t="s">
        <v>26</v>
      </c>
      <c r="AU120" s="90" t="s">
        <v>26</v>
      </c>
      <c r="AV120" s="90" t="s">
        <v>26</v>
      </c>
      <c r="AW120" s="90" t="s">
        <v>54</v>
      </c>
      <c r="AX120" s="29" t="s">
        <v>18</v>
      </c>
      <c r="AY120" s="29" t="s">
        <v>22</v>
      </c>
      <c r="AZ120" s="90" t="s">
        <v>26</v>
      </c>
      <c r="BA120" s="29" t="s">
        <v>18</v>
      </c>
      <c r="BB120" s="29" t="s">
        <v>22</v>
      </c>
      <c r="BC120" s="29" t="s">
        <v>18</v>
      </c>
      <c r="BD120" s="29" t="s">
        <v>22</v>
      </c>
      <c r="BE120" s="90" t="s">
        <v>26</v>
      </c>
      <c r="BF120" s="29" t="s">
        <v>22</v>
      </c>
      <c r="BG120" s="29" t="s">
        <v>18</v>
      </c>
      <c r="BJ120" s="29" t="s">
        <v>18</v>
      </c>
      <c r="BK120" s="29" t="s">
        <v>22</v>
      </c>
      <c r="BL120" s="29" t="s">
        <v>18</v>
      </c>
      <c r="BM120" s="29" t="s">
        <v>17</v>
      </c>
      <c r="BN120" s="29" t="s">
        <v>17</v>
      </c>
      <c r="BO120" s="29" t="s">
        <v>17</v>
      </c>
      <c r="BP120" s="29" t="s">
        <v>17</v>
      </c>
      <c r="BQ120" s="29" t="s">
        <v>17</v>
      </c>
      <c r="BR120" s="29" t="s">
        <v>17</v>
      </c>
      <c r="BS120" s="29" t="s">
        <v>17</v>
      </c>
      <c r="BT120" s="29" t="s">
        <v>17</v>
      </c>
      <c r="BU120" s="29" t="s">
        <v>17</v>
      </c>
    </row>
    <row r="121" spans="1:73" x14ac:dyDescent="0.3">
      <c r="A121" s="2">
        <f t="shared" ref="A121:B121" si="104">A120+1</f>
        <v>202</v>
      </c>
      <c r="B121" s="12">
        <f t="shared" si="104"/>
        <v>119</v>
      </c>
      <c r="C121" s="24">
        <v>44763.708333333336</v>
      </c>
      <c r="D121" s="4">
        <v>24</v>
      </c>
      <c r="E121" s="4">
        <f t="shared" si="100"/>
        <v>2832</v>
      </c>
      <c r="F121" s="5">
        <f t="shared" si="101"/>
        <v>118</v>
      </c>
      <c r="G121">
        <f t="shared" si="48"/>
        <v>0</v>
      </c>
      <c r="H121">
        <f t="shared" si="39"/>
        <v>0</v>
      </c>
      <c r="I121">
        <f t="shared" si="40"/>
        <v>0</v>
      </c>
      <c r="J121">
        <f t="shared" si="41"/>
        <v>0</v>
      </c>
      <c r="K121">
        <f t="shared" si="42"/>
        <v>0</v>
      </c>
      <c r="L121" s="86">
        <f>COUNTIF($X121:$BU121, "AM")</f>
        <v>1</v>
      </c>
      <c r="M121" s="86">
        <f>COUNTIF($X121:$BU121, "AF")</f>
        <v>2</v>
      </c>
      <c r="N121" s="5"/>
      <c r="O121">
        <f t="shared" si="102"/>
        <v>9</v>
      </c>
      <c r="P121">
        <f t="shared" si="103"/>
        <v>11</v>
      </c>
      <c r="Q121">
        <f t="shared" si="43"/>
        <v>7</v>
      </c>
      <c r="R121">
        <f t="shared" si="44"/>
        <v>0</v>
      </c>
      <c r="S121">
        <f t="shared" ref="S121:U142" si="105">COUNTIF($X121:$BU121, "P_D")</f>
        <v>11</v>
      </c>
      <c r="T121">
        <f t="shared" si="45"/>
        <v>4</v>
      </c>
      <c r="U121">
        <f t="shared" si="46"/>
        <v>3</v>
      </c>
      <c r="X121" s="90" t="s">
        <v>26</v>
      </c>
      <c r="Y121" s="90" t="s">
        <v>26</v>
      </c>
      <c r="Z121" s="90" t="s">
        <v>26</v>
      </c>
      <c r="AA121" s="29" t="s">
        <v>18</v>
      </c>
      <c r="AB121" s="29" t="s">
        <v>22</v>
      </c>
      <c r="AC121" s="90" t="s">
        <v>26</v>
      </c>
      <c r="AD121" s="90" t="s">
        <v>14</v>
      </c>
      <c r="AE121" s="29" t="s">
        <v>18</v>
      </c>
      <c r="AF121" s="90" t="s">
        <v>13</v>
      </c>
      <c r="AG121" s="90" t="s">
        <v>54</v>
      </c>
      <c r="AH121" s="90" t="s">
        <v>14</v>
      </c>
      <c r="AI121" s="29" t="s">
        <v>18</v>
      </c>
      <c r="AJ121" s="90" t="s">
        <v>54</v>
      </c>
      <c r="AK121" s="90" t="s">
        <v>26</v>
      </c>
      <c r="AL121" s="90" t="s">
        <v>53</v>
      </c>
      <c r="AM121" s="90" t="s">
        <v>53</v>
      </c>
      <c r="AN121" s="90" t="s">
        <v>53</v>
      </c>
      <c r="AO121" s="29" t="s">
        <v>18</v>
      </c>
      <c r="AP121" s="90" t="s">
        <v>53</v>
      </c>
      <c r="AQ121" s="29" t="s">
        <v>18</v>
      </c>
      <c r="AR121" s="29" t="s">
        <v>22</v>
      </c>
      <c r="AS121" s="90" t="s">
        <v>26</v>
      </c>
      <c r="AT121" s="90" t="s">
        <v>26</v>
      </c>
      <c r="AU121" s="90" t="s">
        <v>26</v>
      </c>
      <c r="AV121" s="90" t="s">
        <v>26</v>
      </c>
      <c r="AW121" s="90" t="s">
        <v>54</v>
      </c>
      <c r="AX121" s="29" t="s">
        <v>18</v>
      </c>
      <c r="AY121" s="29" t="s">
        <v>22</v>
      </c>
      <c r="AZ121" s="90" t="s">
        <v>26</v>
      </c>
      <c r="BA121" s="29" t="s">
        <v>18</v>
      </c>
      <c r="BB121" s="29" t="s">
        <v>22</v>
      </c>
      <c r="BC121" s="29" t="s">
        <v>18</v>
      </c>
      <c r="BD121" s="29" t="s">
        <v>22</v>
      </c>
      <c r="BE121" s="90" t="s">
        <v>26</v>
      </c>
      <c r="BF121" s="29" t="s">
        <v>22</v>
      </c>
      <c r="BG121" s="29" t="s">
        <v>18</v>
      </c>
      <c r="BJ121" s="29" t="s">
        <v>18</v>
      </c>
      <c r="BK121" s="29" t="s">
        <v>22</v>
      </c>
      <c r="BL121" s="29" t="s">
        <v>18</v>
      </c>
      <c r="BM121" s="29" t="s">
        <v>17</v>
      </c>
      <c r="BN121" s="29" t="s">
        <v>17</v>
      </c>
      <c r="BO121" s="29" t="s">
        <v>17</v>
      </c>
      <c r="BP121" s="29" t="s">
        <v>17</v>
      </c>
      <c r="BQ121" s="29" t="s">
        <v>17</v>
      </c>
      <c r="BR121" s="29" t="s">
        <v>17</v>
      </c>
      <c r="BS121" s="29" t="s">
        <v>17</v>
      </c>
      <c r="BT121" s="29" t="s">
        <v>17</v>
      </c>
      <c r="BU121" s="29" t="s">
        <v>17</v>
      </c>
    </row>
    <row r="122" spans="1:73" x14ac:dyDescent="0.3">
      <c r="A122" s="2">
        <f t="shared" ref="A122:B122" si="106">A121+1</f>
        <v>203</v>
      </c>
      <c r="B122" s="12">
        <f t="shared" si="106"/>
        <v>120</v>
      </c>
      <c r="C122" s="24">
        <v>44764.708333333336</v>
      </c>
      <c r="D122" s="4">
        <v>24</v>
      </c>
      <c r="E122" s="4">
        <f t="shared" si="100"/>
        <v>2856</v>
      </c>
      <c r="F122" s="5">
        <f t="shared" si="101"/>
        <v>119</v>
      </c>
      <c r="G122">
        <f t="shared" si="48"/>
        <v>0</v>
      </c>
      <c r="H122">
        <f t="shared" si="39"/>
        <v>0</v>
      </c>
      <c r="I122">
        <f t="shared" si="40"/>
        <v>0</v>
      </c>
      <c r="J122">
        <f t="shared" si="41"/>
        <v>0</v>
      </c>
      <c r="K122">
        <f t="shared" si="42"/>
        <v>0</v>
      </c>
      <c r="L122" s="86">
        <f>COUNTIF($X122:$BU122, "AM")</f>
        <v>1</v>
      </c>
      <c r="M122" s="86">
        <f>COUNTIF($X122:$BU122, "AF")</f>
        <v>2</v>
      </c>
      <c r="N122" s="5"/>
      <c r="O122">
        <f t="shared" si="102"/>
        <v>9</v>
      </c>
      <c r="P122">
        <f t="shared" si="103"/>
        <v>11</v>
      </c>
      <c r="Q122">
        <f t="shared" si="43"/>
        <v>7</v>
      </c>
      <c r="R122">
        <f t="shared" si="44"/>
        <v>0</v>
      </c>
      <c r="S122">
        <f t="shared" si="105"/>
        <v>11</v>
      </c>
      <c r="T122">
        <f t="shared" si="45"/>
        <v>4</v>
      </c>
      <c r="U122">
        <f t="shared" si="46"/>
        <v>3</v>
      </c>
      <c r="X122" s="90" t="s">
        <v>26</v>
      </c>
      <c r="Y122" s="90" t="s">
        <v>26</v>
      </c>
      <c r="Z122" s="90" t="s">
        <v>26</v>
      </c>
      <c r="AA122" s="29" t="s">
        <v>18</v>
      </c>
      <c r="AB122" s="29" t="s">
        <v>22</v>
      </c>
      <c r="AC122" s="90" t="s">
        <v>26</v>
      </c>
      <c r="AD122" s="90" t="s">
        <v>14</v>
      </c>
      <c r="AE122" s="29" t="s">
        <v>18</v>
      </c>
      <c r="AF122" s="90" t="s">
        <v>13</v>
      </c>
      <c r="AG122" s="90" t="s">
        <v>54</v>
      </c>
      <c r="AH122" s="90" t="s">
        <v>14</v>
      </c>
      <c r="AI122" s="29" t="s">
        <v>18</v>
      </c>
      <c r="AJ122" s="90" t="s">
        <v>54</v>
      </c>
      <c r="AK122" s="90" t="s">
        <v>26</v>
      </c>
      <c r="AL122" s="90" t="s">
        <v>53</v>
      </c>
      <c r="AM122" s="90" t="s">
        <v>53</v>
      </c>
      <c r="AN122" s="90" t="s">
        <v>53</v>
      </c>
      <c r="AO122" s="29" t="s">
        <v>18</v>
      </c>
      <c r="AP122" s="90" t="s">
        <v>53</v>
      </c>
      <c r="AQ122" s="29" t="s">
        <v>18</v>
      </c>
      <c r="AR122" s="29" t="s">
        <v>22</v>
      </c>
      <c r="AS122" s="90" t="s">
        <v>26</v>
      </c>
      <c r="AT122" s="90" t="s">
        <v>26</v>
      </c>
      <c r="AU122" s="90" t="s">
        <v>26</v>
      </c>
      <c r="AV122" s="90" t="s">
        <v>26</v>
      </c>
      <c r="AW122" s="90" t="s">
        <v>54</v>
      </c>
      <c r="AX122" s="29" t="s">
        <v>18</v>
      </c>
      <c r="AY122" s="29" t="s">
        <v>22</v>
      </c>
      <c r="AZ122" s="90" t="s">
        <v>26</v>
      </c>
      <c r="BA122" s="29" t="s">
        <v>18</v>
      </c>
      <c r="BB122" s="29" t="s">
        <v>22</v>
      </c>
      <c r="BC122" s="29" t="s">
        <v>18</v>
      </c>
      <c r="BD122" s="29" t="s">
        <v>22</v>
      </c>
      <c r="BE122" s="90" t="s">
        <v>26</v>
      </c>
      <c r="BF122" s="29" t="s">
        <v>22</v>
      </c>
      <c r="BG122" s="29" t="s">
        <v>18</v>
      </c>
      <c r="BJ122" s="29" t="s">
        <v>18</v>
      </c>
      <c r="BK122" s="29" t="s">
        <v>22</v>
      </c>
      <c r="BL122" s="29" t="s">
        <v>18</v>
      </c>
      <c r="BM122" s="29" t="s">
        <v>17</v>
      </c>
      <c r="BN122" s="29" t="s">
        <v>17</v>
      </c>
      <c r="BO122" s="29" t="s">
        <v>17</v>
      </c>
      <c r="BP122" s="29" t="s">
        <v>17</v>
      </c>
      <c r="BQ122" s="29" t="s">
        <v>17</v>
      </c>
      <c r="BR122" s="29" t="s">
        <v>17</v>
      </c>
      <c r="BS122" s="29" t="s">
        <v>17</v>
      </c>
      <c r="BT122" s="29" t="s">
        <v>17</v>
      </c>
      <c r="BU122" s="29" t="s">
        <v>17</v>
      </c>
    </row>
    <row r="123" spans="1:73" x14ac:dyDescent="0.3">
      <c r="A123" s="2">
        <f t="shared" ref="A123:B123" si="107">A122+1</f>
        <v>204</v>
      </c>
      <c r="B123" s="12">
        <f t="shared" si="107"/>
        <v>121</v>
      </c>
      <c r="C123" s="24">
        <v>44765.708333333336</v>
      </c>
      <c r="D123" s="4">
        <v>24</v>
      </c>
      <c r="E123" s="4">
        <f t="shared" si="100"/>
        <v>2880</v>
      </c>
      <c r="F123" s="5">
        <f t="shared" si="101"/>
        <v>120</v>
      </c>
      <c r="G123">
        <f t="shared" si="48"/>
        <v>0</v>
      </c>
      <c r="H123">
        <f t="shared" si="39"/>
        <v>0</v>
      </c>
      <c r="I123">
        <f t="shared" si="40"/>
        <v>0</v>
      </c>
      <c r="J123">
        <f t="shared" si="41"/>
        <v>0</v>
      </c>
      <c r="K123">
        <f t="shared" si="42"/>
        <v>0</v>
      </c>
      <c r="L123" s="86">
        <f>COUNTIF($X123:$BU123, "AM")</f>
        <v>1</v>
      </c>
      <c r="M123" s="86">
        <f>COUNTIF($X123:$BU123, "AF")</f>
        <v>2</v>
      </c>
      <c r="N123" s="5"/>
      <c r="O123">
        <f t="shared" si="102"/>
        <v>9</v>
      </c>
      <c r="P123">
        <f t="shared" si="103"/>
        <v>11</v>
      </c>
      <c r="Q123">
        <f t="shared" si="43"/>
        <v>7</v>
      </c>
      <c r="R123">
        <f t="shared" si="44"/>
        <v>0</v>
      </c>
      <c r="S123">
        <f t="shared" si="105"/>
        <v>11</v>
      </c>
      <c r="T123">
        <f t="shared" si="45"/>
        <v>4</v>
      </c>
      <c r="U123">
        <f t="shared" si="46"/>
        <v>3</v>
      </c>
      <c r="X123" s="90" t="s">
        <v>26</v>
      </c>
      <c r="Y123" s="90" t="s">
        <v>26</v>
      </c>
      <c r="Z123" s="90" t="s">
        <v>26</v>
      </c>
      <c r="AA123" s="29" t="s">
        <v>18</v>
      </c>
      <c r="AB123" s="29" t="s">
        <v>22</v>
      </c>
      <c r="AC123" s="90" t="s">
        <v>26</v>
      </c>
      <c r="AD123" s="90" t="s">
        <v>14</v>
      </c>
      <c r="AE123" s="29" t="s">
        <v>18</v>
      </c>
      <c r="AF123" s="90" t="s">
        <v>13</v>
      </c>
      <c r="AG123" s="90" t="s">
        <v>54</v>
      </c>
      <c r="AH123" s="90" t="s">
        <v>14</v>
      </c>
      <c r="AI123" s="29" t="s">
        <v>18</v>
      </c>
      <c r="AJ123" s="90" t="s">
        <v>54</v>
      </c>
      <c r="AK123" s="90" t="s">
        <v>26</v>
      </c>
      <c r="AL123" s="90" t="s">
        <v>53</v>
      </c>
      <c r="AM123" s="90" t="s">
        <v>53</v>
      </c>
      <c r="AN123" s="90" t="s">
        <v>53</v>
      </c>
      <c r="AO123" s="29" t="s">
        <v>18</v>
      </c>
      <c r="AP123" s="90" t="s">
        <v>53</v>
      </c>
      <c r="AQ123" s="29" t="s">
        <v>18</v>
      </c>
      <c r="AR123" s="29" t="s">
        <v>22</v>
      </c>
      <c r="AS123" s="90" t="s">
        <v>26</v>
      </c>
      <c r="AT123" s="90" t="s">
        <v>26</v>
      </c>
      <c r="AU123" s="90" t="s">
        <v>26</v>
      </c>
      <c r="AV123" s="90" t="s">
        <v>26</v>
      </c>
      <c r="AW123" s="90" t="s">
        <v>54</v>
      </c>
      <c r="AX123" s="29" t="s">
        <v>18</v>
      </c>
      <c r="AY123" s="29" t="s">
        <v>22</v>
      </c>
      <c r="AZ123" s="90" t="s">
        <v>26</v>
      </c>
      <c r="BA123" s="29" t="s">
        <v>18</v>
      </c>
      <c r="BB123" s="29" t="s">
        <v>22</v>
      </c>
      <c r="BC123" s="29" t="s">
        <v>18</v>
      </c>
      <c r="BD123" s="29" t="s">
        <v>22</v>
      </c>
      <c r="BE123" s="90" t="s">
        <v>26</v>
      </c>
      <c r="BF123" s="29" t="s">
        <v>22</v>
      </c>
      <c r="BG123" s="29" t="s">
        <v>18</v>
      </c>
      <c r="BJ123" s="29" t="s">
        <v>18</v>
      </c>
      <c r="BK123" s="29" t="s">
        <v>22</v>
      </c>
      <c r="BL123" s="29" t="s">
        <v>18</v>
      </c>
      <c r="BM123" s="29" t="s">
        <v>17</v>
      </c>
      <c r="BN123" s="29" t="s">
        <v>17</v>
      </c>
      <c r="BO123" s="29" t="s">
        <v>17</v>
      </c>
      <c r="BP123" s="29" t="s">
        <v>17</v>
      </c>
      <c r="BQ123" s="29" t="s">
        <v>17</v>
      </c>
      <c r="BR123" s="29" t="s">
        <v>17</v>
      </c>
      <c r="BS123" s="29" t="s">
        <v>17</v>
      </c>
      <c r="BT123" s="29" t="s">
        <v>17</v>
      </c>
      <c r="BU123" s="29" t="s">
        <v>17</v>
      </c>
    </row>
    <row r="124" spans="1:73" x14ac:dyDescent="0.3">
      <c r="A124" s="2">
        <f t="shared" ref="A124:B124" si="108">A123+1</f>
        <v>205</v>
      </c>
      <c r="B124" s="12">
        <f t="shared" si="108"/>
        <v>122</v>
      </c>
      <c r="C124" s="24">
        <v>44766.708333333336</v>
      </c>
      <c r="D124" s="4">
        <v>24</v>
      </c>
      <c r="E124" s="4">
        <f t="shared" si="100"/>
        <v>2904</v>
      </c>
      <c r="F124" s="5">
        <f t="shared" si="101"/>
        <v>121</v>
      </c>
      <c r="G124">
        <f t="shared" si="48"/>
        <v>0</v>
      </c>
      <c r="H124">
        <f t="shared" si="39"/>
        <v>0</v>
      </c>
      <c r="I124">
        <f t="shared" si="40"/>
        <v>0</v>
      </c>
      <c r="J124">
        <f t="shared" si="41"/>
        <v>0</v>
      </c>
      <c r="K124">
        <f t="shared" si="42"/>
        <v>0</v>
      </c>
      <c r="L124" s="86">
        <f>COUNTIF($X124:$BU124, "AM")</f>
        <v>1</v>
      </c>
      <c r="M124" s="86">
        <f>COUNTIF($X124:$BU124, "AF")</f>
        <v>2</v>
      </c>
      <c r="N124" s="5"/>
      <c r="O124">
        <f t="shared" si="102"/>
        <v>9</v>
      </c>
      <c r="P124">
        <f t="shared" si="103"/>
        <v>11</v>
      </c>
      <c r="Q124">
        <f t="shared" si="43"/>
        <v>7</v>
      </c>
      <c r="R124">
        <f t="shared" si="44"/>
        <v>0</v>
      </c>
      <c r="S124">
        <f t="shared" si="105"/>
        <v>11</v>
      </c>
      <c r="T124">
        <f t="shared" si="45"/>
        <v>4</v>
      </c>
      <c r="U124">
        <f t="shared" si="46"/>
        <v>3</v>
      </c>
      <c r="X124" s="90" t="s">
        <v>26</v>
      </c>
      <c r="Y124" s="90" t="s">
        <v>26</v>
      </c>
      <c r="Z124" s="90" t="s">
        <v>26</v>
      </c>
      <c r="AA124" s="29" t="s">
        <v>18</v>
      </c>
      <c r="AB124" s="29" t="s">
        <v>22</v>
      </c>
      <c r="AC124" s="90" t="s">
        <v>26</v>
      </c>
      <c r="AD124" s="90" t="s">
        <v>14</v>
      </c>
      <c r="AE124" s="29" t="s">
        <v>18</v>
      </c>
      <c r="AF124" s="90" t="s">
        <v>13</v>
      </c>
      <c r="AG124" s="90" t="s">
        <v>54</v>
      </c>
      <c r="AH124" s="90" t="s">
        <v>14</v>
      </c>
      <c r="AI124" s="29" t="s">
        <v>18</v>
      </c>
      <c r="AJ124" s="90" t="s">
        <v>54</v>
      </c>
      <c r="AK124" s="90" t="s">
        <v>26</v>
      </c>
      <c r="AL124" s="90" t="s">
        <v>53</v>
      </c>
      <c r="AM124" s="90" t="s">
        <v>53</v>
      </c>
      <c r="AN124" s="90" t="s">
        <v>53</v>
      </c>
      <c r="AO124" s="29" t="s">
        <v>18</v>
      </c>
      <c r="AP124" s="90" t="s">
        <v>53</v>
      </c>
      <c r="AQ124" s="29" t="s">
        <v>18</v>
      </c>
      <c r="AR124" s="29" t="s">
        <v>22</v>
      </c>
      <c r="AS124" s="90" t="s">
        <v>26</v>
      </c>
      <c r="AT124" s="90" t="s">
        <v>26</v>
      </c>
      <c r="AU124" s="90" t="s">
        <v>26</v>
      </c>
      <c r="AV124" s="90" t="s">
        <v>26</v>
      </c>
      <c r="AW124" s="90" t="s">
        <v>54</v>
      </c>
      <c r="AX124" s="29" t="s">
        <v>18</v>
      </c>
      <c r="AY124" s="29" t="s">
        <v>22</v>
      </c>
      <c r="AZ124" s="90" t="s">
        <v>26</v>
      </c>
      <c r="BA124" s="29" t="s">
        <v>18</v>
      </c>
      <c r="BB124" s="29" t="s">
        <v>22</v>
      </c>
      <c r="BC124" s="29" t="s">
        <v>18</v>
      </c>
      <c r="BD124" s="29" t="s">
        <v>22</v>
      </c>
      <c r="BE124" s="90" t="s">
        <v>26</v>
      </c>
      <c r="BF124" s="29" t="s">
        <v>22</v>
      </c>
      <c r="BG124" s="29" t="s">
        <v>18</v>
      </c>
      <c r="BJ124" s="29" t="s">
        <v>18</v>
      </c>
      <c r="BK124" s="29" t="s">
        <v>22</v>
      </c>
      <c r="BL124" s="29" t="s">
        <v>18</v>
      </c>
      <c r="BM124" s="29" t="s">
        <v>17</v>
      </c>
      <c r="BN124" s="29" t="s">
        <v>17</v>
      </c>
      <c r="BO124" s="29" t="s">
        <v>17</v>
      </c>
      <c r="BP124" s="29" t="s">
        <v>17</v>
      </c>
      <c r="BQ124" s="29" t="s">
        <v>17</v>
      </c>
      <c r="BR124" s="29" t="s">
        <v>17</v>
      </c>
      <c r="BS124" s="29" t="s">
        <v>17</v>
      </c>
      <c r="BT124" s="29" t="s">
        <v>17</v>
      </c>
      <c r="BU124" s="29" t="s">
        <v>17</v>
      </c>
    </row>
    <row r="125" spans="1:73" x14ac:dyDescent="0.3">
      <c r="A125" s="2">
        <f t="shared" ref="A125:B125" si="109">A124+1</f>
        <v>206</v>
      </c>
      <c r="B125" s="12">
        <f t="shared" si="109"/>
        <v>123</v>
      </c>
      <c r="C125" s="24">
        <v>44767.708333333336</v>
      </c>
      <c r="D125" s="4">
        <v>24</v>
      </c>
      <c r="E125" s="4">
        <f t="shared" si="100"/>
        <v>2928</v>
      </c>
      <c r="F125" s="5">
        <f t="shared" si="101"/>
        <v>122</v>
      </c>
      <c r="G125">
        <f t="shared" si="48"/>
        <v>0</v>
      </c>
      <c r="H125">
        <f t="shared" si="39"/>
        <v>0</v>
      </c>
      <c r="I125">
        <f t="shared" si="40"/>
        <v>0</v>
      </c>
      <c r="J125">
        <f t="shared" si="41"/>
        <v>0</v>
      </c>
      <c r="K125">
        <f t="shared" si="42"/>
        <v>0</v>
      </c>
      <c r="L125" s="86">
        <f>COUNTIF($X125:$BU125, "AM")</f>
        <v>1</v>
      </c>
      <c r="M125" s="86">
        <f>COUNTIF($X125:$BU125, "AF")</f>
        <v>2</v>
      </c>
      <c r="N125" s="5"/>
      <c r="O125">
        <f t="shared" si="102"/>
        <v>9</v>
      </c>
      <c r="P125">
        <f t="shared" si="103"/>
        <v>11</v>
      </c>
      <c r="Q125">
        <f t="shared" si="43"/>
        <v>7</v>
      </c>
      <c r="R125">
        <f t="shared" si="44"/>
        <v>0</v>
      </c>
      <c r="S125">
        <f t="shared" si="105"/>
        <v>11</v>
      </c>
      <c r="T125">
        <f t="shared" si="45"/>
        <v>4</v>
      </c>
      <c r="U125">
        <f t="shared" si="46"/>
        <v>3</v>
      </c>
      <c r="X125" s="90" t="s">
        <v>26</v>
      </c>
      <c r="Y125" s="90" t="s">
        <v>26</v>
      </c>
      <c r="Z125" s="90" t="s">
        <v>26</v>
      </c>
      <c r="AA125" s="29" t="s">
        <v>18</v>
      </c>
      <c r="AB125" s="29" t="s">
        <v>22</v>
      </c>
      <c r="AC125" s="90" t="s">
        <v>26</v>
      </c>
      <c r="AD125" s="90" t="s">
        <v>14</v>
      </c>
      <c r="AE125" s="29" t="s">
        <v>18</v>
      </c>
      <c r="AF125" s="90" t="s">
        <v>13</v>
      </c>
      <c r="AG125" s="90" t="s">
        <v>54</v>
      </c>
      <c r="AH125" s="90" t="s">
        <v>14</v>
      </c>
      <c r="AI125" s="29" t="s">
        <v>18</v>
      </c>
      <c r="AJ125" s="90" t="s">
        <v>54</v>
      </c>
      <c r="AK125" s="90" t="s">
        <v>26</v>
      </c>
      <c r="AL125" s="90" t="s">
        <v>53</v>
      </c>
      <c r="AM125" s="90" t="s">
        <v>53</v>
      </c>
      <c r="AN125" s="90" t="s">
        <v>53</v>
      </c>
      <c r="AO125" s="29" t="s">
        <v>18</v>
      </c>
      <c r="AP125" s="90" t="s">
        <v>53</v>
      </c>
      <c r="AQ125" s="29" t="s">
        <v>18</v>
      </c>
      <c r="AR125" s="29" t="s">
        <v>22</v>
      </c>
      <c r="AS125" s="90" t="s">
        <v>26</v>
      </c>
      <c r="AT125" s="90" t="s">
        <v>26</v>
      </c>
      <c r="AU125" s="90" t="s">
        <v>26</v>
      </c>
      <c r="AV125" s="90" t="s">
        <v>26</v>
      </c>
      <c r="AW125" s="90" t="s">
        <v>54</v>
      </c>
      <c r="AX125" s="29" t="s">
        <v>18</v>
      </c>
      <c r="AY125" s="29" t="s">
        <v>22</v>
      </c>
      <c r="AZ125" s="90" t="s">
        <v>26</v>
      </c>
      <c r="BA125" s="29" t="s">
        <v>18</v>
      </c>
      <c r="BB125" s="29" t="s">
        <v>22</v>
      </c>
      <c r="BC125" s="29" t="s">
        <v>18</v>
      </c>
      <c r="BD125" s="29" t="s">
        <v>22</v>
      </c>
      <c r="BE125" s="90" t="s">
        <v>26</v>
      </c>
      <c r="BF125" s="29" t="s">
        <v>22</v>
      </c>
      <c r="BG125" s="29" t="s">
        <v>18</v>
      </c>
      <c r="BJ125" s="29" t="s">
        <v>18</v>
      </c>
      <c r="BK125" s="29" t="s">
        <v>22</v>
      </c>
      <c r="BL125" s="29" t="s">
        <v>18</v>
      </c>
      <c r="BM125" s="29" t="s">
        <v>17</v>
      </c>
      <c r="BN125" s="29" t="s">
        <v>17</v>
      </c>
      <c r="BO125" s="29" t="s">
        <v>17</v>
      </c>
      <c r="BP125" s="29" t="s">
        <v>17</v>
      </c>
      <c r="BQ125" s="29" t="s">
        <v>17</v>
      </c>
      <c r="BR125" s="29" t="s">
        <v>17</v>
      </c>
      <c r="BS125" s="29" t="s">
        <v>17</v>
      </c>
      <c r="BT125" s="29" t="s">
        <v>17</v>
      </c>
      <c r="BU125" s="29" t="s">
        <v>17</v>
      </c>
    </row>
    <row r="126" spans="1:73" x14ac:dyDescent="0.3">
      <c r="A126" s="2">
        <f t="shared" ref="A126:B126" si="110">A125+1</f>
        <v>207</v>
      </c>
      <c r="B126" s="12">
        <f t="shared" si="110"/>
        <v>124</v>
      </c>
      <c r="C126" s="24">
        <v>44768.708333333336</v>
      </c>
      <c r="D126" s="4">
        <v>24</v>
      </c>
      <c r="E126" s="4">
        <f t="shared" si="100"/>
        <v>2952</v>
      </c>
      <c r="F126" s="5">
        <f t="shared" si="101"/>
        <v>123</v>
      </c>
      <c r="G126">
        <f t="shared" si="48"/>
        <v>0</v>
      </c>
      <c r="H126">
        <f t="shared" si="39"/>
        <v>0</v>
      </c>
      <c r="I126">
        <f t="shared" si="40"/>
        <v>0</v>
      </c>
      <c r="J126">
        <f t="shared" si="41"/>
        <v>0</v>
      </c>
      <c r="K126">
        <f t="shared" si="42"/>
        <v>0</v>
      </c>
      <c r="L126" s="86">
        <f>COUNTIF($X126:$BU126, "AM")</f>
        <v>1</v>
      </c>
      <c r="M126" s="86">
        <f>COUNTIF($X126:$BU126, "AF")</f>
        <v>2</v>
      </c>
      <c r="N126" s="5"/>
      <c r="O126">
        <f t="shared" si="102"/>
        <v>9</v>
      </c>
      <c r="P126">
        <f t="shared" si="103"/>
        <v>11</v>
      </c>
      <c r="Q126">
        <f t="shared" si="43"/>
        <v>7</v>
      </c>
      <c r="R126">
        <f t="shared" si="44"/>
        <v>0</v>
      </c>
      <c r="S126">
        <f t="shared" si="105"/>
        <v>11</v>
      </c>
      <c r="T126">
        <f t="shared" si="45"/>
        <v>4</v>
      </c>
      <c r="U126">
        <f t="shared" si="46"/>
        <v>3</v>
      </c>
      <c r="X126" s="90" t="s">
        <v>26</v>
      </c>
      <c r="Y126" s="90" t="s">
        <v>26</v>
      </c>
      <c r="Z126" s="90" t="s">
        <v>26</v>
      </c>
      <c r="AA126" s="29" t="s">
        <v>18</v>
      </c>
      <c r="AB126" s="29" t="s">
        <v>22</v>
      </c>
      <c r="AC126" s="90" t="s">
        <v>26</v>
      </c>
      <c r="AD126" s="90" t="s">
        <v>14</v>
      </c>
      <c r="AE126" s="29" t="s">
        <v>18</v>
      </c>
      <c r="AF126" s="90" t="s">
        <v>13</v>
      </c>
      <c r="AG126" s="90" t="s">
        <v>54</v>
      </c>
      <c r="AH126" s="90" t="s">
        <v>14</v>
      </c>
      <c r="AI126" s="29" t="s">
        <v>18</v>
      </c>
      <c r="AJ126" s="90" t="s">
        <v>54</v>
      </c>
      <c r="AK126" s="90" t="s">
        <v>26</v>
      </c>
      <c r="AL126" s="90" t="s">
        <v>53</v>
      </c>
      <c r="AM126" s="90" t="s">
        <v>53</v>
      </c>
      <c r="AN126" s="90" t="s">
        <v>53</v>
      </c>
      <c r="AO126" s="29" t="s">
        <v>18</v>
      </c>
      <c r="AP126" s="90" t="s">
        <v>53</v>
      </c>
      <c r="AQ126" s="29" t="s">
        <v>18</v>
      </c>
      <c r="AR126" s="29" t="s">
        <v>22</v>
      </c>
      <c r="AS126" s="90" t="s">
        <v>26</v>
      </c>
      <c r="AT126" s="90" t="s">
        <v>26</v>
      </c>
      <c r="AU126" s="90" t="s">
        <v>26</v>
      </c>
      <c r="AV126" s="90" t="s">
        <v>26</v>
      </c>
      <c r="AW126" s="90" t="s">
        <v>54</v>
      </c>
      <c r="AX126" s="29" t="s">
        <v>18</v>
      </c>
      <c r="AY126" s="29" t="s">
        <v>22</v>
      </c>
      <c r="AZ126" s="90" t="s">
        <v>26</v>
      </c>
      <c r="BA126" s="29" t="s">
        <v>18</v>
      </c>
      <c r="BB126" s="29" t="s">
        <v>22</v>
      </c>
      <c r="BC126" s="29" t="s">
        <v>18</v>
      </c>
      <c r="BD126" s="29" t="s">
        <v>22</v>
      </c>
      <c r="BE126" s="90" t="s">
        <v>26</v>
      </c>
      <c r="BF126" s="29" t="s">
        <v>22</v>
      </c>
      <c r="BG126" s="29" t="s">
        <v>18</v>
      </c>
      <c r="BJ126" s="29" t="s">
        <v>18</v>
      </c>
      <c r="BK126" s="29" t="s">
        <v>22</v>
      </c>
      <c r="BL126" s="29" t="s">
        <v>18</v>
      </c>
      <c r="BM126" s="29" t="s">
        <v>17</v>
      </c>
      <c r="BN126" s="29" t="s">
        <v>17</v>
      </c>
      <c r="BO126" s="29" t="s">
        <v>17</v>
      </c>
      <c r="BP126" s="29" t="s">
        <v>17</v>
      </c>
      <c r="BQ126" s="29" t="s">
        <v>17</v>
      </c>
      <c r="BR126" s="29" t="s">
        <v>17</v>
      </c>
      <c r="BS126" s="29" t="s">
        <v>17</v>
      </c>
      <c r="BT126" s="29" t="s">
        <v>17</v>
      </c>
      <c r="BU126" s="29" t="s">
        <v>17</v>
      </c>
    </row>
    <row r="127" spans="1:73" x14ac:dyDescent="0.3">
      <c r="A127" s="2">
        <f t="shared" ref="A127:B127" si="111">A126+1</f>
        <v>208</v>
      </c>
      <c r="B127" s="12">
        <f t="shared" si="111"/>
        <v>125</v>
      </c>
      <c r="C127" s="24">
        <v>44769.708333333336</v>
      </c>
      <c r="D127" s="4">
        <v>24</v>
      </c>
      <c r="E127" s="4">
        <f t="shared" si="100"/>
        <v>2976</v>
      </c>
      <c r="F127" s="5">
        <f t="shared" si="101"/>
        <v>124</v>
      </c>
      <c r="G127">
        <f t="shared" si="48"/>
        <v>0</v>
      </c>
      <c r="H127">
        <f t="shared" si="39"/>
        <v>0</v>
      </c>
      <c r="I127">
        <f t="shared" si="40"/>
        <v>0</v>
      </c>
      <c r="J127">
        <f t="shared" si="41"/>
        <v>0</v>
      </c>
      <c r="K127">
        <f t="shared" si="42"/>
        <v>0</v>
      </c>
      <c r="L127" s="86">
        <f>COUNTIF($X127:$BU127, "AM")</f>
        <v>1</v>
      </c>
      <c r="M127" s="86">
        <f>COUNTIF($X127:$BU127, "AF")</f>
        <v>2</v>
      </c>
      <c r="N127" s="5"/>
      <c r="O127">
        <f t="shared" si="102"/>
        <v>9</v>
      </c>
      <c r="P127">
        <f t="shared" si="103"/>
        <v>11</v>
      </c>
      <c r="Q127">
        <f t="shared" si="43"/>
        <v>7</v>
      </c>
      <c r="R127">
        <f t="shared" si="44"/>
        <v>0</v>
      </c>
      <c r="S127">
        <f t="shared" si="105"/>
        <v>11</v>
      </c>
      <c r="T127">
        <f t="shared" si="45"/>
        <v>4</v>
      </c>
      <c r="U127">
        <f t="shared" si="46"/>
        <v>3</v>
      </c>
      <c r="X127" s="90" t="s">
        <v>26</v>
      </c>
      <c r="Y127" s="90" t="s">
        <v>26</v>
      </c>
      <c r="Z127" s="90" t="s">
        <v>26</v>
      </c>
      <c r="AA127" s="29" t="s">
        <v>18</v>
      </c>
      <c r="AB127" s="29" t="s">
        <v>22</v>
      </c>
      <c r="AC127" s="90" t="s">
        <v>26</v>
      </c>
      <c r="AD127" s="90" t="s">
        <v>14</v>
      </c>
      <c r="AE127" s="29" t="s">
        <v>18</v>
      </c>
      <c r="AF127" s="90" t="s">
        <v>13</v>
      </c>
      <c r="AG127" s="90" t="s">
        <v>54</v>
      </c>
      <c r="AH127" s="90" t="s">
        <v>14</v>
      </c>
      <c r="AI127" s="29" t="s">
        <v>18</v>
      </c>
      <c r="AJ127" s="90" t="s">
        <v>54</v>
      </c>
      <c r="AK127" s="90" t="s">
        <v>26</v>
      </c>
      <c r="AL127" s="90" t="s">
        <v>53</v>
      </c>
      <c r="AM127" s="90" t="s">
        <v>53</v>
      </c>
      <c r="AN127" s="90" t="s">
        <v>53</v>
      </c>
      <c r="AO127" s="29" t="s">
        <v>18</v>
      </c>
      <c r="AP127" s="90" t="s">
        <v>53</v>
      </c>
      <c r="AQ127" s="29" t="s">
        <v>18</v>
      </c>
      <c r="AR127" s="29" t="s">
        <v>22</v>
      </c>
      <c r="AS127" s="90" t="s">
        <v>26</v>
      </c>
      <c r="AT127" s="90" t="s">
        <v>26</v>
      </c>
      <c r="AU127" s="90" t="s">
        <v>26</v>
      </c>
      <c r="AV127" s="90" t="s">
        <v>26</v>
      </c>
      <c r="AW127" s="90" t="s">
        <v>54</v>
      </c>
      <c r="AX127" s="29" t="s">
        <v>18</v>
      </c>
      <c r="AY127" s="29" t="s">
        <v>22</v>
      </c>
      <c r="AZ127" s="90" t="s">
        <v>26</v>
      </c>
      <c r="BA127" s="29" t="s">
        <v>18</v>
      </c>
      <c r="BB127" s="29" t="s">
        <v>22</v>
      </c>
      <c r="BC127" s="29" t="s">
        <v>18</v>
      </c>
      <c r="BD127" s="29" t="s">
        <v>22</v>
      </c>
      <c r="BE127" s="90" t="s">
        <v>26</v>
      </c>
      <c r="BF127" s="29" t="s">
        <v>22</v>
      </c>
      <c r="BG127" s="29" t="s">
        <v>18</v>
      </c>
      <c r="BJ127" s="29" t="s">
        <v>18</v>
      </c>
      <c r="BK127" s="29" t="s">
        <v>22</v>
      </c>
      <c r="BL127" s="29" t="s">
        <v>18</v>
      </c>
      <c r="BM127" s="29" t="s">
        <v>17</v>
      </c>
      <c r="BN127" s="29" t="s">
        <v>17</v>
      </c>
      <c r="BO127" s="29" t="s">
        <v>17</v>
      </c>
      <c r="BP127" s="29" t="s">
        <v>17</v>
      </c>
      <c r="BQ127" s="29" t="s">
        <v>17</v>
      </c>
      <c r="BR127" s="29" t="s">
        <v>17</v>
      </c>
      <c r="BS127" s="29" t="s">
        <v>17</v>
      </c>
      <c r="BT127" s="29" t="s">
        <v>17</v>
      </c>
      <c r="BU127" s="29" t="s">
        <v>17</v>
      </c>
    </row>
    <row r="128" spans="1:73" x14ac:dyDescent="0.3">
      <c r="A128" s="2">
        <f t="shared" ref="A128:B128" si="112">A127+1</f>
        <v>209</v>
      </c>
      <c r="B128" s="12">
        <f t="shared" si="112"/>
        <v>126</v>
      </c>
      <c r="C128" s="24">
        <v>44770.708333333336</v>
      </c>
      <c r="D128" s="4">
        <v>24</v>
      </c>
      <c r="E128" s="4">
        <f t="shared" si="100"/>
        <v>3000</v>
      </c>
      <c r="F128" s="5">
        <f t="shared" si="101"/>
        <v>125</v>
      </c>
      <c r="G128">
        <f t="shared" si="48"/>
        <v>0</v>
      </c>
      <c r="H128">
        <f t="shared" si="39"/>
        <v>0</v>
      </c>
      <c r="I128">
        <f t="shared" si="40"/>
        <v>0</v>
      </c>
      <c r="J128">
        <f t="shared" si="41"/>
        <v>0</v>
      </c>
      <c r="K128">
        <f t="shared" si="42"/>
        <v>0</v>
      </c>
      <c r="L128" s="86">
        <f>COUNTIF($X128:$BU128, "AM")</f>
        <v>1</v>
      </c>
      <c r="M128" s="86">
        <f>COUNTIF($X128:$BU128, "AF")</f>
        <v>2</v>
      </c>
      <c r="N128" s="5"/>
      <c r="O128">
        <f t="shared" si="102"/>
        <v>9</v>
      </c>
      <c r="P128">
        <f t="shared" si="103"/>
        <v>11</v>
      </c>
      <c r="Q128">
        <f t="shared" si="43"/>
        <v>7</v>
      </c>
      <c r="R128">
        <f t="shared" si="44"/>
        <v>0</v>
      </c>
      <c r="S128">
        <f t="shared" si="105"/>
        <v>11</v>
      </c>
      <c r="T128">
        <f t="shared" si="45"/>
        <v>4</v>
      </c>
      <c r="U128">
        <f t="shared" si="46"/>
        <v>3</v>
      </c>
      <c r="X128" s="90" t="s">
        <v>26</v>
      </c>
      <c r="Y128" s="90" t="s">
        <v>26</v>
      </c>
      <c r="Z128" s="90" t="s">
        <v>26</v>
      </c>
      <c r="AA128" s="29" t="s">
        <v>18</v>
      </c>
      <c r="AB128" s="29" t="s">
        <v>22</v>
      </c>
      <c r="AC128" s="90" t="s">
        <v>26</v>
      </c>
      <c r="AD128" s="90" t="s">
        <v>14</v>
      </c>
      <c r="AE128" s="29" t="s">
        <v>18</v>
      </c>
      <c r="AF128" s="90" t="s">
        <v>13</v>
      </c>
      <c r="AG128" s="90" t="s">
        <v>54</v>
      </c>
      <c r="AH128" s="90" t="s">
        <v>14</v>
      </c>
      <c r="AI128" s="29" t="s">
        <v>18</v>
      </c>
      <c r="AJ128" s="90" t="s">
        <v>54</v>
      </c>
      <c r="AK128" s="90" t="s">
        <v>26</v>
      </c>
      <c r="AL128" s="90" t="s">
        <v>53</v>
      </c>
      <c r="AM128" s="90" t="s">
        <v>53</v>
      </c>
      <c r="AN128" s="90" t="s">
        <v>53</v>
      </c>
      <c r="AO128" s="29" t="s">
        <v>18</v>
      </c>
      <c r="AP128" s="90" t="s">
        <v>53</v>
      </c>
      <c r="AQ128" s="29" t="s">
        <v>18</v>
      </c>
      <c r="AR128" s="29" t="s">
        <v>22</v>
      </c>
      <c r="AS128" s="90" t="s">
        <v>26</v>
      </c>
      <c r="AT128" s="90" t="s">
        <v>26</v>
      </c>
      <c r="AU128" s="90" t="s">
        <v>26</v>
      </c>
      <c r="AV128" s="90" t="s">
        <v>26</v>
      </c>
      <c r="AW128" s="90" t="s">
        <v>54</v>
      </c>
      <c r="AX128" s="29" t="s">
        <v>18</v>
      </c>
      <c r="AY128" s="29" t="s">
        <v>22</v>
      </c>
      <c r="AZ128" s="90" t="s">
        <v>26</v>
      </c>
      <c r="BA128" s="29" t="s">
        <v>18</v>
      </c>
      <c r="BB128" s="29" t="s">
        <v>22</v>
      </c>
      <c r="BC128" s="29" t="s">
        <v>18</v>
      </c>
      <c r="BD128" s="29" t="s">
        <v>22</v>
      </c>
      <c r="BE128" s="90" t="s">
        <v>26</v>
      </c>
      <c r="BF128" s="29" t="s">
        <v>22</v>
      </c>
      <c r="BG128" s="29" t="s">
        <v>18</v>
      </c>
      <c r="BJ128" s="29" t="s">
        <v>18</v>
      </c>
      <c r="BK128" s="29" t="s">
        <v>22</v>
      </c>
      <c r="BL128" s="29" t="s">
        <v>18</v>
      </c>
      <c r="BM128" s="29" t="s">
        <v>17</v>
      </c>
      <c r="BN128" s="29" t="s">
        <v>17</v>
      </c>
      <c r="BO128" s="29" t="s">
        <v>17</v>
      </c>
      <c r="BP128" s="29" t="s">
        <v>17</v>
      </c>
      <c r="BQ128" s="29" t="s">
        <v>17</v>
      </c>
      <c r="BR128" s="29" t="s">
        <v>17</v>
      </c>
      <c r="BS128" s="29" t="s">
        <v>17</v>
      </c>
      <c r="BT128" s="29" t="s">
        <v>17</v>
      </c>
      <c r="BU128" s="29" t="s">
        <v>17</v>
      </c>
    </row>
    <row r="129" spans="1:73" x14ac:dyDescent="0.3">
      <c r="A129" s="2">
        <f t="shared" ref="A129:B129" si="113">A128+1</f>
        <v>210</v>
      </c>
      <c r="B129" s="12">
        <f t="shared" si="113"/>
        <v>127</v>
      </c>
      <c r="C129" s="24">
        <v>44771.708333333336</v>
      </c>
      <c r="D129" s="4">
        <v>24</v>
      </c>
      <c r="E129" s="4">
        <f t="shared" si="100"/>
        <v>3024</v>
      </c>
      <c r="F129" s="5">
        <f t="shared" si="101"/>
        <v>126</v>
      </c>
      <c r="G129">
        <f t="shared" si="48"/>
        <v>0</v>
      </c>
      <c r="H129">
        <f t="shared" si="39"/>
        <v>0</v>
      </c>
      <c r="I129">
        <f t="shared" si="40"/>
        <v>0</v>
      </c>
      <c r="J129">
        <f t="shared" si="41"/>
        <v>0</v>
      </c>
      <c r="K129">
        <f t="shared" si="42"/>
        <v>0</v>
      </c>
      <c r="L129" s="86">
        <f>COUNTIF($X129:$BU129, "AM")</f>
        <v>1</v>
      </c>
      <c r="M129" s="86">
        <f>COUNTIF($X129:$BU129, "AF")</f>
        <v>2</v>
      </c>
      <c r="N129" s="5"/>
      <c r="O129">
        <f t="shared" si="102"/>
        <v>9</v>
      </c>
      <c r="P129">
        <f t="shared" si="103"/>
        <v>11</v>
      </c>
      <c r="Q129">
        <f t="shared" si="43"/>
        <v>7</v>
      </c>
      <c r="R129">
        <f t="shared" si="44"/>
        <v>0</v>
      </c>
      <c r="S129">
        <f t="shared" si="105"/>
        <v>11</v>
      </c>
      <c r="T129">
        <f t="shared" si="45"/>
        <v>4</v>
      </c>
      <c r="U129">
        <f t="shared" si="46"/>
        <v>3</v>
      </c>
      <c r="X129" s="90" t="s">
        <v>26</v>
      </c>
      <c r="Y129" s="90" t="s">
        <v>26</v>
      </c>
      <c r="Z129" s="90" t="s">
        <v>26</v>
      </c>
      <c r="AA129" s="29" t="s">
        <v>18</v>
      </c>
      <c r="AB129" s="29" t="s">
        <v>22</v>
      </c>
      <c r="AC129" s="90" t="s">
        <v>26</v>
      </c>
      <c r="AD129" s="90" t="s">
        <v>14</v>
      </c>
      <c r="AE129" s="29" t="s">
        <v>18</v>
      </c>
      <c r="AF129" s="90" t="s">
        <v>13</v>
      </c>
      <c r="AG129" s="90" t="s">
        <v>54</v>
      </c>
      <c r="AH129" s="90" t="s">
        <v>14</v>
      </c>
      <c r="AI129" s="29" t="s">
        <v>18</v>
      </c>
      <c r="AJ129" s="90" t="s">
        <v>54</v>
      </c>
      <c r="AK129" s="90" t="s">
        <v>26</v>
      </c>
      <c r="AL129" s="90" t="s">
        <v>53</v>
      </c>
      <c r="AM129" s="90" t="s">
        <v>53</v>
      </c>
      <c r="AN129" s="90" t="s">
        <v>53</v>
      </c>
      <c r="AO129" s="29" t="s">
        <v>18</v>
      </c>
      <c r="AP129" s="90" t="s">
        <v>53</v>
      </c>
      <c r="AQ129" s="29" t="s">
        <v>18</v>
      </c>
      <c r="AR129" s="29" t="s">
        <v>22</v>
      </c>
      <c r="AS129" s="90" t="s">
        <v>26</v>
      </c>
      <c r="AT129" s="90" t="s">
        <v>26</v>
      </c>
      <c r="AU129" s="90" t="s">
        <v>26</v>
      </c>
      <c r="AV129" s="90" t="s">
        <v>26</v>
      </c>
      <c r="AW129" s="90" t="s">
        <v>54</v>
      </c>
      <c r="AX129" s="29" t="s">
        <v>18</v>
      </c>
      <c r="AY129" s="29" t="s">
        <v>22</v>
      </c>
      <c r="AZ129" s="90" t="s">
        <v>26</v>
      </c>
      <c r="BA129" s="29" t="s">
        <v>18</v>
      </c>
      <c r="BB129" s="29" t="s">
        <v>22</v>
      </c>
      <c r="BC129" s="29" t="s">
        <v>18</v>
      </c>
      <c r="BD129" s="29" t="s">
        <v>22</v>
      </c>
      <c r="BE129" s="90" t="s">
        <v>26</v>
      </c>
      <c r="BF129" s="29" t="s">
        <v>22</v>
      </c>
      <c r="BG129" s="29" t="s">
        <v>18</v>
      </c>
      <c r="BJ129" s="29" t="s">
        <v>18</v>
      </c>
      <c r="BK129" s="29" t="s">
        <v>22</v>
      </c>
      <c r="BL129" s="29" t="s">
        <v>18</v>
      </c>
      <c r="BM129" s="29" t="s">
        <v>17</v>
      </c>
      <c r="BN129" s="29" t="s">
        <v>17</v>
      </c>
      <c r="BO129" s="29" t="s">
        <v>17</v>
      </c>
      <c r="BP129" s="29" t="s">
        <v>17</v>
      </c>
      <c r="BQ129" s="29" t="s">
        <v>17</v>
      </c>
      <c r="BR129" s="29" t="s">
        <v>17</v>
      </c>
      <c r="BS129" s="29" t="s">
        <v>17</v>
      </c>
      <c r="BT129" s="29" t="s">
        <v>17</v>
      </c>
      <c r="BU129" s="29" t="s">
        <v>17</v>
      </c>
    </row>
    <row r="130" spans="1:73" x14ac:dyDescent="0.3">
      <c r="A130" s="2">
        <f t="shared" ref="A130:B130" si="114">A129+1</f>
        <v>211</v>
      </c>
      <c r="B130" s="12">
        <f t="shared" si="114"/>
        <v>128</v>
      </c>
      <c r="C130" s="24">
        <v>44772.708333333336</v>
      </c>
      <c r="D130" s="4">
        <v>24</v>
      </c>
      <c r="E130" s="4">
        <f t="shared" si="100"/>
        <v>3048</v>
      </c>
      <c r="F130" s="5">
        <f t="shared" si="101"/>
        <v>127</v>
      </c>
      <c r="G130">
        <f t="shared" si="48"/>
        <v>0</v>
      </c>
      <c r="H130">
        <f t="shared" si="39"/>
        <v>0</v>
      </c>
      <c r="I130">
        <f t="shared" si="40"/>
        <v>0</v>
      </c>
      <c r="J130">
        <f t="shared" si="41"/>
        <v>0</v>
      </c>
      <c r="K130">
        <f t="shared" si="42"/>
        <v>0</v>
      </c>
      <c r="L130" s="86">
        <f>COUNTIF($X130:$BU130, "AM")</f>
        <v>1</v>
      </c>
      <c r="M130" s="86">
        <f>COUNTIF($X130:$BU130, "AF")</f>
        <v>2</v>
      </c>
      <c r="N130" s="5"/>
      <c r="O130">
        <f t="shared" si="102"/>
        <v>9</v>
      </c>
      <c r="P130">
        <f t="shared" si="103"/>
        <v>11</v>
      </c>
      <c r="Q130">
        <f t="shared" si="43"/>
        <v>7</v>
      </c>
      <c r="R130">
        <f t="shared" si="44"/>
        <v>0</v>
      </c>
      <c r="S130">
        <f t="shared" si="105"/>
        <v>11</v>
      </c>
      <c r="T130">
        <f t="shared" si="45"/>
        <v>4</v>
      </c>
      <c r="U130">
        <f t="shared" si="46"/>
        <v>3</v>
      </c>
      <c r="X130" s="90" t="s">
        <v>26</v>
      </c>
      <c r="Y130" s="90" t="s">
        <v>26</v>
      </c>
      <c r="Z130" s="90" t="s">
        <v>26</v>
      </c>
      <c r="AA130" s="29" t="s">
        <v>18</v>
      </c>
      <c r="AB130" s="29" t="s">
        <v>22</v>
      </c>
      <c r="AC130" s="90" t="s">
        <v>26</v>
      </c>
      <c r="AD130" s="90" t="s">
        <v>14</v>
      </c>
      <c r="AE130" s="29" t="s">
        <v>18</v>
      </c>
      <c r="AF130" s="90" t="s">
        <v>13</v>
      </c>
      <c r="AG130" s="90" t="s">
        <v>54</v>
      </c>
      <c r="AH130" s="90" t="s">
        <v>14</v>
      </c>
      <c r="AI130" s="29" t="s">
        <v>18</v>
      </c>
      <c r="AJ130" s="90" t="s">
        <v>54</v>
      </c>
      <c r="AK130" s="90" t="s">
        <v>26</v>
      </c>
      <c r="AL130" s="90" t="s">
        <v>53</v>
      </c>
      <c r="AM130" s="90" t="s">
        <v>53</v>
      </c>
      <c r="AN130" s="90" t="s">
        <v>53</v>
      </c>
      <c r="AO130" s="29" t="s">
        <v>18</v>
      </c>
      <c r="AP130" s="90" t="s">
        <v>53</v>
      </c>
      <c r="AQ130" s="29" t="s">
        <v>18</v>
      </c>
      <c r="AR130" s="29" t="s">
        <v>22</v>
      </c>
      <c r="AS130" s="90" t="s">
        <v>26</v>
      </c>
      <c r="AT130" s="90" t="s">
        <v>26</v>
      </c>
      <c r="AU130" s="90" t="s">
        <v>26</v>
      </c>
      <c r="AV130" s="90" t="s">
        <v>26</v>
      </c>
      <c r="AW130" s="90" t="s">
        <v>54</v>
      </c>
      <c r="AX130" s="29" t="s">
        <v>18</v>
      </c>
      <c r="AY130" s="29" t="s">
        <v>22</v>
      </c>
      <c r="AZ130" s="90" t="s">
        <v>26</v>
      </c>
      <c r="BA130" s="29" t="s">
        <v>18</v>
      </c>
      <c r="BB130" s="29" t="s">
        <v>22</v>
      </c>
      <c r="BC130" s="29" t="s">
        <v>18</v>
      </c>
      <c r="BD130" s="29" t="s">
        <v>22</v>
      </c>
      <c r="BE130" s="90" t="s">
        <v>26</v>
      </c>
      <c r="BF130" s="29" t="s">
        <v>22</v>
      </c>
      <c r="BG130" s="29" t="s">
        <v>18</v>
      </c>
      <c r="BJ130" s="29" t="s">
        <v>18</v>
      </c>
      <c r="BK130" s="29" t="s">
        <v>22</v>
      </c>
      <c r="BL130" s="29" t="s">
        <v>18</v>
      </c>
      <c r="BM130" s="29" t="s">
        <v>17</v>
      </c>
      <c r="BN130" s="29" t="s">
        <v>17</v>
      </c>
      <c r="BO130" s="29" t="s">
        <v>17</v>
      </c>
      <c r="BP130" s="29" t="s">
        <v>17</v>
      </c>
      <c r="BQ130" s="29" t="s">
        <v>17</v>
      </c>
      <c r="BR130" s="29" t="s">
        <v>17</v>
      </c>
      <c r="BS130" s="29" t="s">
        <v>17</v>
      </c>
      <c r="BT130" s="29" t="s">
        <v>17</v>
      </c>
      <c r="BU130" s="29" t="s">
        <v>17</v>
      </c>
    </row>
    <row r="131" spans="1:73" x14ac:dyDescent="0.3">
      <c r="A131" s="2">
        <f t="shared" ref="A131:B131" si="115">A130+1</f>
        <v>212</v>
      </c>
      <c r="B131" s="12">
        <f t="shared" si="115"/>
        <v>129</v>
      </c>
      <c r="C131" s="24">
        <v>44773.708333333336</v>
      </c>
      <c r="D131" s="4">
        <v>24</v>
      </c>
      <c r="E131" s="4">
        <f t="shared" si="100"/>
        <v>3072</v>
      </c>
      <c r="F131" s="5">
        <f t="shared" si="101"/>
        <v>128</v>
      </c>
      <c r="G131">
        <f t="shared" si="48"/>
        <v>0</v>
      </c>
      <c r="H131">
        <f t="shared" si="39"/>
        <v>0</v>
      </c>
      <c r="I131">
        <f t="shared" si="40"/>
        <v>0</v>
      </c>
      <c r="J131">
        <f t="shared" si="41"/>
        <v>0</v>
      </c>
      <c r="K131">
        <f t="shared" si="42"/>
        <v>0</v>
      </c>
      <c r="L131" s="86">
        <f>COUNTIF($X131:$BU131, "AM")</f>
        <v>1</v>
      </c>
      <c r="M131" s="86">
        <f>COUNTIF($X131:$BU131, "AF")</f>
        <v>2</v>
      </c>
      <c r="N131" s="5"/>
      <c r="O131">
        <f t="shared" si="102"/>
        <v>9</v>
      </c>
      <c r="P131">
        <f t="shared" si="103"/>
        <v>11</v>
      </c>
      <c r="Q131">
        <f t="shared" si="43"/>
        <v>7</v>
      </c>
      <c r="R131">
        <f t="shared" si="44"/>
        <v>0</v>
      </c>
      <c r="S131">
        <f t="shared" si="105"/>
        <v>11</v>
      </c>
      <c r="T131">
        <f t="shared" si="45"/>
        <v>4</v>
      </c>
      <c r="U131">
        <f t="shared" si="46"/>
        <v>3</v>
      </c>
      <c r="X131" s="90" t="s">
        <v>26</v>
      </c>
      <c r="Y131" s="90" t="s">
        <v>26</v>
      </c>
      <c r="Z131" s="90" t="s">
        <v>26</v>
      </c>
      <c r="AA131" s="29" t="s">
        <v>18</v>
      </c>
      <c r="AB131" s="29" t="s">
        <v>22</v>
      </c>
      <c r="AC131" s="90" t="s">
        <v>26</v>
      </c>
      <c r="AD131" s="90" t="s">
        <v>14</v>
      </c>
      <c r="AE131" s="29" t="s">
        <v>18</v>
      </c>
      <c r="AF131" s="90" t="s">
        <v>13</v>
      </c>
      <c r="AG131" s="90" t="s">
        <v>54</v>
      </c>
      <c r="AH131" s="90" t="s">
        <v>14</v>
      </c>
      <c r="AI131" s="29" t="s">
        <v>18</v>
      </c>
      <c r="AJ131" s="90" t="s">
        <v>54</v>
      </c>
      <c r="AK131" s="90" t="s">
        <v>26</v>
      </c>
      <c r="AL131" s="90" t="s">
        <v>53</v>
      </c>
      <c r="AM131" s="90" t="s">
        <v>53</v>
      </c>
      <c r="AN131" s="90" t="s">
        <v>53</v>
      </c>
      <c r="AO131" s="29" t="s">
        <v>18</v>
      </c>
      <c r="AP131" s="90" t="s">
        <v>53</v>
      </c>
      <c r="AQ131" s="29" t="s">
        <v>18</v>
      </c>
      <c r="AR131" s="29" t="s">
        <v>22</v>
      </c>
      <c r="AS131" s="90" t="s">
        <v>26</v>
      </c>
      <c r="AT131" s="90" t="s">
        <v>26</v>
      </c>
      <c r="AU131" s="90" t="s">
        <v>26</v>
      </c>
      <c r="AV131" s="90" t="s">
        <v>26</v>
      </c>
      <c r="AW131" s="90" t="s">
        <v>54</v>
      </c>
      <c r="AX131" s="29" t="s">
        <v>18</v>
      </c>
      <c r="AY131" s="29" t="s">
        <v>22</v>
      </c>
      <c r="AZ131" s="90" t="s">
        <v>26</v>
      </c>
      <c r="BA131" s="29" t="s">
        <v>18</v>
      </c>
      <c r="BB131" s="29" t="s">
        <v>22</v>
      </c>
      <c r="BC131" s="29" t="s">
        <v>18</v>
      </c>
      <c r="BD131" s="29" t="s">
        <v>22</v>
      </c>
      <c r="BE131" s="90" t="s">
        <v>26</v>
      </c>
      <c r="BF131" s="29" t="s">
        <v>22</v>
      </c>
      <c r="BG131" s="29" t="s">
        <v>18</v>
      </c>
      <c r="BJ131" s="29" t="s">
        <v>18</v>
      </c>
      <c r="BK131" s="29" t="s">
        <v>22</v>
      </c>
      <c r="BL131" s="29" t="s">
        <v>18</v>
      </c>
      <c r="BM131" s="29" t="s">
        <v>17</v>
      </c>
      <c r="BN131" s="29" t="s">
        <v>17</v>
      </c>
      <c r="BO131" s="29" t="s">
        <v>17</v>
      </c>
      <c r="BP131" s="29" t="s">
        <v>17</v>
      </c>
      <c r="BQ131" s="29" t="s">
        <v>17</v>
      </c>
      <c r="BR131" s="29" t="s">
        <v>17</v>
      </c>
      <c r="BS131" s="29" t="s">
        <v>17</v>
      </c>
      <c r="BT131" s="29" t="s">
        <v>17</v>
      </c>
      <c r="BU131" s="29" t="s">
        <v>17</v>
      </c>
    </row>
    <row r="132" spans="1:73" x14ac:dyDescent="0.3">
      <c r="A132" s="2">
        <f t="shared" ref="A132:B132" si="116">A131+1</f>
        <v>213</v>
      </c>
      <c r="B132" s="12">
        <f t="shared" si="116"/>
        <v>130</v>
      </c>
      <c r="C132" s="24">
        <v>44774.708333333336</v>
      </c>
      <c r="D132" s="4">
        <v>24</v>
      </c>
      <c r="E132" s="4">
        <f t="shared" si="100"/>
        <v>3096</v>
      </c>
      <c r="F132" s="5">
        <f t="shared" si="101"/>
        <v>129</v>
      </c>
      <c r="G132">
        <f t="shared" si="48"/>
        <v>0</v>
      </c>
      <c r="H132">
        <f>COUNTIF($X132:$BU132, "L1")</f>
        <v>0</v>
      </c>
      <c r="I132">
        <f>COUNTIF($X132:$BU132, "L2")</f>
        <v>0</v>
      </c>
      <c r="J132">
        <f>COUNTIF($X132:$BU132, "L3")</f>
        <v>0</v>
      </c>
      <c r="K132">
        <f>COUNTIF($X132:$BU132, "P")</f>
        <v>0</v>
      </c>
      <c r="L132" s="86">
        <f>COUNTIF($X132:$BU132, "AM")</f>
        <v>1</v>
      </c>
      <c r="M132" s="86">
        <f>COUNTIF($X132:$BU132, "AF")</f>
        <v>2</v>
      </c>
      <c r="N132" s="5"/>
      <c r="O132">
        <f t="shared" si="102"/>
        <v>9</v>
      </c>
      <c r="P132">
        <f t="shared" si="103"/>
        <v>11</v>
      </c>
      <c r="Q132">
        <f t="shared" ref="Q132:Q142" si="117">COUNTIF($X132:$BU132, "L2_D")</f>
        <v>7</v>
      </c>
      <c r="R132">
        <f t="shared" ref="R132:R142" si="118">COUNTIF($X132:$BU132, "L3_D")</f>
        <v>0</v>
      </c>
      <c r="S132">
        <f t="shared" si="105"/>
        <v>11</v>
      </c>
      <c r="T132">
        <f t="shared" ref="T132:T142" si="119">COUNTIF($X132:$BU132, "AM_D")</f>
        <v>4</v>
      </c>
      <c r="U132">
        <f t="shared" ref="U132:U142" si="120">COUNTIF($X132:$BU132, "AF_D")</f>
        <v>3</v>
      </c>
      <c r="X132" s="90" t="s">
        <v>26</v>
      </c>
      <c r="Y132" s="90" t="s">
        <v>26</v>
      </c>
      <c r="Z132" s="90" t="s">
        <v>26</v>
      </c>
      <c r="AA132" s="29" t="s">
        <v>18</v>
      </c>
      <c r="AB132" s="29" t="s">
        <v>22</v>
      </c>
      <c r="AC132" s="90" t="s">
        <v>26</v>
      </c>
      <c r="AD132" s="90" t="s">
        <v>14</v>
      </c>
      <c r="AE132" s="29" t="s">
        <v>18</v>
      </c>
      <c r="AF132" s="90" t="s">
        <v>13</v>
      </c>
      <c r="AG132" s="90" t="s">
        <v>54</v>
      </c>
      <c r="AH132" s="90" t="s">
        <v>14</v>
      </c>
      <c r="AI132" s="29" t="s">
        <v>18</v>
      </c>
      <c r="AJ132" s="90" t="s">
        <v>54</v>
      </c>
      <c r="AK132" s="90" t="s">
        <v>26</v>
      </c>
      <c r="AL132" s="90" t="s">
        <v>53</v>
      </c>
      <c r="AM132" s="90" t="s">
        <v>53</v>
      </c>
      <c r="AN132" s="90" t="s">
        <v>53</v>
      </c>
      <c r="AO132" s="29" t="s">
        <v>18</v>
      </c>
      <c r="AP132" s="90" t="s">
        <v>53</v>
      </c>
      <c r="AQ132" s="29" t="s">
        <v>18</v>
      </c>
      <c r="AR132" s="29" t="s">
        <v>22</v>
      </c>
      <c r="AS132" s="90" t="s">
        <v>26</v>
      </c>
      <c r="AT132" s="90" t="s">
        <v>26</v>
      </c>
      <c r="AU132" s="90" t="s">
        <v>26</v>
      </c>
      <c r="AV132" s="90" t="s">
        <v>26</v>
      </c>
      <c r="AW132" s="90" t="s">
        <v>54</v>
      </c>
      <c r="AX132" s="29" t="s">
        <v>18</v>
      </c>
      <c r="AY132" s="29" t="s">
        <v>22</v>
      </c>
      <c r="AZ132" s="90" t="s">
        <v>26</v>
      </c>
      <c r="BA132" s="29" t="s">
        <v>18</v>
      </c>
      <c r="BB132" s="29" t="s">
        <v>22</v>
      </c>
      <c r="BC132" s="29" t="s">
        <v>18</v>
      </c>
      <c r="BD132" s="29" t="s">
        <v>22</v>
      </c>
      <c r="BE132" s="90" t="s">
        <v>26</v>
      </c>
      <c r="BF132" s="29" t="s">
        <v>22</v>
      </c>
      <c r="BG132" s="29" t="s">
        <v>18</v>
      </c>
      <c r="BJ132" s="29" t="s">
        <v>18</v>
      </c>
      <c r="BK132" s="29" t="s">
        <v>22</v>
      </c>
      <c r="BL132" s="29" t="s">
        <v>18</v>
      </c>
      <c r="BM132" s="29" t="s">
        <v>17</v>
      </c>
      <c r="BN132" s="29" t="s">
        <v>17</v>
      </c>
      <c r="BO132" s="29" t="s">
        <v>17</v>
      </c>
      <c r="BP132" s="29" t="s">
        <v>17</v>
      </c>
      <c r="BQ132" s="29" t="s">
        <v>17</v>
      </c>
      <c r="BR132" s="29" t="s">
        <v>17</v>
      </c>
      <c r="BS132" s="29" t="s">
        <v>17</v>
      </c>
      <c r="BT132" s="29" t="s">
        <v>17</v>
      </c>
      <c r="BU132" s="29" t="s">
        <v>17</v>
      </c>
    </row>
    <row r="133" spans="1:73" x14ac:dyDescent="0.3">
      <c r="A133" s="2">
        <f t="shared" ref="A133:B133" si="121">A132+1</f>
        <v>214</v>
      </c>
      <c r="B133" s="12">
        <f t="shared" si="121"/>
        <v>131</v>
      </c>
      <c r="C133" s="24">
        <v>44775.708333333336</v>
      </c>
      <c r="D133" s="4">
        <v>24</v>
      </c>
      <c r="E133" s="4">
        <f t="shared" si="100"/>
        <v>3120</v>
      </c>
      <c r="F133" s="5">
        <f t="shared" si="101"/>
        <v>130</v>
      </c>
      <c r="G133">
        <f>COUNTIF($X133:$BU133, "E")</f>
        <v>0</v>
      </c>
      <c r="H133">
        <f>COUNTIF($X133:$BU133, "L1")</f>
        <v>0</v>
      </c>
      <c r="I133">
        <f>COUNTIF($X133:$BU133, "L2")</f>
        <v>0</v>
      </c>
      <c r="J133">
        <f>COUNTIF($X133:$BU133, "L3")</f>
        <v>0</v>
      </c>
      <c r="K133">
        <f>COUNTIF($X133:$BU133, "P")</f>
        <v>0</v>
      </c>
      <c r="L133" s="86">
        <f>COUNTIF($X133:$BU133, "AM")</f>
        <v>1</v>
      </c>
      <c r="M133" s="86">
        <f>COUNTIF($X133:$BU133, "AF")</f>
        <v>2</v>
      </c>
      <c r="N133" s="5"/>
      <c r="O133">
        <f t="shared" si="102"/>
        <v>9</v>
      </c>
      <c r="P133">
        <f t="shared" si="103"/>
        <v>11</v>
      </c>
      <c r="Q133">
        <f t="shared" si="117"/>
        <v>7</v>
      </c>
      <c r="R133">
        <f t="shared" si="118"/>
        <v>0</v>
      </c>
      <c r="S133">
        <f t="shared" si="105"/>
        <v>11</v>
      </c>
      <c r="T133">
        <f t="shared" si="119"/>
        <v>4</v>
      </c>
      <c r="U133">
        <f t="shared" si="120"/>
        <v>3</v>
      </c>
      <c r="X133" s="90" t="s">
        <v>26</v>
      </c>
      <c r="Y133" s="90" t="s">
        <v>26</v>
      </c>
      <c r="Z133" s="90" t="s">
        <v>26</v>
      </c>
      <c r="AA133" s="29" t="s">
        <v>18</v>
      </c>
      <c r="AB133" s="29" t="s">
        <v>22</v>
      </c>
      <c r="AC133" s="90" t="s">
        <v>26</v>
      </c>
      <c r="AD133" s="90" t="s">
        <v>14</v>
      </c>
      <c r="AE133" s="29" t="s">
        <v>18</v>
      </c>
      <c r="AF133" s="90" t="s">
        <v>13</v>
      </c>
      <c r="AG133" s="90" t="s">
        <v>54</v>
      </c>
      <c r="AH133" s="90" t="s">
        <v>14</v>
      </c>
      <c r="AI133" s="29" t="s">
        <v>18</v>
      </c>
      <c r="AJ133" s="90" t="s">
        <v>54</v>
      </c>
      <c r="AK133" s="90" t="s">
        <v>26</v>
      </c>
      <c r="AL133" s="90" t="s">
        <v>53</v>
      </c>
      <c r="AM133" s="90" t="s">
        <v>53</v>
      </c>
      <c r="AN133" s="90" t="s">
        <v>53</v>
      </c>
      <c r="AO133" s="29" t="s">
        <v>18</v>
      </c>
      <c r="AP133" s="90" t="s">
        <v>53</v>
      </c>
      <c r="AQ133" s="29" t="s">
        <v>18</v>
      </c>
      <c r="AR133" s="29" t="s">
        <v>22</v>
      </c>
      <c r="AS133" s="90" t="s">
        <v>26</v>
      </c>
      <c r="AT133" s="90" t="s">
        <v>26</v>
      </c>
      <c r="AU133" s="90" t="s">
        <v>26</v>
      </c>
      <c r="AV133" s="90" t="s">
        <v>26</v>
      </c>
      <c r="AW133" s="90" t="s">
        <v>54</v>
      </c>
      <c r="AX133" s="29" t="s">
        <v>18</v>
      </c>
      <c r="AY133" s="29" t="s">
        <v>22</v>
      </c>
      <c r="AZ133" s="90" t="s">
        <v>26</v>
      </c>
      <c r="BA133" s="29" t="s">
        <v>18</v>
      </c>
      <c r="BB133" s="29" t="s">
        <v>22</v>
      </c>
      <c r="BC133" s="29" t="s">
        <v>18</v>
      </c>
      <c r="BD133" s="29" t="s">
        <v>22</v>
      </c>
      <c r="BE133" s="90" t="s">
        <v>26</v>
      </c>
      <c r="BF133" s="29" t="s">
        <v>22</v>
      </c>
      <c r="BG133" s="29" t="s">
        <v>18</v>
      </c>
      <c r="BJ133" s="29" t="s">
        <v>18</v>
      </c>
      <c r="BK133" s="29" t="s">
        <v>22</v>
      </c>
      <c r="BL133" s="29" t="s">
        <v>18</v>
      </c>
      <c r="BM133" s="29" t="s">
        <v>17</v>
      </c>
      <c r="BN133" s="29" t="s">
        <v>17</v>
      </c>
      <c r="BO133" s="29" t="s">
        <v>17</v>
      </c>
      <c r="BP133" s="29" t="s">
        <v>17</v>
      </c>
      <c r="BQ133" s="29" t="s">
        <v>17</v>
      </c>
      <c r="BR133" s="29" t="s">
        <v>17</v>
      </c>
      <c r="BS133" s="29" t="s">
        <v>17</v>
      </c>
      <c r="BT133" s="29" t="s">
        <v>17</v>
      </c>
      <c r="BU133" s="29" t="s">
        <v>17</v>
      </c>
    </row>
    <row r="134" spans="1:73" x14ac:dyDescent="0.3">
      <c r="A134" s="2">
        <f t="shared" ref="A134:B134" si="122">A133+1</f>
        <v>215</v>
      </c>
      <c r="B134" s="12">
        <f t="shared" si="122"/>
        <v>132</v>
      </c>
      <c r="C134" s="24">
        <v>44776.708333333336</v>
      </c>
      <c r="D134" s="4">
        <v>24</v>
      </c>
      <c r="E134" s="4">
        <f t="shared" si="100"/>
        <v>3144</v>
      </c>
      <c r="F134" s="5">
        <f t="shared" si="101"/>
        <v>131</v>
      </c>
      <c r="G134">
        <f>COUNTIF($X134:$BU134, "E")</f>
        <v>0</v>
      </c>
      <c r="H134">
        <f>COUNTIF($X134:$BU134, "L1")</f>
        <v>0</v>
      </c>
      <c r="I134">
        <f>COUNTIF($X134:$BU134, "L2")</f>
        <v>0</v>
      </c>
      <c r="J134">
        <f>COUNTIF($X134:$BU134, "L3")</f>
        <v>0</v>
      </c>
      <c r="K134">
        <f>COUNTIF($X134:$BU134, "P")</f>
        <v>0</v>
      </c>
      <c r="L134" s="86">
        <f>COUNTIF($X134:$BU134, "AM")</f>
        <v>1</v>
      </c>
      <c r="M134" s="86">
        <f>COUNTIF($X134:$BU134, "AF")</f>
        <v>1</v>
      </c>
      <c r="N134" s="5"/>
      <c r="O134">
        <f t="shared" si="102"/>
        <v>9</v>
      </c>
      <c r="P134">
        <f t="shared" si="103"/>
        <v>11</v>
      </c>
      <c r="Q134">
        <f t="shared" si="117"/>
        <v>7</v>
      </c>
      <c r="R134">
        <f t="shared" si="118"/>
        <v>0</v>
      </c>
      <c r="S134">
        <f t="shared" si="105"/>
        <v>11</v>
      </c>
      <c r="T134">
        <f t="shared" si="119"/>
        <v>4</v>
      </c>
      <c r="U134">
        <f t="shared" si="120"/>
        <v>4</v>
      </c>
      <c r="X134" s="90" t="s">
        <v>26</v>
      </c>
      <c r="Y134" s="90" t="s">
        <v>26</v>
      </c>
      <c r="Z134" s="90" t="s">
        <v>26</v>
      </c>
      <c r="AA134" s="29" t="s">
        <v>18</v>
      </c>
      <c r="AB134" s="29" t="s">
        <v>22</v>
      </c>
      <c r="AC134" s="90" t="s">
        <v>26</v>
      </c>
      <c r="AD134" s="90" t="s">
        <v>14</v>
      </c>
      <c r="AE134" s="29" t="s">
        <v>18</v>
      </c>
      <c r="AF134" s="90" t="s">
        <v>13</v>
      </c>
      <c r="AG134" s="90" t="s">
        <v>54</v>
      </c>
      <c r="AH134" s="90" t="s">
        <v>54</v>
      </c>
      <c r="AI134" s="29" t="s">
        <v>18</v>
      </c>
      <c r="AJ134" s="90" t="s">
        <v>54</v>
      </c>
      <c r="AK134" s="90" t="s">
        <v>26</v>
      </c>
      <c r="AL134" s="90" t="s">
        <v>53</v>
      </c>
      <c r="AM134" s="90" t="s">
        <v>53</v>
      </c>
      <c r="AN134" s="90" t="s">
        <v>53</v>
      </c>
      <c r="AO134" s="29" t="s">
        <v>18</v>
      </c>
      <c r="AP134" s="90" t="s">
        <v>53</v>
      </c>
      <c r="AQ134" s="29" t="s">
        <v>18</v>
      </c>
      <c r="AR134" s="29" t="s">
        <v>22</v>
      </c>
      <c r="AS134" s="90" t="s">
        <v>26</v>
      </c>
      <c r="AT134" s="90" t="s">
        <v>26</v>
      </c>
      <c r="AU134" s="90" t="s">
        <v>26</v>
      </c>
      <c r="AV134" s="90" t="s">
        <v>26</v>
      </c>
      <c r="AW134" s="90" t="s">
        <v>54</v>
      </c>
      <c r="AX134" s="29" t="s">
        <v>18</v>
      </c>
      <c r="AY134" s="29" t="s">
        <v>22</v>
      </c>
      <c r="AZ134" s="90" t="s">
        <v>26</v>
      </c>
      <c r="BA134" s="29" t="s">
        <v>18</v>
      </c>
      <c r="BB134" s="29" t="s">
        <v>22</v>
      </c>
      <c r="BC134" s="29" t="s">
        <v>18</v>
      </c>
      <c r="BD134" s="29" t="s">
        <v>22</v>
      </c>
      <c r="BE134" s="90" t="s">
        <v>26</v>
      </c>
      <c r="BF134" s="29" t="s">
        <v>22</v>
      </c>
      <c r="BG134" s="29" t="s">
        <v>18</v>
      </c>
      <c r="BJ134" s="29" t="s">
        <v>18</v>
      </c>
      <c r="BK134" s="29" t="s">
        <v>22</v>
      </c>
      <c r="BL134" s="29" t="s">
        <v>18</v>
      </c>
      <c r="BM134" s="29" t="s">
        <v>17</v>
      </c>
      <c r="BN134" s="29" t="s">
        <v>17</v>
      </c>
      <c r="BO134" s="29" t="s">
        <v>17</v>
      </c>
      <c r="BP134" s="29" t="s">
        <v>17</v>
      </c>
      <c r="BQ134" s="29" t="s">
        <v>17</v>
      </c>
      <c r="BR134" s="29" t="s">
        <v>17</v>
      </c>
      <c r="BS134" s="29" t="s">
        <v>17</v>
      </c>
      <c r="BT134" s="29" t="s">
        <v>17</v>
      </c>
      <c r="BU134" s="29" t="s">
        <v>17</v>
      </c>
    </row>
    <row r="135" spans="1:73" x14ac:dyDescent="0.3">
      <c r="A135" s="2">
        <f t="shared" ref="A135:B135" si="123">A134+1</f>
        <v>216</v>
      </c>
      <c r="B135" s="12">
        <f t="shared" si="123"/>
        <v>133</v>
      </c>
      <c r="C135" s="24">
        <v>44777.708333333336</v>
      </c>
      <c r="D135" s="4">
        <v>24</v>
      </c>
      <c r="E135" s="4">
        <f t="shared" si="100"/>
        <v>3168</v>
      </c>
      <c r="F135" s="5">
        <f t="shared" si="101"/>
        <v>132</v>
      </c>
      <c r="G135">
        <f>COUNTIF($X135:$BU135, "E")</f>
        <v>0</v>
      </c>
      <c r="H135">
        <f>COUNTIF($X135:$BU135, "L1")</f>
        <v>0</v>
      </c>
      <c r="I135">
        <f>COUNTIF($X135:$BU135, "L2")</f>
        <v>0</v>
      </c>
      <c r="J135">
        <f>COUNTIF($X135:$BU135, "L3")</f>
        <v>0</v>
      </c>
      <c r="K135">
        <f>COUNTIF($X135:$BU135, "P")</f>
        <v>0</v>
      </c>
      <c r="L135" s="86">
        <f>COUNTIF($X135:$BU135, "AM")</f>
        <v>1</v>
      </c>
      <c r="M135" s="86">
        <f>COUNTIF($X135:$BU135, "AF")</f>
        <v>1</v>
      </c>
      <c r="N135" s="5"/>
      <c r="O135">
        <f t="shared" si="102"/>
        <v>9</v>
      </c>
      <c r="P135">
        <f t="shared" si="103"/>
        <v>11</v>
      </c>
      <c r="Q135">
        <f t="shared" si="117"/>
        <v>7</v>
      </c>
      <c r="R135">
        <f t="shared" si="118"/>
        <v>0</v>
      </c>
      <c r="S135">
        <f t="shared" si="105"/>
        <v>11</v>
      </c>
      <c r="T135">
        <f t="shared" si="119"/>
        <v>4</v>
      </c>
      <c r="U135">
        <f t="shared" si="120"/>
        <v>4</v>
      </c>
      <c r="X135" s="90" t="s">
        <v>26</v>
      </c>
      <c r="Y135" s="90" t="s">
        <v>26</v>
      </c>
      <c r="Z135" s="90" t="s">
        <v>26</v>
      </c>
      <c r="AA135" s="29" t="s">
        <v>18</v>
      </c>
      <c r="AB135" s="29" t="s">
        <v>22</v>
      </c>
      <c r="AC135" s="90" t="s">
        <v>26</v>
      </c>
      <c r="AD135" s="90" t="s">
        <v>14</v>
      </c>
      <c r="AE135" s="29" t="s">
        <v>18</v>
      </c>
      <c r="AF135" s="90" t="s">
        <v>13</v>
      </c>
      <c r="AG135" s="90" t="s">
        <v>54</v>
      </c>
      <c r="AH135" s="90" t="s">
        <v>54</v>
      </c>
      <c r="AI135" s="29" t="s">
        <v>18</v>
      </c>
      <c r="AJ135" s="90" t="s">
        <v>54</v>
      </c>
      <c r="AK135" s="90" t="s">
        <v>26</v>
      </c>
      <c r="AL135" s="90" t="s">
        <v>53</v>
      </c>
      <c r="AM135" s="90" t="s">
        <v>53</v>
      </c>
      <c r="AN135" s="90" t="s">
        <v>53</v>
      </c>
      <c r="AO135" s="29" t="s">
        <v>18</v>
      </c>
      <c r="AP135" s="90" t="s">
        <v>53</v>
      </c>
      <c r="AQ135" s="29" t="s">
        <v>18</v>
      </c>
      <c r="AR135" s="29" t="s">
        <v>22</v>
      </c>
      <c r="AS135" s="90" t="s">
        <v>26</v>
      </c>
      <c r="AT135" s="90" t="s">
        <v>26</v>
      </c>
      <c r="AU135" s="90" t="s">
        <v>26</v>
      </c>
      <c r="AV135" s="90" t="s">
        <v>26</v>
      </c>
      <c r="AW135" s="90" t="s">
        <v>54</v>
      </c>
      <c r="AX135" s="29" t="s">
        <v>18</v>
      </c>
      <c r="AY135" s="29" t="s">
        <v>22</v>
      </c>
      <c r="AZ135" s="90" t="s">
        <v>26</v>
      </c>
      <c r="BA135" s="29" t="s">
        <v>18</v>
      </c>
      <c r="BB135" s="29" t="s">
        <v>22</v>
      </c>
      <c r="BC135" s="29" t="s">
        <v>18</v>
      </c>
      <c r="BD135" s="29" t="s">
        <v>22</v>
      </c>
      <c r="BE135" s="90" t="s">
        <v>26</v>
      </c>
      <c r="BF135" s="29" t="s">
        <v>22</v>
      </c>
      <c r="BG135" s="29" t="s">
        <v>18</v>
      </c>
      <c r="BJ135" s="29" t="s">
        <v>18</v>
      </c>
      <c r="BK135" s="29" t="s">
        <v>22</v>
      </c>
      <c r="BL135" s="29" t="s">
        <v>18</v>
      </c>
      <c r="BM135" s="29" t="s">
        <v>17</v>
      </c>
      <c r="BN135" s="29" t="s">
        <v>17</v>
      </c>
      <c r="BO135" s="29" t="s">
        <v>17</v>
      </c>
      <c r="BP135" s="29" t="s">
        <v>17</v>
      </c>
      <c r="BQ135" s="29" t="s">
        <v>17</v>
      </c>
      <c r="BR135" s="29" t="s">
        <v>17</v>
      </c>
      <c r="BS135" s="29" t="s">
        <v>17</v>
      </c>
      <c r="BT135" s="29" t="s">
        <v>17</v>
      </c>
      <c r="BU135" s="29" t="s">
        <v>17</v>
      </c>
    </row>
    <row r="136" spans="1:73" x14ac:dyDescent="0.3">
      <c r="A136" s="2">
        <f t="shared" ref="A136:B136" si="124">A135+1</f>
        <v>217</v>
      </c>
      <c r="B136" s="12">
        <f t="shared" si="124"/>
        <v>134</v>
      </c>
      <c r="C136" s="24">
        <v>44778.708333333336</v>
      </c>
      <c r="D136" s="4">
        <v>24</v>
      </c>
      <c r="E136" s="4">
        <f t="shared" si="100"/>
        <v>3192</v>
      </c>
      <c r="F136" s="5">
        <f t="shared" si="101"/>
        <v>133</v>
      </c>
      <c r="G136">
        <f>COUNTIF($X136:$BU136, "E")</f>
        <v>0</v>
      </c>
      <c r="H136">
        <f>COUNTIF($X136:$BU136, "L1")</f>
        <v>0</v>
      </c>
      <c r="I136">
        <f>COUNTIF($X136:$BU136, "L2")</f>
        <v>0</v>
      </c>
      <c r="J136">
        <f>COUNTIF($X136:$BU136, "L3")</f>
        <v>0</v>
      </c>
      <c r="K136">
        <f>COUNTIF($X136:$BU136, "P")</f>
        <v>0</v>
      </c>
      <c r="L136" s="86">
        <f>COUNTIF($X136:$BU136, "AM")</f>
        <v>1</v>
      </c>
      <c r="M136" s="86">
        <f>COUNTIF($X136:$BU136, "AF")</f>
        <v>0</v>
      </c>
      <c r="N136" s="5"/>
      <c r="O136">
        <f t="shared" si="102"/>
        <v>9</v>
      </c>
      <c r="P136">
        <f t="shared" si="103"/>
        <v>11</v>
      </c>
      <c r="Q136">
        <f t="shared" si="117"/>
        <v>7</v>
      </c>
      <c r="R136">
        <f t="shared" si="118"/>
        <v>0</v>
      </c>
      <c r="S136">
        <f t="shared" si="105"/>
        <v>11</v>
      </c>
      <c r="T136">
        <f t="shared" si="119"/>
        <v>4</v>
      </c>
      <c r="U136">
        <f t="shared" si="120"/>
        <v>5</v>
      </c>
      <c r="X136" s="90" t="s">
        <v>26</v>
      </c>
      <c r="Y136" s="90" t="s">
        <v>26</v>
      </c>
      <c r="Z136" s="90" t="s">
        <v>26</v>
      </c>
      <c r="AA136" s="29" t="s">
        <v>18</v>
      </c>
      <c r="AB136" s="29" t="s">
        <v>22</v>
      </c>
      <c r="AC136" s="90" t="s">
        <v>26</v>
      </c>
      <c r="AD136" s="90" t="s">
        <v>54</v>
      </c>
      <c r="AE136" s="29" t="s">
        <v>18</v>
      </c>
      <c r="AF136" s="90" t="s">
        <v>13</v>
      </c>
      <c r="AG136" s="90" t="s">
        <v>54</v>
      </c>
      <c r="AH136" s="90" t="s">
        <v>54</v>
      </c>
      <c r="AI136" s="29" t="s">
        <v>18</v>
      </c>
      <c r="AJ136" s="90" t="s">
        <v>54</v>
      </c>
      <c r="AK136" s="90" t="s">
        <v>26</v>
      </c>
      <c r="AL136" s="90" t="s">
        <v>53</v>
      </c>
      <c r="AM136" s="90" t="s">
        <v>53</v>
      </c>
      <c r="AN136" s="90" t="s">
        <v>53</v>
      </c>
      <c r="AO136" s="29" t="s">
        <v>18</v>
      </c>
      <c r="AP136" s="90" t="s">
        <v>53</v>
      </c>
      <c r="AQ136" s="29" t="s">
        <v>18</v>
      </c>
      <c r="AR136" s="29" t="s">
        <v>22</v>
      </c>
      <c r="AS136" s="90" t="s">
        <v>26</v>
      </c>
      <c r="AT136" s="90" t="s">
        <v>26</v>
      </c>
      <c r="AU136" s="90" t="s">
        <v>26</v>
      </c>
      <c r="AV136" s="90" t="s">
        <v>26</v>
      </c>
      <c r="AW136" s="90" t="s">
        <v>54</v>
      </c>
      <c r="AX136" s="29" t="s">
        <v>18</v>
      </c>
      <c r="AY136" s="29" t="s">
        <v>22</v>
      </c>
      <c r="AZ136" s="90" t="s">
        <v>26</v>
      </c>
      <c r="BA136" s="29" t="s">
        <v>18</v>
      </c>
      <c r="BB136" s="29" t="s">
        <v>22</v>
      </c>
      <c r="BC136" s="29" t="s">
        <v>18</v>
      </c>
      <c r="BD136" s="29" t="s">
        <v>22</v>
      </c>
      <c r="BE136" s="90" t="s">
        <v>26</v>
      </c>
      <c r="BF136" s="29" t="s">
        <v>22</v>
      </c>
      <c r="BG136" s="29" t="s">
        <v>18</v>
      </c>
      <c r="BJ136" s="29" t="s">
        <v>18</v>
      </c>
      <c r="BK136" s="29" t="s">
        <v>22</v>
      </c>
      <c r="BL136" s="29" t="s">
        <v>18</v>
      </c>
      <c r="BM136" s="29" t="s">
        <v>17</v>
      </c>
      <c r="BN136" s="29" t="s">
        <v>17</v>
      </c>
      <c r="BO136" s="29" t="s">
        <v>17</v>
      </c>
      <c r="BP136" s="29" t="s">
        <v>17</v>
      </c>
      <c r="BQ136" s="29" t="s">
        <v>17</v>
      </c>
      <c r="BR136" s="29" t="s">
        <v>17</v>
      </c>
      <c r="BS136" s="29" t="s">
        <v>17</v>
      </c>
      <c r="BT136" s="29" t="s">
        <v>17</v>
      </c>
      <c r="BU136" s="29" t="s">
        <v>17</v>
      </c>
    </row>
    <row r="137" spans="1:73" x14ac:dyDescent="0.3">
      <c r="A137" s="2">
        <f t="shared" ref="A137:B137" si="125">A136+1</f>
        <v>218</v>
      </c>
      <c r="B137" s="12">
        <f t="shared" si="125"/>
        <v>135</v>
      </c>
      <c r="C137" s="24">
        <v>44779.708333333336</v>
      </c>
      <c r="D137" s="4">
        <v>24</v>
      </c>
      <c r="E137" s="4">
        <f t="shared" si="100"/>
        <v>3216</v>
      </c>
      <c r="F137" s="5">
        <f t="shared" si="101"/>
        <v>134</v>
      </c>
      <c r="G137">
        <f>COUNTIF($X137:$BU137, "E")</f>
        <v>0</v>
      </c>
      <c r="H137">
        <f>COUNTIF($X137:$BU137, "L1")</f>
        <v>0</v>
      </c>
      <c r="I137">
        <f>COUNTIF($X137:$BU137, "L2")</f>
        <v>0</v>
      </c>
      <c r="J137">
        <f>COUNTIF($X137:$BU137, "L3")</f>
        <v>0</v>
      </c>
      <c r="K137">
        <f>COUNTIF($X137:$BU137, "P")</f>
        <v>0</v>
      </c>
      <c r="L137" s="86">
        <f>COUNTIF($X137:$BU137, "AM")</f>
        <v>1</v>
      </c>
      <c r="M137" s="86">
        <f>COUNTIF($X137:$BU137, "AF")</f>
        <v>0</v>
      </c>
      <c r="N137" s="5"/>
      <c r="O137">
        <f t="shared" si="102"/>
        <v>9</v>
      </c>
      <c r="P137">
        <f t="shared" si="103"/>
        <v>11</v>
      </c>
      <c r="Q137">
        <f t="shared" si="117"/>
        <v>7</v>
      </c>
      <c r="R137">
        <f t="shared" si="118"/>
        <v>0</v>
      </c>
      <c r="S137">
        <f t="shared" si="105"/>
        <v>11</v>
      </c>
      <c r="T137">
        <f t="shared" si="119"/>
        <v>4</v>
      </c>
      <c r="U137">
        <f t="shared" si="120"/>
        <v>5</v>
      </c>
      <c r="X137" s="90" t="s">
        <v>26</v>
      </c>
      <c r="Y137" s="90" t="s">
        <v>26</v>
      </c>
      <c r="Z137" s="90" t="s">
        <v>26</v>
      </c>
      <c r="AA137" s="29" t="s">
        <v>18</v>
      </c>
      <c r="AB137" s="29" t="s">
        <v>22</v>
      </c>
      <c r="AC137" s="90" t="s">
        <v>26</v>
      </c>
      <c r="AD137" s="90" t="s">
        <v>54</v>
      </c>
      <c r="AE137" s="29" t="s">
        <v>18</v>
      </c>
      <c r="AF137" s="90" t="s">
        <v>13</v>
      </c>
      <c r="AG137" s="90" t="s">
        <v>54</v>
      </c>
      <c r="AH137" s="90" t="s">
        <v>54</v>
      </c>
      <c r="AI137" s="29" t="s">
        <v>18</v>
      </c>
      <c r="AJ137" s="90" t="s">
        <v>54</v>
      </c>
      <c r="AK137" s="90" t="s">
        <v>26</v>
      </c>
      <c r="AL137" s="90" t="s">
        <v>53</v>
      </c>
      <c r="AM137" s="90" t="s">
        <v>53</v>
      </c>
      <c r="AN137" s="90" t="s">
        <v>53</v>
      </c>
      <c r="AO137" s="29" t="s">
        <v>18</v>
      </c>
      <c r="AP137" s="90" t="s">
        <v>53</v>
      </c>
      <c r="AQ137" s="29" t="s">
        <v>18</v>
      </c>
      <c r="AR137" s="29" t="s">
        <v>22</v>
      </c>
      <c r="AS137" s="90" t="s">
        <v>26</v>
      </c>
      <c r="AT137" s="90" t="s">
        <v>26</v>
      </c>
      <c r="AU137" s="90" t="s">
        <v>26</v>
      </c>
      <c r="AV137" s="90" t="s">
        <v>26</v>
      </c>
      <c r="AW137" s="90" t="s">
        <v>54</v>
      </c>
      <c r="AX137" s="29" t="s">
        <v>18</v>
      </c>
      <c r="AY137" s="29" t="s">
        <v>22</v>
      </c>
      <c r="AZ137" s="90" t="s">
        <v>26</v>
      </c>
      <c r="BA137" s="29" t="s">
        <v>18</v>
      </c>
      <c r="BB137" s="29" t="s">
        <v>22</v>
      </c>
      <c r="BC137" s="29" t="s">
        <v>18</v>
      </c>
      <c r="BD137" s="29" t="s">
        <v>22</v>
      </c>
      <c r="BE137" s="90" t="s">
        <v>26</v>
      </c>
      <c r="BF137" s="29" t="s">
        <v>22</v>
      </c>
      <c r="BG137" s="29" t="s">
        <v>18</v>
      </c>
      <c r="BJ137" s="29" t="s">
        <v>18</v>
      </c>
      <c r="BK137" s="29" t="s">
        <v>22</v>
      </c>
      <c r="BL137" s="29" t="s">
        <v>18</v>
      </c>
      <c r="BM137" s="29" t="s">
        <v>17</v>
      </c>
      <c r="BN137" s="29" t="s">
        <v>17</v>
      </c>
      <c r="BO137" s="29" t="s">
        <v>17</v>
      </c>
      <c r="BP137" s="29" t="s">
        <v>17</v>
      </c>
      <c r="BQ137" s="29" t="s">
        <v>17</v>
      </c>
      <c r="BR137" s="29" t="s">
        <v>17</v>
      </c>
      <c r="BS137" s="29" t="s">
        <v>17</v>
      </c>
      <c r="BT137" s="29" t="s">
        <v>17</v>
      </c>
      <c r="BU137" s="29" t="s">
        <v>17</v>
      </c>
    </row>
    <row r="138" spans="1:73" x14ac:dyDescent="0.3">
      <c r="A138" s="2">
        <f t="shared" ref="A138:B138" si="126">A137+1</f>
        <v>219</v>
      </c>
      <c r="B138" s="12">
        <f t="shared" si="126"/>
        <v>136</v>
      </c>
      <c r="C138" s="24">
        <v>44780.708333333336</v>
      </c>
      <c r="D138" s="4">
        <v>24</v>
      </c>
      <c r="E138" s="4">
        <f t="shared" si="100"/>
        <v>3240</v>
      </c>
      <c r="F138" s="5">
        <f t="shared" si="101"/>
        <v>135</v>
      </c>
      <c r="G138">
        <f>COUNTIF($X138:$BU138, "E")</f>
        <v>0</v>
      </c>
      <c r="H138">
        <f>COUNTIF($X138:$BU138, "L1")</f>
        <v>0</v>
      </c>
      <c r="I138">
        <f>COUNTIF($X138:$BU138, "L2")</f>
        <v>0</v>
      </c>
      <c r="J138">
        <f>COUNTIF($X138:$BU138, "L3")</f>
        <v>0</v>
      </c>
      <c r="K138">
        <f>COUNTIF($X138:$BU138, "P")</f>
        <v>0</v>
      </c>
      <c r="L138" s="86">
        <f>COUNTIF($X138:$BU138, "AM")</f>
        <v>1</v>
      </c>
      <c r="M138" s="86">
        <f>COUNTIF($X138:$BU138, "AF")</f>
        <v>0</v>
      </c>
      <c r="N138" s="5"/>
      <c r="O138">
        <f t="shared" si="102"/>
        <v>9</v>
      </c>
      <c r="P138">
        <f t="shared" si="103"/>
        <v>11</v>
      </c>
      <c r="Q138">
        <f t="shared" si="117"/>
        <v>7</v>
      </c>
      <c r="R138">
        <f t="shared" si="118"/>
        <v>0</v>
      </c>
      <c r="S138">
        <f t="shared" si="105"/>
        <v>11</v>
      </c>
      <c r="T138">
        <f t="shared" si="119"/>
        <v>4</v>
      </c>
      <c r="U138">
        <f t="shared" si="120"/>
        <v>5</v>
      </c>
      <c r="X138" s="90" t="s">
        <v>26</v>
      </c>
      <c r="Y138" s="90" t="s">
        <v>26</v>
      </c>
      <c r="Z138" s="90" t="s">
        <v>26</v>
      </c>
      <c r="AA138" s="29" t="s">
        <v>18</v>
      </c>
      <c r="AB138" s="29" t="s">
        <v>22</v>
      </c>
      <c r="AC138" s="90" t="s">
        <v>26</v>
      </c>
      <c r="AD138" s="90" t="s">
        <v>54</v>
      </c>
      <c r="AE138" s="29" t="s">
        <v>18</v>
      </c>
      <c r="AF138" s="90" t="s">
        <v>13</v>
      </c>
      <c r="AG138" s="90" t="s">
        <v>54</v>
      </c>
      <c r="AH138" s="90" t="s">
        <v>54</v>
      </c>
      <c r="AI138" s="29" t="s">
        <v>18</v>
      </c>
      <c r="AJ138" s="90" t="s">
        <v>54</v>
      </c>
      <c r="AK138" s="90" t="s">
        <v>26</v>
      </c>
      <c r="AL138" s="90" t="s">
        <v>53</v>
      </c>
      <c r="AM138" s="90" t="s">
        <v>53</v>
      </c>
      <c r="AN138" s="90" t="s">
        <v>53</v>
      </c>
      <c r="AO138" s="29" t="s">
        <v>18</v>
      </c>
      <c r="AP138" s="90" t="s">
        <v>53</v>
      </c>
      <c r="AQ138" s="29" t="s">
        <v>18</v>
      </c>
      <c r="AR138" s="29" t="s">
        <v>22</v>
      </c>
      <c r="AS138" s="90" t="s">
        <v>26</v>
      </c>
      <c r="AT138" s="90" t="s">
        <v>26</v>
      </c>
      <c r="AU138" s="90" t="s">
        <v>26</v>
      </c>
      <c r="AV138" s="90" t="s">
        <v>26</v>
      </c>
      <c r="AW138" s="90" t="s">
        <v>54</v>
      </c>
      <c r="AX138" s="29" t="s">
        <v>18</v>
      </c>
      <c r="AY138" s="29" t="s">
        <v>22</v>
      </c>
      <c r="AZ138" s="90" t="s">
        <v>26</v>
      </c>
      <c r="BA138" s="29" t="s">
        <v>18</v>
      </c>
      <c r="BB138" s="29" t="s">
        <v>22</v>
      </c>
      <c r="BC138" s="29" t="s">
        <v>18</v>
      </c>
      <c r="BD138" s="29" t="s">
        <v>22</v>
      </c>
      <c r="BE138" s="90" t="s">
        <v>26</v>
      </c>
      <c r="BF138" s="29" t="s">
        <v>22</v>
      </c>
      <c r="BG138" s="29" t="s">
        <v>18</v>
      </c>
      <c r="BJ138" s="29" t="s">
        <v>18</v>
      </c>
      <c r="BK138" s="29" t="s">
        <v>22</v>
      </c>
      <c r="BL138" s="29" t="s">
        <v>18</v>
      </c>
      <c r="BM138" s="29" t="s">
        <v>17</v>
      </c>
      <c r="BN138" s="29" t="s">
        <v>17</v>
      </c>
      <c r="BO138" s="29" t="s">
        <v>17</v>
      </c>
      <c r="BP138" s="29" t="s">
        <v>17</v>
      </c>
      <c r="BQ138" s="29" t="s">
        <v>17</v>
      </c>
      <c r="BR138" s="29" t="s">
        <v>17</v>
      </c>
      <c r="BS138" s="29" t="s">
        <v>17</v>
      </c>
      <c r="BT138" s="29" t="s">
        <v>17</v>
      </c>
      <c r="BU138" s="29" t="s">
        <v>17</v>
      </c>
    </row>
    <row r="139" spans="1:73" x14ac:dyDescent="0.3">
      <c r="A139" s="2">
        <f t="shared" ref="A139:B139" si="127">A138+1</f>
        <v>220</v>
      </c>
      <c r="B139" s="12">
        <f t="shared" si="127"/>
        <v>137</v>
      </c>
      <c r="C139" s="24">
        <v>44781.708333333336</v>
      </c>
      <c r="D139" s="4">
        <v>24</v>
      </c>
      <c r="E139" s="4">
        <f t="shared" si="100"/>
        <v>3264</v>
      </c>
      <c r="F139" s="5">
        <f t="shared" si="101"/>
        <v>136</v>
      </c>
      <c r="G139">
        <f>COUNTIF($X139:$BU139, "E")</f>
        <v>0</v>
      </c>
      <c r="H139">
        <f>COUNTIF($X139:$BU139, "L1")</f>
        <v>0</v>
      </c>
      <c r="I139">
        <f>COUNTIF($X139:$BU139, "L2")</f>
        <v>0</v>
      </c>
      <c r="J139">
        <f>COUNTIF($X139:$BU139, "L3")</f>
        <v>0</v>
      </c>
      <c r="K139">
        <f>COUNTIF($X139:$BU139, "P")</f>
        <v>0</v>
      </c>
      <c r="L139" s="86">
        <f>COUNTIF($X139:$BU139, "AM")</f>
        <v>1</v>
      </c>
      <c r="M139" s="86">
        <f>COUNTIF($X139:$BU139, "AF")</f>
        <v>0</v>
      </c>
      <c r="N139" s="5"/>
      <c r="O139">
        <f t="shared" si="102"/>
        <v>9</v>
      </c>
      <c r="P139">
        <f t="shared" si="103"/>
        <v>11</v>
      </c>
      <c r="Q139">
        <f t="shared" si="117"/>
        <v>7</v>
      </c>
      <c r="R139">
        <f t="shared" si="118"/>
        <v>0</v>
      </c>
      <c r="S139">
        <f t="shared" si="105"/>
        <v>11</v>
      </c>
      <c r="T139">
        <f t="shared" si="119"/>
        <v>4</v>
      </c>
      <c r="U139">
        <f t="shared" si="120"/>
        <v>5</v>
      </c>
      <c r="X139" s="90" t="s">
        <v>26</v>
      </c>
      <c r="Y139" s="90" t="s">
        <v>26</v>
      </c>
      <c r="Z139" s="90" t="s">
        <v>26</v>
      </c>
      <c r="AA139" s="29" t="s">
        <v>18</v>
      </c>
      <c r="AB139" s="29" t="s">
        <v>22</v>
      </c>
      <c r="AC139" s="90" t="s">
        <v>26</v>
      </c>
      <c r="AD139" s="90" t="s">
        <v>54</v>
      </c>
      <c r="AE139" s="29" t="s">
        <v>18</v>
      </c>
      <c r="AF139" s="90" t="s">
        <v>13</v>
      </c>
      <c r="AG139" s="90" t="s">
        <v>54</v>
      </c>
      <c r="AH139" s="90" t="s">
        <v>54</v>
      </c>
      <c r="AI139" s="29" t="s">
        <v>18</v>
      </c>
      <c r="AJ139" s="90" t="s">
        <v>54</v>
      </c>
      <c r="AK139" s="90" t="s">
        <v>26</v>
      </c>
      <c r="AL139" s="90" t="s">
        <v>53</v>
      </c>
      <c r="AM139" s="90" t="s">
        <v>53</v>
      </c>
      <c r="AN139" s="90" t="s">
        <v>53</v>
      </c>
      <c r="AO139" s="29" t="s">
        <v>18</v>
      </c>
      <c r="AP139" s="90" t="s">
        <v>53</v>
      </c>
      <c r="AQ139" s="29" t="s">
        <v>18</v>
      </c>
      <c r="AR139" s="29" t="s">
        <v>22</v>
      </c>
      <c r="AS139" s="90" t="s">
        <v>26</v>
      </c>
      <c r="AT139" s="90" t="s">
        <v>26</v>
      </c>
      <c r="AU139" s="90" t="s">
        <v>26</v>
      </c>
      <c r="AV139" s="90" t="s">
        <v>26</v>
      </c>
      <c r="AW139" s="90" t="s">
        <v>54</v>
      </c>
      <c r="AX139" s="29" t="s">
        <v>18</v>
      </c>
      <c r="AY139" s="29" t="s">
        <v>22</v>
      </c>
      <c r="AZ139" s="90" t="s">
        <v>26</v>
      </c>
      <c r="BA139" s="29" t="s">
        <v>18</v>
      </c>
      <c r="BB139" s="29" t="s">
        <v>22</v>
      </c>
      <c r="BC139" s="29" t="s">
        <v>18</v>
      </c>
      <c r="BD139" s="29" t="s">
        <v>22</v>
      </c>
      <c r="BE139" s="90" t="s">
        <v>26</v>
      </c>
      <c r="BF139" s="29" t="s">
        <v>22</v>
      </c>
      <c r="BG139" s="29" t="s">
        <v>18</v>
      </c>
      <c r="BJ139" s="29" t="s">
        <v>18</v>
      </c>
      <c r="BK139" s="29" t="s">
        <v>22</v>
      </c>
      <c r="BL139" s="29" t="s">
        <v>18</v>
      </c>
      <c r="BM139" s="29" t="s">
        <v>17</v>
      </c>
      <c r="BN139" s="29" t="s">
        <v>17</v>
      </c>
      <c r="BO139" s="29" t="s">
        <v>17</v>
      </c>
      <c r="BP139" s="29" t="s">
        <v>17</v>
      </c>
      <c r="BQ139" s="29" t="s">
        <v>17</v>
      </c>
      <c r="BR139" s="29" t="s">
        <v>17</v>
      </c>
      <c r="BS139" s="29" t="s">
        <v>17</v>
      </c>
      <c r="BT139" s="29" t="s">
        <v>17</v>
      </c>
      <c r="BU139" s="29" t="s">
        <v>17</v>
      </c>
    </row>
    <row r="140" spans="1:73" x14ac:dyDescent="0.3">
      <c r="A140" s="2">
        <f t="shared" ref="A140:B140" si="128">A139+1</f>
        <v>221</v>
      </c>
      <c r="B140" s="12">
        <f t="shared" si="128"/>
        <v>138</v>
      </c>
      <c r="C140" s="24">
        <v>44782.708333333336</v>
      </c>
      <c r="D140" s="4">
        <v>24</v>
      </c>
      <c r="E140" s="4">
        <f t="shared" si="100"/>
        <v>3288</v>
      </c>
      <c r="F140" s="5">
        <f t="shared" si="101"/>
        <v>137</v>
      </c>
      <c r="G140">
        <f>COUNTIF($X140:$BU140, "E")</f>
        <v>0</v>
      </c>
      <c r="H140">
        <f>COUNTIF($X140:$BU140, "L1")</f>
        <v>0</v>
      </c>
      <c r="I140">
        <f>COUNTIF($X140:$BU140, "L2")</f>
        <v>0</v>
      </c>
      <c r="J140">
        <f>COUNTIF($X140:$BU140, "L3")</f>
        <v>0</v>
      </c>
      <c r="K140">
        <f>COUNTIF($X140:$BU140, "P")</f>
        <v>0</v>
      </c>
      <c r="L140" s="86">
        <f>COUNTIF($X140:$BU140, "AM")</f>
        <v>1</v>
      </c>
      <c r="M140" s="86">
        <f>COUNTIF($X140:$BU140, "AF")</f>
        <v>0</v>
      </c>
      <c r="N140" s="5"/>
      <c r="O140">
        <f t="shared" si="102"/>
        <v>9</v>
      </c>
      <c r="P140">
        <f t="shared" si="103"/>
        <v>11</v>
      </c>
      <c r="Q140">
        <f t="shared" si="117"/>
        <v>7</v>
      </c>
      <c r="R140">
        <f t="shared" si="118"/>
        <v>0</v>
      </c>
      <c r="S140">
        <f t="shared" si="105"/>
        <v>11</v>
      </c>
      <c r="T140">
        <f t="shared" si="119"/>
        <v>4</v>
      </c>
      <c r="U140">
        <f t="shared" si="120"/>
        <v>5</v>
      </c>
      <c r="X140" s="90" t="s">
        <v>26</v>
      </c>
      <c r="Y140" s="90" t="s">
        <v>26</v>
      </c>
      <c r="Z140" s="90" t="s">
        <v>26</v>
      </c>
      <c r="AA140" s="29" t="s">
        <v>18</v>
      </c>
      <c r="AB140" s="29" t="s">
        <v>22</v>
      </c>
      <c r="AC140" s="90" t="s">
        <v>26</v>
      </c>
      <c r="AD140" s="90" t="s">
        <v>54</v>
      </c>
      <c r="AE140" s="29" t="s">
        <v>18</v>
      </c>
      <c r="AF140" s="90" t="s">
        <v>13</v>
      </c>
      <c r="AG140" s="90" t="s">
        <v>54</v>
      </c>
      <c r="AH140" s="90" t="s">
        <v>54</v>
      </c>
      <c r="AI140" s="29" t="s">
        <v>18</v>
      </c>
      <c r="AJ140" s="90" t="s">
        <v>54</v>
      </c>
      <c r="AK140" s="90" t="s">
        <v>26</v>
      </c>
      <c r="AL140" s="90" t="s">
        <v>53</v>
      </c>
      <c r="AM140" s="90" t="s">
        <v>53</v>
      </c>
      <c r="AN140" s="90" t="s">
        <v>53</v>
      </c>
      <c r="AO140" s="29" t="s">
        <v>18</v>
      </c>
      <c r="AP140" s="90" t="s">
        <v>53</v>
      </c>
      <c r="AQ140" s="29" t="s">
        <v>18</v>
      </c>
      <c r="AR140" s="29" t="s">
        <v>22</v>
      </c>
      <c r="AS140" s="90" t="s">
        <v>26</v>
      </c>
      <c r="AT140" s="90" t="s">
        <v>26</v>
      </c>
      <c r="AU140" s="90" t="s">
        <v>26</v>
      </c>
      <c r="AV140" s="90" t="s">
        <v>26</v>
      </c>
      <c r="AW140" s="90" t="s">
        <v>54</v>
      </c>
      <c r="AX140" s="29" t="s">
        <v>18</v>
      </c>
      <c r="AY140" s="29" t="s">
        <v>22</v>
      </c>
      <c r="AZ140" s="90" t="s">
        <v>26</v>
      </c>
      <c r="BA140" s="29" t="s">
        <v>18</v>
      </c>
      <c r="BB140" s="29" t="s">
        <v>22</v>
      </c>
      <c r="BC140" s="29" t="s">
        <v>18</v>
      </c>
      <c r="BD140" s="29" t="s">
        <v>22</v>
      </c>
      <c r="BE140" s="90" t="s">
        <v>26</v>
      </c>
      <c r="BF140" s="29" t="s">
        <v>22</v>
      </c>
      <c r="BG140" s="29" t="s">
        <v>18</v>
      </c>
      <c r="BJ140" s="29" t="s">
        <v>18</v>
      </c>
      <c r="BK140" s="29" t="s">
        <v>22</v>
      </c>
      <c r="BL140" s="29" t="s">
        <v>18</v>
      </c>
      <c r="BM140" s="29" t="s">
        <v>17</v>
      </c>
      <c r="BN140" s="29" t="s">
        <v>17</v>
      </c>
      <c r="BO140" s="29" t="s">
        <v>17</v>
      </c>
      <c r="BP140" s="29" t="s">
        <v>17</v>
      </c>
      <c r="BQ140" s="29" t="s">
        <v>17</v>
      </c>
      <c r="BR140" s="29" t="s">
        <v>17</v>
      </c>
      <c r="BS140" s="29" t="s">
        <v>17</v>
      </c>
      <c r="BT140" s="29" t="s">
        <v>17</v>
      </c>
      <c r="BU140" s="29" t="s">
        <v>17</v>
      </c>
    </row>
    <row r="141" spans="1:73" x14ac:dyDescent="0.3">
      <c r="A141" s="2">
        <f t="shared" ref="A141:B141" si="129">A140+1</f>
        <v>222</v>
      </c>
      <c r="B141" s="12">
        <f t="shared" si="129"/>
        <v>139</v>
      </c>
      <c r="C141" s="24">
        <v>44783.708333333336</v>
      </c>
      <c r="D141" s="4">
        <v>24</v>
      </c>
      <c r="E141" s="4">
        <f t="shared" si="100"/>
        <v>3312</v>
      </c>
      <c r="F141" s="5">
        <f t="shared" si="101"/>
        <v>138</v>
      </c>
      <c r="G141">
        <f>COUNTIF($X141:$BU141, "E")</f>
        <v>0</v>
      </c>
      <c r="H141">
        <f>COUNTIF($X141:$BU141, "L1")</f>
        <v>0</v>
      </c>
      <c r="I141">
        <f>COUNTIF($X141:$BU141, "L2")</f>
        <v>0</v>
      </c>
      <c r="J141">
        <f>COUNTIF($X141:$BU141, "L3")</f>
        <v>0</v>
      </c>
      <c r="K141">
        <f>COUNTIF($X141:$BU141, "P")</f>
        <v>0</v>
      </c>
      <c r="L141" s="86">
        <f>COUNTIF($X141:$BU141, "AM")</f>
        <v>1</v>
      </c>
      <c r="M141" s="86">
        <f>COUNTIF($X141:$BU141, "AF")</f>
        <v>0</v>
      </c>
      <c r="N141" s="5"/>
      <c r="O141">
        <f t="shared" si="102"/>
        <v>9</v>
      </c>
      <c r="P141">
        <f t="shared" si="103"/>
        <v>11</v>
      </c>
      <c r="Q141">
        <f t="shared" si="117"/>
        <v>7</v>
      </c>
      <c r="R141">
        <f t="shared" si="118"/>
        <v>0</v>
      </c>
      <c r="S141">
        <f t="shared" si="105"/>
        <v>11</v>
      </c>
      <c r="T141">
        <f t="shared" si="119"/>
        <v>4</v>
      </c>
      <c r="U141">
        <f t="shared" si="120"/>
        <v>5</v>
      </c>
      <c r="X141" s="90" t="s">
        <v>26</v>
      </c>
      <c r="Y141" s="90" t="s">
        <v>26</v>
      </c>
      <c r="Z141" s="90" t="s">
        <v>26</v>
      </c>
      <c r="AA141" s="29" t="s">
        <v>18</v>
      </c>
      <c r="AB141" s="29" t="s">
        <v>22</v>
      </c>
      <c r="AC141" s="90" t="s">
        <v>26</v>
      </c>
      <c r="AD141" s="90" t="s">
        <v>54</v>
      </c>
      <c r="AE141" s="29" t="s">
        <v>18</v>
      </c>
      <c r="AF141" s="90" t="s">
        <v>13</v>
      </c>
      <c r="AG141" s="90" t="s">
        <v>54</v>
      </c>
      <c r="AH141" s="90" t="s">
        <v>54</v>
      </c>
      <c r="AI141" s="29" t="s">
        <v>18</v>
      </c>
      <c r="AJ141" s="90" t="s">
        <v>54</v>
      </c>
      <c r="AK141" s="90" t="s">
        <v>26</v>
      </c>
      <c r="AL141" s="90" t="s">
        <v>53</v>
      </c>
      <c r="AM141" s="90" t="s">
        <v>53</v>
      </c>
      <c r="AN141" s="90" t="s">
        <v>53</v>
      </c>
      <c r="AO141" s="29" t="s">
        <v>18</v>
      </c>
      <c r="AP141" s="90" t="s">
        <v>53</v>
      </c>
      <c r="AQ141" s="29" t="s">
        <v>18</v>
      </c>
      <c r="AR141" s="29" t="s">
        <v>22</v>
      </c>
      <c r="AS141" s="90" t="s">
        <v>26</v>
      </c>
      <c r="AT141" s="90" t="s">
        <v>26</v>
      </c>
      <c r="AU141" s="90" t="s">
        <v>26</v>
      </c>
      <c r="AV141" s="90" t="s">
        <v>26</v>
      </c>
      <c r="AW141" s="90" t="s">
        <v>54</v>
      </c>
      <c r="AX141" s="29" t="s">
        <v>18</v>
      </c>
      <c r="AY141" s="29" t="s">
        <v>22</v>
      </c>
      <c r="AZ141" s="90" t="s">
        <v>26</v>
      </c>
      <c r="BA141" s="29" t="s">
        <v>18</v>
      </c>
      <c r="BB141" s="29" t="s">
        <v>22</v>
      </c>
      <c r="BC141" s="29" t="s">
        <v>18</v>
      </c>
      <c r="BD141" s="29" t="s">
        <v>22</v>
      </c>
      <c r="BE141" s="90" t="s">
        <v>26</v>
      </c>
      <c r="BF141" s="29" t="s">
        <v>22</v>
      </c>
      <c r="BG141" s="29" t="s">
        <v>18</v>
      </c>
      <c r="BJ141" s="29" t="s">
        <v>18</v>
      </c>
      <c r="BK141" s="29" t="s">
        <v>22</v>
      </c>
      <c r="BL141" s="29" t="s">
        <v>18</v>
      </c>
      <c r="BM141" s="29" t="s">
        <v>17</v>
      </c>
      <c r="BN141" s="29" t="s">
        <v>17</v>
      </c>
      <c r="BO141" s="29" t="s">
        <v>17</v>
      </c>
      <c r="BP141" s="29" t="s">
        <v>17</v>
      </c>
      <c r="BQ141" s="29" t="s">
        <v>17</v>
      </c>
      <c r="BR141" s="29" t="s">
        <v>17</v>
      </c>
      <c r="BS141" s="29" t="s">
        <v>17</v>
      </c>
      <c r="BT141" s="29" t="s">
        <v>17</v>
      </c>
      <c r="BU141" s="29" t="s">
        <v>17</v>
      </c>
    </row>
    <row r="142" spans="1:73" x14ac:dyDescent="0.3">
      <c r="A142" s="2">
        <f t="shared" ref="A142:B142" si="130">A141+1</f>
        <v>223</v>
      </c>
      <c r="B142" s="12">
        <f t="shared" si="130"/>
        <v>140</v>
      </c>
      <c r="C142" s="24">
        <v>44784.708333333336</v>
      </c>
      <c r="D142" s="4">
        <v>24</v>
      </c>
      <c r="E142" s="4">
        <f t="shared" si="100"/>
        <v>3336</v>
      </c>
      <c r="F142" s="5">
        <f t="shared" si="101"/>
        <v>139</v>
      </c>
      <c r="G142">
        <f>COUNTIF($X142:$BU142, "E")</f>
        <v>0</v>
      </c>
      <c r="H142">
        <f>COUNTIF($X142:$BU142, "L1")</f>
        <v>0</v>
      </c>
      <c r="I142">
        <f>COUNTIF($X142:$BU142, "L2")</f>
        <v>0</v>
      </c>
      <c r="J142">
        <f>COUNTIF($X142:$BU142, "L3")</f>
        <v>0</v>
      </c>
      <c r="K142">
        <f>COUNTIF($X142:$BU142, "P")</f>
        <v>0</v>
      </c>
      <c r="L142" s="86">
        <f>COUNTIF($X142:$BU142, "AM")</f>
        <v>0</v>
      </c>
      <c r="M142" s="86">
        <f>COUNTIF($X142:$BU142, "AF")</f>
        <v>0</v>
      </c>
      <c r="N142" s="5"/>
      <c r="O142">
        <f t="shared" si="102"/>
        <v>9</v>
      </c>
      <c r="P142">
        <f t="shared" si="103"/>
        <v>11</v>
      </c>
      <c r="Q142">
        <f t="shared" si="117"/>
        <v>7</v>
      </c>
      <c r="R142">
        <f t="shared" si="118"/>
        <v>0</v>
      </c>
      <c r="S142">
        <f t="shared" si="105"/>
        <v>11</v>
      </c>
      <c r="T142">
        <f t="shared" si="119"/>
        <v>5</v>
      </c>
      <c r="U142">
        <f t="shared" si="120"/>
        <v>5</v>
      </c>
      <c r="X142" s="90" t="s">
        <v>26</v>
      </c>
      <c r="Y142" s="90" t="s">
        <v>26</v>
      </c>
      <c r="Z142" s="90" t="s">
        <v>26</v>
      </c>
      <c r="AA142" s="29" t="s">
        <v>18</v>
      </c>
      <c r="AB142" s="29" t="s">
        <v>22</v>
      </c>
      <c r="AC142" s="90" t="s">
        <v>26</v>
      </c>
      <c r="AD142" s="90" t="s">
        <v>54</v>
      </c>
      <c r="AE142" s="29" t="s">
        <v>18</v>
      </c>
      <c r="AF142" s="90" t="s">
        <v>53</v>
      </c>
      <c r="AG142" s="90" t="s">
        <v>54</v>
      </c>
      <c r="AH142" s="90" t="s">
        <v>54</v>
      </c>
      <c r="AI142" s="29" t="s">
        <v>18</v>
      </c>
      <c r="AJ142" s="90" t="s">
        <v>54</v>
      </c>
      <c r="AK142" s="90" t="s">
        <v>26</v>
      </c>
      <c r="AL142" s="90" t="s">
        <v>53</v>
      </c>
      <c r="AM142" s="90" t="s">
        <v>53</v>
      </c>
      <c r="AN142" s="90" t="s">
        <v>53</v>
      </c>
      <c r="AO142" s="29" t="s">
        <v>18</v>
      </c>
      <c r="AP142" s="90" t="s">
        <v>53</v>
      </c>
      <c r="AQ142" s="29" t="s">
        <v>18</v>
      </c>
      <c r="AR142" s="29" t="s">
        <v>22</v>
      </c>
      <c r="AS142" s="90" t="s">
        <v>26</v>
      </c>
      <c r="AT142" s="90" t="s">
        <v>26</v>
      </c>
      <c r="AU142" s="90" t="s">
        <v>26</v>
      </c>
      <c r="AV142" s="90" t="s">
        <v>26</v>
      </c>
      <c r="AW142" s="90" t="s">
        <v>54</v>
      </c>
      <c r="AX142" s="29" t="s">
        <v>18</v>
      </c>
      <c r="AY142" s="29" t="s">
        <v>22</v>
      </c>
      <c r="AZ142" s="90" t="s">
        <v>26</v>
      </c>
      <c r="BA142" s="29" t="s">
        <v>18</v>
      </c>
      <c r="BB142" s="29" t="s">
        <v>22</v>
      </c>
      <c r="BC142" s="29" t="s">
        <v>18</v>
      </c>
      <c r="BD142" s="29" t="s">
        <v>22</v>
      </c>
      <c r="BE142" s="90" t="s">
        <v>26</v>
      </c>
      <c r="BF142" s="29" t="s">
        <v>22</v>
      </c>
      <c r="BG142" s="29" t="s">
        <v>18</v>
      </c>
      <c r="BJ142" s="29" t="s">
        <v>18</v>
      </c>
      <c r="BK142" s="29" t="s">
        <v>22</v>
      </c>
      <c r="BL142" s="29" t="s">
        <v>18</v>
      </c>
      <c r="BM142" s="29" t="s">
        <v>17</v>
      </c>
      <c r="BN142" s="29" t="s">
        <v>17</v>
      </c>
      <c r="BO142" s="29" t="s">
        <v>17</v>
      </c>
      <c r="BP142" s="29" t="s">
        <v>17</v>
      </c>
      <c r="BQ142" s="29" t="s">
        <v>17</v>
      </c>
      <c r="BR142" s="29" t="s">
        <v>17</v>
      </c>
      <c r="BS142" s="29" t="s">
        <v>17</v>
      </c>
      <c r="BT142" s="29" t="s">
        <v>17</v>
      </c>
      <c r="BU142" s="29" t="s">
        <v>17</v>
      </c>
    </row>
    <row r="143" spans="1:73" x14ac:dyDescent="0.3">
      <c r="F143"/>
      <c r="L143"/>
      <c r="AH143" s="90"/>
      <c r="AW143" s="90"/>
    </row>
    <row r="144" spans="1:73" x14ac:dyDescent="0.3">
      <c r="N144" s="5"/>
      <c r="AH144" s="90"/>
      <c r="AW144" s="90"/>
    </row>
    <row r="145" spans="14:49" x14ac:dyDescent="0.3">
      <c r="N145" s="5"/>
      <c r="AH145" s="90"/>
      <c r="AW145" s="90"/>
    </row>
    <row r="146" spans="14:49" x14ac:dyDescent="0.3">
      <c r="N146" s="5"/>
      <c r="AH146" s="90"/>
      <c r="AW146" s="90"/>
    </row>
    <row r="147" spans="14:49" x14ac:dyDescent="0.3">
      <c r="N147" s="5"/>
      <c r="AH147" s="90"/>
      <c r="AW147" s="90"/>
    </row>
    <row r="148" spans="14:49" x14ac:dyDescent="0.3">
      <c r="N148" s="5"/>
      <c r="AH148" s="90"/>
      <c r="AW148" s="90"/>
    </row>
    <row r="149" spans="14:49" x14ac:dyDescent="0.3">
      <c r="N149" s="5"/>
      <c r="AH149" s="90"/>
      <c r="AW149" s="90"/>
    </row>
    <row r="150" spans="14:49" x14ac:dyDescent="0.3">
      <c r="N150" s="5"/>
      <c r="AH150" s="90"/>
      <c r="AW150" s="90"/>
    </row>
    <row r="151" spans="14:49" x14ac:dyDescent="0.3">
      <c r="N151" s="5"/>
      <c r="AH151" s="90"/>
      <c r="AW151" s="90"/>
    </row>
    <row r="152" spans="14:49" x14ac:dyDescent="0.3">
      <c r="N152" s="5"/>
      <c r="AH152" s="90"/>
      <c r="AW152" s="90"/>
    </row>
    <row r="153" spans="14:49" x14ac:dyDescent="0.3">
      <c r="N153" s="5"/>
      <c r="AH153" s="90"/>
      <c r="AW153" s="90"/>
    </row>
    <row r="154" spans="14:49" x14ac:dyDescent="0.3">
      <c r="N154" s="5"/>
      <c r="AH154" s="90"/>
      <c r="AW154" s="90"/>
    </row>
    <row r="155" spans="14:49" x14ac:dyDescent="0.3">
      <c r="N155" s="5"/>
      <c r="AH155" s="90"/>
      <c r="AW155" s="90"/>
    </row>
    <row r="156" spans="14:49" x14ac:dyDescent="0.3">
      <c r="N156" s="5"/>
      <c r="AH156" s="90"/>
      <c r="AW156" s="90"/>
    </row>
    <row r="157" spans="14:49" x14ac:dyDescent="0.3">
      <c r="N157" s="5"/>
      <c r="AH157" s="90"/>
      <c r="AW157" s="90"/>
    </row>
    <row r="158" spans="14:49" x14ac:dyDescent="0.3">
      <c r="N158" s="5"/>
      <c r="AH158" s="90"/>
      <c r="AW158" s="90"/>
    </row>
    <row r="159" spans="14:49" x14ac:dyDescent="0.3">
      <c r="N159" s="5"/>
      <c r="AH159" s="90"/>
      <c r="AW159" s="90"/>
    </row>
    <row r="160" spans="14:49" x14ac:dyDescent="0.3">
      <c r="N160" s="5"/>
      <c r="AH160" s="90"/>
      <c r="AW160" s="90"/>
    </row>
    <row r="161" spans="14:49" x14ac:dyDescent="0.3">
      <c r="N161" s="5"/>
      <c r="AH161" s="90"/>
      <c r="AW161" s="90"/>
    </row>
    <row r="162" spans="14:49" x14ac:dyDescent="0.3">
      <c r="N162" s="5"/>
      <c r="AH162" s="90"/>
      <c r="AW162" s="90"/>
    </row>
    <row r="163" spans="14:49" x14ac:dyDescent="0.3">
      <c r="N163" s="5"/>
      <c r="AH163" s="90"/>
      <c r="AW163" s="90"/>
    </row>
    <row r="164" spans="14:49" x14ac:dyDescent="0.3">
      <c r="N164" s="5"/>
      <c r="AH164" s="90"/>
      <c r="AW164" s="90"/>
    </row>
    <row r="165" spans="14:49" x14ac:dyDescent="0.3">
      <c r="N165" s="5"/>
      <c r="AH165" s="90"/>
      <c r="AW165" s="90"/>
    </row>
    <row r="166" spans="14:49" x14ac:dyDescent="0.3">
      <c r="N166" s="5"/>
      <c r="AH166" s="90"/>
      <c r="AW166" s="90"/>
    </row>
  </sheetData>
  <mergeCells count="1">
    <mergeCell ref="O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D06D-40D5-448C-85E1-F4466897F321}">
  <dimension ref="A1:BS66"/>
  <sheetViews>
    <sheetView zoomScale="70" zoomScaleNormal="70" workbookViewId="0">
      <selection activeCell="N15" sqref="N15"/>
    </sheetView>
  </sheetViews>
  <sheetFormatPr defaultRowHeight="14.4" x14ac:dyDescent="0.3"/>
  <cols>
    <col min="1" max="2" width="9.109375" style="1" bestFit="1" customWidth="1"/>
    <col min="3" max="3" width="15.77734375" style="1" bestFit="1" customWidth="1"/>
    <col min="4" max="5" width="9.109375" style="1" bestFit="1" customWidth="1"/>
    <col min="6" max="6" width="10.21875" style="7" bestFit="1" customWidth="1"/>
    <col min="7" max="12" width="10.109375" style="1" customWidth="1"/>
    <col min="13" max="13" width="10.109375" style="95" customWidth="1"/>
    <col min="14" max="14" width="8.5546875" style="95" customWidth="1"/>
    <col min="15" max="21" width="10.109375" style="95" customWidth="1"/>
    <col min="22" max="22" width="8.88671875" style="95"/>
    <col min="23" max="16384" width="8.88671875" style="1"/>
  </cols>
  <sheetData>
    <row r="1" spans="1:71" ht="14.4" customHeight="1" x14ac:dyDescent="0.3">
      <c r="G1" s="50" t="s">
        <v>15</v>
      </c>
      <c r="H1" s="27"/>
      <c r="I1" s="27"/>
      <c r="J1" s="27"/>
      <c r="K1" s="27"/>
      <c r="L1" s="27"/>
      <c r="M1" s="27"/>
      <c r="N1" s="32"/>
      <c r="O1" s="71" t="s">
        <v>16</v>
      </c>
      <c r="P1" s="71"/>
      <c r="Q1" s="71"/>
      <c r="R1" s="71"/>
      <c r="S1" s="71"/>
      <c r="T1" s="55"/>
      <c r="U1" s="55"/>
      <c r="V1" s="96" t="s">
        <v>12</v>
      </c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</row>
    <row r="2" spans="1:71" ht="14.4" customHeight="1" x14ac:dyDescent="0.3">
      <c r="A2" s="8" t="s">
        <v>0</v>
      </c>
      <c r="B2" s="9" t="s">
        <v>6</v>
      </c>
      <c r="C2" s="10" t="s">
        <v>19</v>
      </c>
      <c r="D2" s="10" t="s">
        <v>20</v>
      </c>
      <c r="E2" s="10" t="s">
        <v>21</v>
      </c>
      <c r="F2" s="11" t="s">
        <v>3</v>
      </c>
      <c r="G2" s="22" t="s">
        <v>9</v>
      </c>
      <c r="H2" s="23" t="s">
        <v>5</v>
      </c>
      <c r="I2" s="16" t="s">
        <v>8</v>
      </c>
      <c r="J2" s="17" t="s">
        <v>10</v>
      </c>
      <c r="K2" s="18" t="s">
        <v>11</v>
      </c>
      <c r="L2" s="19" t="s">
        <v>13</v>
      </c>
      <c r="M2" s="20" t="s">
        <v>14</v>
      </c>
      <c r="N2" s="32"/>
      <c r="O2" s="22" t="s">
        <v>9</v>
      </c>
      <c r="P2" s="23" t="s">
        <v>5</v>
      </c>
      <c r="Q2" s="16" t="s">
        <v>8</v>
      </c>
      <c r="R2" s="17" t="s">
        <v>10</v>
      </c>
      <c r="S2" s="18" t="s">
        <v>11</v>
      </c>
      <c r="T2" s="19" t="s">
        <v>13</v>
      </c>
      <c r="U2" s="20" t="s">
        <v>14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</row>
    <row r="3" spans="1:71" x14ac:dyDescent="0.3">
      <c r="A3" s="2">
        <v>84</v>
      </c>
      <c r="B3" s="12">
        <v>1</v>
      </c>
      <c r="C3" s="24">
        <v>44645.666666666664</v>
      </c>
      <c r="D3" s="4">
        <v>0</v>
      </c>
      <c r="E3" s="4">
        <v>0</v>
      </c>
      <c r="F3" s="5">
        <v>0</v>
      </c>
      <c r="G3" s="1">
        <f>COUNTIF($V3:$BS3, "E")</f>
        <v>50</v>
      </c>
      <c r="H3" s="1">
        <f>COUNTIF($V3:$BS3, "L1")</f>
        <v>0</v>
      </c>
      <c r="I3" s="1">
        <f>COUNTIF($V3:$BS3, "L2")</f>
        <v>0</v>
      </c>
      <c r="J3" s="1">
        <f>COUNTIF($V3:$BS3, "L3")</f>
        <v>0</v>
      </c>
      <c r="K3" s="1">
        <f>COUNTIF($V3:$BS3, "P")</f>
        <v>0</v>
      </c>
      <c r="L3" s="1">
        <f>COUNTIF($V3:$BS3, "AM")</f>
        <v>0</v>
      </c>
      <c r="M3" s="1">
        <f t="shared" ref="M3:M32" si="0">COUNTIF($V3:$BS3, "AF")</f>
        <v>0</v>
      </c>
      <c r="N3" s="32"/>
      <c r="O3" s="1">
        <f>COUNTIF($V3:$BS3, "E_D")</f>
        <v>0</v>
      </c>
      <c r="P3" s="1">
        <f>COUNTIF($V3:$BS3, "L1_D")</f>
        <v>0</v>
      </c>
      <c r="Q3" s="1">
        <f>COUNTIF($V3:$BS3, "L2_D")</f>
        <v>0</v>
      </c>
      <c r="R3" s="1">
        <f>COUNTIF($V3:$BS3, "L3_D")</f>
        <v>0</v>
      </c>
      <c r="S3" s="1">
        <f>COUNTIF($V3:$BS3, "P_D")</f>
        <v>0</v>
      </c>
      <c r="T3" s="1">
        <f>COUNTIF($V3:$BS3, "AM_D")</f>
        <v>0</v>
      </c>
      <c r="U3" s="1">
        <f>COUNTIF($V3:$BS3, "AF_D")</f>
        <v>0</v>
      </c>
      <c r="V3" s="34" t="s">
        <v>4</v>
      </c>
      <c r="W3" s="34" t="s">
        <v>4</v>
      </c>
      <c r="X3" s="34" t="s">
        <v>4</v>
      </c>
      <c r="Y3" s="34" t="s">
        <v>4</v>
      </c>
      <c r="Z3" s="34" t="s">
        <v>4</v>
      </c>
      <c r="AA3" s="34" t="s">
        <v>4</v>
      </c>
      <c r="AB3" s="34" t="s">
        <v>4</v>
      </c>
      <c r="AC3" s="34" t="s">
        <v>4</v>
      </c>
      <c r="AD3" s="34" t="s">
        <v>4</v>
      </c>
      <c r="AE3" s="34" t="s">
        <v>4</v>
      </c>
      <c r="AF3" s="34" t="s">
        <v>4</v>
      </c>
      <c r="AG3" s="34" t="s">
        <v>4</v>
      </c>
      <c r="AH3" s="34" t="s">
        <v>4</v>
      </c>
      <c r="AI3" s="34" t="s">
        <v>4</v>
      </c>
      <c r="AJ3" s="34" t="s">
        <v>4</v>
      </c>
      <c r="AK3" s="34" t="s">
        <v>4</v>
      </c>
      <c r="AL3" s="34" t="s">
        <v>4</v>
      </c>
      <c r="AM3" s="34" t="s">
        <v>4</v>
      </c>
      <c r="AN3" s="34" t="s">
        <v>4</v>
      </c>
      <c r="AO3" s="34" t="s">
        <v>4</v>
      </c>
      <c r="AP3" s="34" t="s">
        <v>4</v>
      </c>
      <c r="AQ3" s="34" t="s">
        <v>4</v>
      </c>
      <c r="AR3" s="34" t="s">
        <v>4</v>
      </c>
      <c r="AS3" s="34" t="s">
        <v>4</v>
      </c>
      <c r="AT3" s="34" t="s">
        <v>4</v>
      </c>
      <c r="AU3" s="34" t="s">
        <v>4</v>
      </c>
      <c r="AV3" s="34" t="s">
        <v>4</v>
      </c>
      <c r="AW3" s="34" t="s">
        <v>4</v>
      </c>
      <c r="AX3" s="34" t="s">
        <v>4</v>
      </c>
      <c r="AY3" s="34" t="s">
        <v>4</v>
      </c>
      <c r="AZ3" s="34" t="s">
        <v>4</v>
      </c>
      <c r="BA3" s="34" t="s">
        <v>4</v>
      </c>
      <c r="BB3" s="34" t="s">
        <v>4</v>
      </c>
      <c r="BC3" s="34" t="s">
        <v>4</v>
      </c>
      <c r="BD3" s="34" t="s">
        <v>4</v>
      </c>
      <c r="BE3" s="34" t="s">
        <v>4</v>
      </c>
      <c r="BF3" s="34" t="s">
        <v>4</v>
      </c>
      <c r="BG3" s="34" t="s">
        <v>4</v>
      </c>
      <c r="BH3" s="34" t="s">
        <v>4</v>
      </c>
      <c r="BI3" s="34" t="s">
        <v>4</v>
      </c>
      <c r="BJ3" s="34" t="s">
        <v>4</v>
      </c>
      <c r="BK3" s="34" t="s">
        <v>4</v>
      </c>
      <c r="BL3" s="34" t="s">
        <v>4</v>
      </c>
      <c r="BM3" s="34" t="s">
        <v>4</v>
      </c>
      <c r="BN3" s="34" t="s">
        <v>4</v>
      </c>
      <c r="BO3" s="34" t="s">
        <v>4</v>
      </c>
      <c r="BP3" s="34" t="s">
        <v>4</v>
      </c>
      <c r="BQ3" s="34" t="s">
        <v>4</v>
      </c>
      <c r="BR3" s="34" t="s">
        <v>4</v>
      </c>
      <c r="BS3" s="34" t="s">
        <v>4</v>
      </c>
    </row>
    <row r="4" spans="1:71" x14ac:dyDescent="0.3">
      <c r="A4" s="2">
        <f>A3+1</f>
        <v>85</v>
      </c>
      <c r="B4" s="12">
        <f>B3+1</f>
        <v>2</v>
      </c>
      <c r="C4" s="24">
        <v>44646.666666608799</v>
      </c>
      <c r="D4" s="4">
        <v>24</v>
      </c>
      <c r="E4" s="4">
        <f>E3+D4</f>
        <v>24</v>
      </c>
      <c r="F4" s="5">
        <f>E4/24</f>
        <v>1</v>
      </c>
      <c r="G4" s="1">
        <f t="shared" ref="G4:G32" si="1">COUNTIF($V4:$BS4, "E")</f>
        <v>43</v>
      </c>
      <c r="H4" s="1">
        <f t="shared" ref="H4:H32" si="2">COUNTIF($V4:$BS4, "L1")</f>
        <v>7</v>
      </c>
      <c r="I4" s="1">
        <f t="shared" ref="I4:I32" si="3">COUNTIF($V4:$BS4, "L2")</f>
        <v>0</v>
      </c>
      <c r="J4" s="1">
        <f t="shared" ref="J4:J32" si="4">COUNTIF($V4:$BS4, "L3")</f>
        <v>0</v>
      </c>
      <c r="K4" s="1">
        <f t="shared" ref="K4:K32" si="5">COUNTIF($V4:$BS4, "P")</f>
        <v>0</v>
      </c>
      <c r="L4" s="1">
        <f t="shared" ref="L4:L32" si="6">COUNTIF($V4:$BS4, "AM")</f>
        <v>0</v>
      </c>
      <c r="M4" s="1">
        <f t="shared" si="0"/>
        <v>0</v>
      </c>
      <c r="N4" s="32"/>
      <c r="O4" s="1">
        <f t="shared" ref="O4:O32" si="7">COUNTIF($V4:$BS4, "E_D")</f>
        <v>0</v>
      </c>
      <c r="P4" s="1">
        <f t="shared" ref="P4:P32" si="8">COUNTIF($V4:$BS4, "L1_D")</f>
        <v>0</v>
      </c>
      <c r="Q4" s="1">
        <f t="shared" ref="Q4:Q32" si="9">COUNTIF($V4:$BS4, "L2_D")</f>
        <v>0</v>
      </c>
      <c r="R4" s="1">
        <f t="shared" ref="R4:R32" si="10">COUNTIF($V4:$BS4, "L3_D")</f>
        <v>0</v>
      </c>
      <c r="S4" s="1">
        <f t="shared" ref="S4:S31" si="11">COUNTIF($V4:$BS4, "P_D")</f>
        <v>0</v>
      </c>
      <c r="T4" s="1">
        <f t="shared" ref="T4:T32" si="12">COUNTIF($V4:$BS4, "AM_D")</f>
        <v>0</v>
      </c>
      <c r="U4" s="1">
        <f t="shared" ref="U4:U32" si="13">COUNTIF($V4:$BS4, "AF_D")</f>
        <v>0</v>
      </c>
      <c r="V4" s="26" t="s">
        <v>5</v>
      </c>
      <c r="W4" s="26" t="s">
        <v>5</v>
      </c>
      <c r="X4" s="26" t="s">
        <v>5</v>
      </c>
      <c r="Y4" s="26" t="s">
        <v>5</v>
      </c>
      <c r="Z4" s="26" t="s">
        <v>5</v>
      </c>
      <c r="AA4" s="26" t="s">
        <v>4</v>
      </c>
      <c r="AB4" s="26" t="s">
        <v>4</v>
      </c>
      <c r="AC4" s="26" t="s">
        <v>4</v>
      </c>
      <c r="AD4" s="26" t="s">
        <v>5</v>
      </c>
      <c r="AE4" s="26" t="s">
        <v>5</v>
      </c>
      <c r="AF4" s="26" t="s">
        <v>4</v>
      </c>
      <c r="AG4" s="26" t="s">
        <v>4</v>
      </c>
      <c r="AH4" s="26" t="s">
        <v>4</v>
      </c>
      <c r="AI4" s="26" t="s">
        <v>4</v>
      </c>
      <c r="AJ4" s="26" t="s">
        <v>4</v>
      </c>
      <c r="AK4" s="26" t="s">
        <v>4</v>
      </c>
      <c r="AL4" s="26" t="s">
        <v>4</v>
      </c>
      <c r="AM4" s="26" t="s">
        <v>4</v>
      </c>
      <c r="AN4" s="26" t="s">
        <v>4</v>
      </c>
      <c r="AO4" s="26" t="s">
        <v>4</v>
      </c>
      <c r="AP4" s="26" t="s">
        <v>4</v>
      </c>
      <c r="AQ4" s="26" t="s">
        <v>4</v>
      </c>
      <c r="AR4" s="26" t="s">
        <v>4</v>
      </c>
      <c r="AS4" s="26" t="s">
        <v>4</v>
      </c>
      <c r="AT4" s="26" t="s">
        <v>4</v>
      </c>
      <c r="AU4" s="26" t="s">
        <v>4</v>
      </c>
      <c r="AV4" s="26" t="s">
        <v>4</v>
      </c>
      <c r="AW4" s="26" t="s">
        <v>4</v>
      </c>
      <c r="AX4" s="26" t="s">
        <v>4</v>
      </c>
      <c r="AY4" s="26" t="s">
        <v>4</v>
      </c>
      <c r="AZ4" s="26" t="s">
        <v>4</v>
      </c>
      <c r="BA4" s="26" t="s">
        <v>4</v>
      </c>
      <c r="BB4" s="26" t="s">
        <v>4</v>
      </c>
      <c r="BC4" s="26" t="s">
        <v>4</v>
      </c>
      <c r="BD4" s="26" t="s">
        <v>4</v>
      </c>
      <c r="BE4" s="26" t="s">
        <v>4</v>
      </c>
      <c r="BF4" s="26" t="s">
        <v>4</v>
      </c>
      <c r="BG4" s="26" t="s">
        <v>4</v>
      </c>
      <c r="BH4" s="26" t="s">
        <v>4</v>
      </c>
      <c r="BI4" s="26" t="s">
        <v>4</v>
      </c>
      <c r="BJ4" s="26" t="s">
        <v>4</v>
      </c>
      <c r="BK4" s="26" t="s">
        <v>4</v>
      </c>
      <c r="BL4" s="26" t="s">
        <v>4</v>
      </c>
      <c r="BM4" s="26" t="s">
        <v>4</v>
      </c>
      <c r="BN4" s="26" t="s">
        <v>4</v>
      </c>
      <c r="BO4" s="26" t="s">
        <v>4</v>
      </c>
      <c r="BP4" s="26" t="s">
        <v>4</v>
      </c>
      <c r="BQ4" s="26" t="s">
        <v>4</v>
      </c>
      <c r="BR4" s="26" t="s">
        <v>4</v>
      </c>
      <c r="BS4" s="26" t="s">
        <v>4</v>
      </c>
    </row>
    <row r="5" spans="1:71" x14ac:dyDescent="0.3">
      <c r="A5" s="2">
        <f t="shared" ref="A5:B20" si="14">A4+1</f>
        <v>86</v>
      </c>
      <c r="B5" s="12">
        <f t="shared" si="14"/>
        <v>3</v>
      </c>
      <c r="C5" s="24">
        <v>44647.666666608799</v>
      </c>
      <c r="D5" s="4">
        <v>24</v>
      </c>
      <c r="E5" s="4">
        <f t="shared" ref="E5:E32" si="15">E4+D5</f>
        <v>48</v>
      </c>
      <c r="F5" s="5">
        <f t="shared" ref="F5:F32" si="16">E5/24</f>
        <v>2</v>
      </c>
      <c r="G5" s="1">
        <f t="shared" si="1"/>
        <v>8</v>
      </c>
      <c r="H5" s="1">
        <f t="shared" si="2"/>
        <v>42</v>
      </c>
      <c r="I5" s="1">
        <f t="shared" si="3"/>
        <v>0</v>
      </c>
      <c r="J5" s="1">
        <f t="shared" si="4"/>
        <v>0</v>
      </c>
      <c r="K5" s="1">
        <f t="shared" si="5"/>
        <v>0</v>
      </c>
      <c r="L5" s="1">
        <f t="shared" si="6"/>
        <v>0</v>
      </c>
      <c r="M5" s="1">
        <f t="shared" si="0"/>
        <v>0</v>
      </c>
      <c r="N5" s="31"/>
      <c r="O5" s="1">
        <f t="shared" si="7"/>
        <v>0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1">
        <f t="shared" si="12"/>
        <v>0</v>
      </c>
      <c r="U5" s="1">
        <f t="shared" si="13"/>
        <v>0</v>
      </c>
      <c r="V5" s="35" t="s">
        <v>5</v>
      </c>
      <c r="W5" s="35" t="s">
        <v>5</v>
      </c>
      <c r="X5" s="35" t="s">
        <v>5</v>
      </c>
      <c r="Y5" s="35" t="s">
        <v>5</v>
      </c>
      <c r="Z5" s="35" t="s">
        <v>5</v>
      </c>
      <c r="AA5" s="35" t="s">
        <v>4</v>
      </c>
      <c r="AB5" s="35" t="s">
        <v>4</v>
      </c>
      <c r="AC5" s="35" t="s">
        <v>5</v>
      </c>
      <c r="AD5" s="35" t="s">
        <v>5</v>
      </c>
      <c r="AE5" s="35" t="s">
        <v>5</v>
      </c>
      <c r="AF5" s="35" t="s">
        <v>5</v>
      </c>
      <c r="AG5" s="35" t="s">
        <v>5</v>
      </c>
      <c r="AH5" s="35" t="s">
        <v>5</v>
      </c>
      <c r="AI5" s="35" t="s">
        <v>5</v>
      </c>
      <c r="AJ5" s="35" t="s">
        <v>5</v>
      </c>
      <c r="AK5" s="35" t="s">
        <v>5</v>
      </c>
      <c r="AL5" s="35" t="s">
        <v>5</v>
      </c>
      <c r="AM5" s="35" t="s">
        <v>5</v>
      </c>
      <c r="AN5" s="35" t="s">
        <v>5</v>
      </c>
      <c r="AO5" s="35" t="s">
        <v>5</v>
      </c>
      <c r="AP5" s="35" t="s">
        <v>4</v>
      </c>
      <c r="AQ5" s="35" t="s">
        <v>4</v>
      </c>
      <c r="AR5" s="35" t="s">
        <v>4</v>
      </c>
      <c r="AS5" s="35" t="s">
        <v>5</v>
      </c>
      <c r="AT5" s="35" t="s">
        <v>5</v>
      </c>
      <c r="AU5" s="35" t="s">
        <v>5</v>
      </c>
      <c r="AV5" s="35" t="s">
        <v>5</v>
      </c>
      <c r="AW5" s="35" t="s">
        <v>5</v>
      </c>
      <c r="AX5" s="35" t="s">
        <v>5</v>
      </c>
      <c r="AY5" s="35" t="s">
        <v>5</v>
      </c>
      <c r="AZ5" s="35" t="s">
        <v>5</v>
      </c>
      <c r="BA5" s="35" t="s">
        <v>5</v>
      </c>
      <c r="BB5" s="35" t="s">
        <v>5</v>
      </c>
      <c r="BC5" s="35" t="s">
        <v>5</v>
      </c>
      <c r="BD5" s="35" t="s">
        <v>5</v>
      </c>
      <c r="BE5" s="35" t="s">
        <v>4</v>
      </c>
      <c r="BF5" s="35" t="s">
        <v>4</v>
      </c>
      <c r="BG5" s="35" t="s">
        <v>5</v>
      </c>
      <c r="BH5" s="35" t="s">
        <v>5</v>
      </c>
      <c r="BI5" s="35" t="s">
        <v>5</v>
      </c>
      <c r="BJ5" s="35" t="s">
        <v>4</v>
      </c>
      <c r="BK5" s="35" t="s">
        <v>5</v>
      </c>
      <c r="BL5" s="35" t="s">
        <v>5</v>
      </c>
      <c r="BM5" s="35" t="s">
        <v>5</v>
      </c>
      <c r="BN5" s="35" t="s">
        <v>5</v>
      </c>
      <c r="BO5" s="35" t="s">
        <v>5</v>
      </c>
      <c r="BP5" s="35" t="s">
        <v>5</v>
      </c>
      <c r="BQ5" s="35" t="s">
        <v>5</v>
      </c>
      <c r="BR5" s="35" t="s">
        <v>5</v>
      </c>
      <c r="BS5" s="35" t="s">
        <v>5</v>
      </c>
    </row>
    <row r="6" spans="1:71" x14ac:dyDescent="0.3">
      <c r="A6" s="2">
        <f t="shared" si="14"/>
        <v>87</v>
      </c>
      <c r="B6" s="12">
        <f t="shared" si="14"/>
        <v>4</v>
      </c>
      <c r="C6" s="24">
        <v>44648.666666608799</v>
      </c>
      <c r="D6" s="4">
        <v>24</v>
      </c>
      <c r="E6" s="4">
        <f t="shared" si="15"/>
        <v>72</v>
      </c>
      <c r="F6" s="5">
        <f t="shared" si="16"/>
        <v>3</v>
      </c>
      <c r="G6" s="1">
        <f t="shared" si="1"/>
        <v>2</v>
      </c>
      <c r="H6" s="1">
        <f t="shared" si="2"/>
        <v>48</v>
      </c>
      <c r="I6" s="1">
        <f t="shared" si="3"/>
        <v>0</v>
      </c>
      <c r="J6" s="1">
        <f t="shared" si="4"/>
        <v>0</v>
      </c>
      <c r="K6" s="1">
        <f t="shared" si="5"/>
        <v>0</v>
      </c>
      <c r="L6" s="1">
        <f t="shared" si="6"/>
        <v>0</v>
      </c>
      <c r="M6" s="1">
        <f t="shared" si="0"/>
        <v>0</v>
      </c>
      <c r="N6" s="31"/>
      <c r="O6" s="1">
        <f t="shared" si="7"/>
        <v>0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1">
        <f t="shared" si="12"/>
        <v>0</v>
      </c>
      <c r="U6" s="1">
        <f t="shared" si="13"/>
        <v>0</v>
      </c>
      <c r="V6" s="26" t="s">
        <v>5</v>
      </c>
      <c r="W6" s="26" t="s">
        <v>5</v>
      </c>
      <c r="X6" s="26" t="s">
        <v>5</v>
      </c>
      <c r="Y6" s="26" t="s">
        <v>5</v>
      </c>
      <c r="Z6" s="26" t="s">
        <v>5</v>
      </c>
      <c r="AA6" s="26" t="s">
        <v>4</v>
      </c>
      <c r="AB6" s="26" t="s">
        <v>5</v>
      </c>
      <c r="AC6" s="26" t="s">
        <v>5</v>
      </c>
      <c r="AD6" s="26" t="s">
        <v>5</v>
      </c>
      <c r="AE6" s="26" t="s">
        <v>5</v>
      </c>
      <c r="AF6" s="26" t="s">
        <v>5</v>
      </c>
      <c r="AG6" s="26" t="s">
        <v>5</v>
      </c>
      <c r="AH6" s="26" t="s">
        <v>5</v>
      </c>
      <c r="AI6" s="26" t="s">
        <v>5</v>
      </c>
      <c r="AJ6" s="26" t="s">
        <v>5</v>
      </c>
      <c r="AK6" s="26" t="s">
        <v>5</v>
      </c>
      <c r="AL6" s="26" t="s">
        <v>5</v>
      </c>
      <c r="AM6" s="26" t="s">
        <v>5</v>
      </c>
      <c r="AN6" s="26" t="s">
        <v>5</v>
      </c>
      <c r="AO6" s="26" t="s">
        <v>5</v>
      </c>
      <c r="AP6" s="26" t="s">
        <v>5</v>
      </c>
      <c r="AQ6" s="26" t="s">
        <v>5</v>
      </c>
      <c r="AR6" s="26" t="s">
        <v>5</v>
      </c>
      <c r="AS6" s="26" t="s">
        <v>5</v>
      </c>
      <c r="AT6" s="26" t="s">
        <v>5</v>
      </c>
      <c r="AU6" s="26" t="s">
        <v>5</v>
      </c>
      <c r="AV6" s="26" t="s">
        <v>5</v>
      </c>
      <c r="AW6" s="26" t="s">
        <v>5</v>
      </c>
      <c r="AX6" s="26" t="s">
        <v>5</v>
      </c>
      <c r="AY6" s="26" t="s">
        <v>5</v>
      </c>
      <c r="AZ6" s="26" t="s">
        <v>5</v>
      </c>
      <c r="BA6" s="26" t="s">
        <v>5</v>
      </c>
      <c r="BB6" s="26" t="s">
        <v>5</v>
      </c>
      <c r="BC6" s="26" t="s">
        <v>5</v>
      </c>
      <c r="BD6" s="26" t="s">
        <v>5</v>
      </c>
      <c r="BE6" s="26" t="s">
        <v>4</v>
      </c>
      <c r="BF6" s="26" t="s">
        <v>5</v>
      </c>
      <c r="BG6" s="26" t="s">
        <v>5</v>
      </c>
      <c r="BH6" s="26" t="s">
        <v>5</v>
      </c>
      <c r="BI6" s="26" t="s">
        <v>5</v>
      </c>
      <c r="BJ6" s="26" t="s">
        <v>5</v>
      </c>
      <c r="BK6" s="26" t="s">
        <v>5</v>
      </c>
      <c r="BL6" s="26" t="s">
        <v>5</v>
      </c>
      <c r="BM6" s="26" t="s">
        <v>5</v>
      </c>
      <c r="BN6" s="26" t="s">
        <v>5</v>
      </c>
      <c r="BO6" s="26" t="s">
        <v>5</v>
      </c>
      <c r="BP6" s="26" t="s">
        <v>5</v>
      </c>
      <c r="BQ6" s="26" t="s">
        <v>5</v>
      </c>
      <c r="BR6" s="26" t="s">
        <v>5</v>
      </c>
      <c r="BS6" s="26" t="s">
        <v>5</v>
      </c>
    </row>
    <row r="7" spans="1:71" x14ac:dyDescent="0.3">
      <c r="A7" s="2">
        <f t="shared" si="14"/>
        <v>88</v>
      </c>
      <c r="B7" s="12">
        <f t="shared" si="14"/>
        <v>5</v>
      </c>
      <c r="C7" s="24">
        <v>44649.666666608799</v>
      </c>
      <c r="D7" s="4">
        <v>24</v>
      </c>
      <c r="E7" s="4">
        <f t="shared" si="15"/>
        <v>96</v>
      </c>
      <c r="F7" s="5">
        <f t="shared" si="16"/>
        <v>4</v>
      </c>
      <c r="G7" s="1">
        <f t="shared" si="1"/>
        <v>1</v>
      </c>
      <c r="H7" s="1">
        <f t="shared" si="2"/>
        <v>25</v>
      </c>
      <c r="I7" s="1">
        <f t="shared" si="3"/>
        <v>22</v>
      </c>
      <c r="J7" s="1">
        <f t="shared" si="4"/>
        <v>0</v>
      </c>
      <c r="K7" s="1">
        <f t="shared" si="5"/>
        <v>0</v>
      </c>
      <c r="L7" s="1">
        <f t="shared" si="6"/>
        <v>0</v>
      </c>
      <c r="M7" s="1">
        <f t="shared" si="0"/>
        <v>0</v>
      </c>
      <c r="N7" s="31"/>
      <c r="O7" s="1">
        <f t="shared" si="7"/>
        <v>0</v>
      </c>
      <c r="P7" s="1">
        <f t="shared" si="8"/>
        <v>2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1">
        <f t="shared" si="12"/>
        <v>0</v>
      </c>
      <c r="U7" s="1">
        <f t="shared" si="13"/>
        <v>0</v>
      </c>
      <c r="V7" s="26" t="s">
        <v>8</v>
      </c>
      <c r="W7" s="26" t="s">
        <v>8</v>
      </c>
      <c r="X7" s="26" t="s">
        <v>8</v>
      </c>
      <c r="Y7" s="26" t="s">
        <v>8</v>
      </c>
      <c r="Z7" s="26" t="s">
        <v>8</v>
      </c>
      <c r="AA7" s="26" t="s">
        <v>5</v>
      </c>
      <c r="AB7" s="26" t="s">
        <v>5</v>
      </c>
      <c r="AC7" s="26" t="s">
        <v>5</v>
      </c>
      <c r="AD7" s="26" t="s">
        <v>8</v>
      </c>
      <c r="AE7" s="26" t="s">
        <v>8</v>
      </c>
      <c r="AF7" s="26" t="s">
        <v>18</v>
      </c>
      <c r="AG7" s="26" t="s">
        <v>5</v>
      </c>
      <c r="AH7" s="26" t="s">
        <v>5</v>
      </c>
      <c r="AI7" s="26" t="s">
        <v>5</v>
      </c>
      <c r="AJ7" s="26" t="s">
        <v>5</v>
      </c>
      <c r="AK7" s="26" t="s">
        <v>5</v>
      </c>
      <c r="AL7" s="26" t="s">
        <v>5</v>
      </c>
      <c r="AM7" s="26" t="s">
        <v>8</v>
      </c>
      <c r="AN7" s="26" t="s">
        <v>8</v>
      </c>
      <c r="AO7" s="26" t="s">
        <v>8</v>
      </c>
      <c r="AP7" s="26" t="s">
        <v>5</v>
      </c>
      <c r="AQ7" s="26" t="s">
        <v>5</v>
      </c>
      <c r="AR7" s="26" t="s">
        <v>5</v>
      </c>
      <c r="AS7" s="26" t="s">
        <v>5</v>
      </c>
      <c r="AT7" s="26" t="s">
        <v>5</v>
      </c>
      <c r="AU7" s="26" t="s">
        <v>5</v>
      </c>
      <c r="AV7" s="26" t="s">
        <v>5</v>
      </c>
      <c r="AW7" s="26" t="s">
        <v>5</v>
      </c>
      <c r="AX7" s="26" t="s">
        <v>5</v>
      </c>
      <c r="AY7" s="26" t="s">
        <v>5</v>
      </c>
      <c r="AZ7" s="26" t="s">
        <v>5</v>
      </c>
      <c r="BA7" s="26" t="s">
        <v>5</v>
      </c>
      <c r="BB7" s="26" t="s">
        <v>5</v>
      </c>
      <c r="BC7" s="26" t="s">
        <v>5</v>
      </c>
      <c r="BD7" s="26" t="s">
        <v>5</v>
      </c>
      <c r="BE7" s="26" t="s">
        <v>4</v>
      </c>
      <c r="BF7" s="26" t="s">
        <v>18</v>
      </c>
      <c r="BG7" s="26" t="s">
        <v>8</v>
      </c>
      <c r="BH7" s="26" t="s">
        <v>8</v>
      </c>
      <c r="BI7" s="26" t="s">
        <v>8</v>
      </c>
      <c r="BJ7" s="26" t="s">
        <v>5</v>
      </c>
      <c r="BK7" s="26" t="s">
        <v>8</v>
      </c>
      <c r="BL7" s="26" t="s">
        <v>8</v>
      </c>
      <c r="BM7" s="26" t="s">
        <v>8</v>
      </c>
      <c r="BN7" s="26" t="s">
        <v>8</v>
      </c>
      <c r="BO7" s="26" t="s">
        <v>8</v>
      </c>
      <c r="BP7" s="26" t="s">
        <v>8</v>
      </c>
      <c r="BQ7" s="26" t="s">
        <v>8</v>
      </c>
      <c r="BR7" s="26" t="s">
        <v>8</v>
      </c>
      <c r="BS7" s="26" t="s">
        <v>8</v>
      </c>
    </row>
    <row r="8" spans="1:71" x14ac:dyDescent="0.3">
      <c r="A8" s="2">
        <f t="shared" si="14"/>
        <v>89</v>
      </c>
      <c r="B8" s="12">
        <f t="shared" si="14"/>
        <v>6</v>
      </c>
      <c r="C8" s="24">
        <v>44650.666666608799</v>
      </c>
      <c r="D8" s="4">
        <v>24</v>
      </c>
      <c r="E8" s="4">
        <f t="shared" si="15"/>
        <v>120</v>
      </c>
      <c r="F8" s="5">
        <f t="shared" si="16"/>
        <v>5</v>
      </c>
      <c r="G8" s="1">
        <f t="shared" si="1"/>
        <v>0</v>
      </c>
      <c r="H8" s="1">
        <f t="shared" si="2"/>
        <v>6</v>
      </c>
      <c r="I8" s="1">
        <f t="shared" si="3"/>
        <v>39</v>
      </c>
      <c r="J8" s="1">
        <f t="shared" si="4"/>
        <v>0</v>
      </c>
      <c r="K8" s="1">
        <f t="shared" si="5"/>
        <v>0</v>
      </c>
      <c r="L8" s="1">
        <f t="shared" si="6"/>
        <v>0</v>
      </c>
      <c r="M8" s="1">
        <f t="shared" si="0"/>
        <v>0</v>
      </c>
      <c r="N8" s="31"/>
      <c r="O8" s="1">
        <f t="shared" si="7"/>
        <v>1</v>
      </c>
      <c r="P8" s="1">
        <f t="shared" si="8"/>
        <v>4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1">
        <f t="shared" si="12"/>
        <v>0</v>
      </c>
      <c r="U8" s="1">
        <f t="shared" si="13"/>
        <v>0</v>
      </c>
      <c r="V8" s="26" t="s">
        <v>8</v>
      </c>
      <c r="W8" s="26" t="s">
        <v>8</v>
      </c>
      <c r="X8" s="26" t="s">
        <v>8</v>
      </c>
      <c r="Y8" s="26" t="s">
        <v>8</v>
      </c>
      <c r="Z8" s="26" t="s">
        <v>8</v>
      </c>
      <c r="AA8" s="26" t="s">
        <v>5</v>
      </c>
      <c r="AB8" s="26" t="s">
        <v>8</v>
      </c>
      <c r="AC8" s="26" t="s">
        <v>8</v>
      </c>
      <c r="AD8" s="26" t="s">
        <v>8</v>
      </c>
      <c r="AE8" s="26" t="s">
        <v>8</v>
      </c>
      <c r="AF8" s="26" t="s">
        <v>18</v>
      </c>
      <c r="AG8" s="26" t="s">
        <v>8</v>
      </c>
      <c r="AH8" s="26" t="s">
        <v>8</v>
      </c>
      <c r="AI8" s="26" t="s">
        <v>8</v>
      </c>
      <c r="AJ8" s="26" t="s">
        <v>8</v>
      </c>
      <c r="AK8" s="26" t="s">
        <v>5</v>
      </c>
      <c r="AL8" s="26" t="s">
        <v>5</v>
      </c>
      <c r="AM8" s="26" t="s">
        <v>8</v>
      </c>
      <c r="AN8" s="26" t="s">
        <v>8</v>
      </c>
      <c r="AO8" s="26" t="s">
        <v>8</v>
      </c>
      <c r="AP8" s="26" t="s">
        <v>5</v>
      </c>
      <c r="AQ8" s="26" t="s">
        <v>5</v>
      </c>
      <c r="AR8" s="26" t="s">
        <v>5</v>
      </c>
      <c r="AS8" s="26" t="s">
        <v>8</v>
      </c>
      <c r="AT8" s="26" t="s">
        <v>8</v>
      </c>
      <c r="AU8" s="26" t="s">
        <v>18</v>
      </c>
      <c r="AV8" s="26" t="s">
        <v>8</v>
      </c>
      <c r="AW8" s="26" t="s">
        <v>8</v>
      </c>
      <c r="AX8" s="26" t="s">
        <v>8</v>
      </c>
      <c r="AY8" s="26" t="s">
        <v>8</v>
      </c>
      <c r="AZ8" s="26" t="s">
        <v>8</v>
      </c>
      <c r="BA8" s="26" t="s">
        <v>8</v>
      </c>
      <c r="BB8" s="26" t="s">
        <v>8</v>
      </c>
      <c r="BC8" s="26" t="s">
        <v>8</v>
      </c>
      <c r="BD8" s="26" t="s">
        <v>8</v>
      </c>
      <c r="BE8" s="26" t="s">
        <v>17</v>
      </c>
      <c r="BF8" s="26" t="s">
        <v>18</v>
      </c>
      <c r="BG8" s="26" t="s">
        <v>8</v>
      </c>
      <c r="BH8" s="26" t="s">
        <v>8</v>
      </c>
      <c r="BI8" s="26" t="s">
        <v>8</v>
      </c>
      <c r="BJ8" s="26" t="s">
        <v>18</v>
      </c>
      <c r="BK8" s="26" t="s">
        <v>8</v>
      </c>
      <c r="BL8" s="26" t="s">
        <v>8</v>
      </c>
      <c r="BM8" s="26" t="s">
        <v>8</v>
      </c>
      <c r="BN8" s="26" t="s">
        <v>8</v>
      </c>
      <c r="BO8" s="26" t="s">
        <v>8</v>
      </c>
      <c r="BP8" s="26" t="s">
        <v>8</v>
      </c>
      <c r="BQ8" s="26" t="s">
        <v>8</v>
      </c>
      <c r="BR8" s="26" t="s">
        <v>8</v>
      </c>
      <c r="BS8" s="26" t="s">
        <v>8</v>
      </c>
    </row>
    <row r="9" spans="1:71" x14ac:dyDescent="0.3">
      <c r="A9" s="2">
        <f t="shared" si="14"/>
        <v>90</v>
      </c>
      <c r="B9" s="12">
        <f t="shared" si="14"/>
        <v>7</v>
      </c>
      <c r="C9" s="24">
        <v>44651.666666608799</v>
      </c>
      <c r="D9" s="4">
        <v>24</v>
      </c>
      <c r="E9" s="4">
        <f t="shared" si="15"/>
        <v>144</v>
      </c>
      <c r="F9" s="5">
        <f t="shared" si="16"/>
        <v>6</v>
      </c>
      <c r="G9" s="1">
        <f t="shared" si="1"/>
        <v>0</v>
      </c>
      <c r="H9" s="1">
        <f t="shared" si="2"/>
        <v>0</v>
      </c>
      <c r="I9" s="1">
        <f t="shared" si="3"/>
        <v>35</v>
      </c>
      <c r="J9" s="1">
        <f t="shared" si="4"/>
        <v>7</v>
      </c>
      <c r="K9" s="1">
        <f t="shared" si="5"/>
        <v>0</v>
      </c>
      <c r="L9" s="1">
        <f t="shared" si="6"/>
        <v>0</v>
      </c>
      <c r="M9" s="1">
        <f t="shared" si="0"/>
        <v>0</v>
      </c>
      <c r="N9" s="31"/>
      <c r="O9" s="1">
        <f t="shared" si="7"/>
        <v>1</v>
      </c>
      <c r="P9" s="1">
        <f t="shared" si="8"/>
        <v>5</v>
      </c>
      <c r="Q9" s="1">
        <f t="shared" si="9"/>
        <v>2</v>
      </c>
      <c r="R9" s="1">
        <f t="shared" si="10"/>
        <v>0</v>
      </c>
      <c r="S9" s="1">
        <f t="shared" si="11"/>
        <v>0</v>
      </c>
      <c r="T9" s="1">
        <f t="shared" si="12"/>
        <v>0</v>
      </c>
      <c r="U9" s="1">
        <f t="shared" si="13"/>
        <v>0</v>
      </c>
      <c r="V9" s="26" t="s">
        <v>10</v>
      </c>
      <c r="W9" s="26" t="s">
        <v>10</v>
      </c>
      <c r="X9" s="26" t="s">
        <v>10</v>
      </c>
      <c r="Y9" s="26" t="s">
        <v>10</v>
      </c>
      <c r="Z9" s="26" t="s">
        <v>10</v>
      </c>
      <c r="AA9" s="26" t="s">
        <v>18</v>
      </c>
      <c r="AB9" s="26" t="s">
        <v>22</v>
      </c>
      <c r="AC9" s="26" t="s">
        <v>8</v>
      </c>
      <c r="AD9" s="26" t="s">
        <v>8</v>
      </c>
      <c r="AE9" s="26" t="s">
        <v>8</v>
      </c>
      <c r="AF9" s="26" t="s">
        <v>18</v>
      </c>
      <c r="AG9" s="26" t="s">
        <v>8</v>
      </c>
      <c r="AH9" s="26" t="s">
        <v>8</v>
      </c>
      <c r="AI9" s="26" t="s">
        <v>8</v>
      </c>
      <c r="AJ9" s="26" t="s">
        <v>8</v>
      </c>
      <c r="AK9" s="26" t="s">
        <v>8</v>
      </c>
      <c r="AL9" s="26" t="s">
        <v>8</v>
      </c>
      <c r="AM9" s="26" t="s">
        <v>8</v>
      </c>
      <c r="AN9" s="26" t="s">
        <v>8</v>
      </c>
      <c r="AO9" s="26" t="s">
        <v>8</v>
      </c>
      <c r="AP9" s="26" t="s">
        <v>8</v>
      </c>
      <c r="AQ9" s="26" t="s">
        <v>8</v>
      </c>
      <c r="AR9" s="26" t="s">
        <v>8</v>
      </c>
      <c r="AS9" s="26" t="s">
        <v>8</v>
      </c>
      <c r="AT9" s="26" t="s">
        <v>8</v>
      </c>
      <c r="AU9" s="26" t="s">
        <v>18</v>
      </c>
      <c r="AV9" s="26" t="s">
        <v>8</v>
      </c>
      <c r="AW9" s="26" t="s">
        <v>8</v>
      </c>
      <c r="AX9" s="26" t="s">
        <v>8</v>
      </c>
      <c r="AY9" s="26" t="s">
        <v>8</v>
      </c>
      <c r="AZ9" s="26" t="s">
        <v>8</v>
      </c>
      <c r="BA9" s="26" t="s">
        <v>8</v>
      </c>
      <c r="BB9" s="26" t="s">
        <v>8</v>
      </c>
      <c r="BC9" s="26" t="s">
        <v>8</v>
      </c>
      <c r="BD9" s="26" t="s">
        <v>8</v>
      </c>
      <c r="BE9" s="26" t="s">
        <v>17</v>
      </c>
      <c r="BF9" s="26" t="s">
        <v>18</v>
      </c>
      <c r="BG9" s="26" t="s">
        <v>8</v>
      </c>
      <c r="BH9" s="26" t="s">
        <v>8</v>
      </c>
      <c r="BI9" s="26" t="s">
        <v>8</v>
      </c>
      <c r="BJ9" s="26" t="s">
        <v>18</v>
      </c>
      <c r="BK9" s="26" t="s">
        <v>10</v>
      </c>
      <c r="BL9" s="26" t="s">
        <v>10</v>
      </c>
      <c r="BM9" s="26" t="s">
        <v>8</v>
      </c>
      <c r="BN9" s="26" t="s">
        <v>8</v>
      </c>
      <c r="BO9" s="26" t="s">
        <v>22</v>
      </c>
      <c r="BP9" s="26" t="s">
        <v>8</v>
      </c>
      <c r="BQ9" s="26" t="s">
        <v>8</v>
      </c>
      <c r="BR9" s="26" t="s">
        <v>8</v>
      </c>
      <c r="BS9" s="26" t="s">
        <v>8</v>
      </c>
    </row>
    <row r="10" spans="1:71" x14ac:dyDescent="0.3">
      <c r="A10" s="2">
        <f t="shared" si="14"/>
        <v>91</v>
      </c>
      <c r="B10" s="12">
        <f t="shared" si="14"/>
        <v>8</v>
      </c>
      <c r="C10" s="24">
        <v>44652.666666608799</v>
      </c>
      <c r="D10" s="4">
        <v>24</v>
      </c>
      <c r="E10" s="4">
        <f t="shared" si="15"/>
        <v>168</v>
      </c>
      <c r="F10" s="5">
        <f t="shared" si="16"/>
        <v>7</v>
      </c>
      <c r="G10" s="1">
        <f t="shared" si="1"/>
        <v>0</v>
      </c>
      <c r="H10" s="1">
        <f t="shared" si="2"/>
        <v>0</v>
      </c>
      <c r="I10" s="1">
        <f t="shared" si="3"/>
        <v>10</v>
      </c>
      <c r="J10" s="1">
        <f t="shared" si="4"/>
        <v>29</v>
      </c>
      <c r="K10" s="1">
        <f t="shared" si="5"/>
        <v>0</v>
      </c>
      <c r="L10" s="1">
        <f t="shared" si="6"/>
        <v>0</v>
      </c>
      <c r="M10" s="1">
        <f t="shared" si="0"/>
        <v>0</v>
      </c>
      <c r="N10" s="31"/>
      <c r="O10" s="1">
        <f t="shared" si="7"/>
        <v>1</v>
      </c>
      <c r="P10" s="1">
        <f t="shared" si="8"/>
        <v>5</v>
      </c>
      <c r="Q10" s="1">
        <f>COUNTIF($V10:$BS10, "L2_D")</f>
        <v>5</v>
      </c>
      <c r="R10" s="1">
        <f t="shared" si="10"/>
        <v>0</v>
      </c>
      <c r="S10" s="1">
        <f t="shared" si="11"/>
        <v>0</v>
      </c>
      <c r="T10" s="1">
        <f t="shared" si="12"/>
        <v>0</v>
      </c>
      <c r="U10" s="1">
        <f t="shared" si="13"/>
        <v>0</v>
      </c>
      <c r="V10" s="26" t="s">
        <v>10</v>
      </c>
      <c r="W10" s="26" t="s">
        <v>10</v>
      </c>
      <c r="X10" s="26" t="s">
        <v>10</v>
      </c>
      <c r="Y10" s="26" t="s">
        <v>10</v>
      </c>
      <c r="Z10" s="26" t="s">
        <v>10</v>
      </c>
      <c r="AA10" s="26" t="s">
        <v>18</v>
      </c>
      <c r="AB10" s="26" t="s">
        <v>22</v>
      </c>
      <c r="AC10" s="26" t="s">
        <v>10</v>
      </c>
      <c r="AD10" s="26" t="s">
        <v>10</v>
      </c>
      <c r="AE10" s="26" t="s">
        <v>10</v>
      </c>
      <c r="AF10" s="26" t="s">
        <v>18</v>
      </c>
      <c r="AG10" s="26" t="s">
        <v>22</v>
      </c>
      <c r="AH10" s="26" t="s">
        <v>8</v>
      </c>
      <c r="AI10" s="26" t="s">
        <v>8</v>
      </c>
      <c r="AJ10" s="26" t="s">
        <v>8</v>
      </c>
      <c r="AK10" s="26" t="s">
        <v>22</v>
      </c>
      <c r="AL10" s="26" t="s">
        <v>10</v>
      </c>
      <c r="AM10" s="26" t="s">
        <v>10</v>
      </c>
      <c r="AN10" s="26" t="s">
        <v>10</v>
      </c>
      <c r="AO10" s="26" t="s">
        <v>10</v>
      </c>
      <c r="AP10" s="26" t="s">
        <v>8</v>
      </c>
      <c r="AQ10" s="26" t="s">
        <v>8</v>
      </c>
      <c r="AR10" s="26" t="s">
        <v>8</v>
      </c>
      <c r="AS10" s="26" t="s">
        <v>10</v>
      </c>
      <c r="AT10" s="26" t="s">
        <v>10</v>
      </c>
      <c r="AU10" s="26" t="s">
        <v>18</v>
      </c>
      <c r="AV10" s="26" t="s">
        <v>8</v>
      </c>
      <c r="AW10" s="26" t="s">
        <v>10</v>
      </c>
      <c r="AX10" s="26" t="s">
        <v>10</v>
      </c>
      <c r="AY10" s="26" t="s">
        <v>10</v>
      </c>
      <c r="AZ10" s="26" t="s">
        <v>8</v>
      </c>
      <c r="BA10" s="26" t="s">
        <v>10</v>
      </c>
      <c r="BB10" s="26" t="s">
        <v>10</v>
      </c>
      <c r="BC10" s="26" t="s">
        <v>10</v>
      </c>
      <c r="BD10" s="26" t="s">
        <v>10</v>
      </c>
      <c r="BE10" s="26" t="s">
        <v>17</v>
      </c>
      <c r="BF10" s="26" t="s">
        <v>18</v>
      </c>
      <c r="BG10" s="26" t="s">
        <v>22</v>
      </c>
      <c r="BH10" s="26" t="s">
        <v>10</v>
      </c>
      <c r="BI10" s="26" t="s">
        <v>10</v>
      </c>
      <c r="BJ10" s="26" t="s">
        <v>18</v>
      </c>
      <c r="BK10" s="26" t="s">
        <v>10</v>
      </c>
      <c r="BL10" s="26" t="s">
        <v>10</v>
      </c>
      <c r="BM10" s="26" t="s">
        <v>8</v>
      </c>
      <c r="BN10" s="26" t="s">
        <v>8</v>
      </c>
      <c r="BO10" s="26" t="s">
        <v>22</v>
      </c>
      <c r="BP10" s="26" t="s">
        <v>10</v>
      </c>
      <c r="BQ10" s="26" t="s">
        <v>10</v>
      </c>
      <c r="BR10" s="26" t="s">
        <v>10</v>
      </c>
      <c r="BS10" s="26" t="s">
        <v>10</v>
      </c>
    </row>
    <row r="11" spans="1:71" x14ac:dyDescent="0.3">
      <c r="A11" s="2">
        <f t="shared" si="14"/>
        <v>92</v>
      </c>
      <c r="B11" s="12">
        <f t="shared" si="14"/>
        <v>9</v>
      </c>
      <c r="C11" s="24">
        <v>44653.666666608799</v>
      </c>
      <c r="D11" s="4">
        <v>24</v>
      </c>
      <c r="E11" s="4">
        <f t="shared" si="15"/>
        <v>192</v>
      </c>
      <c r="F11" s="5">
        <f t="shared" si="16"/>
        <v>8</v>
      </c>
      <c r="G11" s="1">
        <f t="shared" si="1"/>
        <v>0</v>
      </c>
      <c r="H11" s="1">
        <f t="shared" si="2"/>
        <v>0</v>
      </c>
      <c r="I11" s="1">
        <f t="shared" si="3"/>
        <v>0</v>
      </c>
      <c r="J11" s="1">
        <f t="shared" si="4"/>
        <v>37</v>
      </c>
      <c r="K11" s="1">
        <f t="shared" si="5"/>
        <v>0</v>
      </c>
      <c r="L11" s="1">
        <f t="shared" si="6"/>
        <v>0</v>
      </c>
      <c r="M11" s="1">
        <f t="shared" si="0"/>
        <v>0</v>
      </c>
      <c r="N11" s="31"/>
      <c r="O11" s="1">
        <f t="shared" si="7"/>
        <v>1</v>
      </c>
      <c r="P11" s="1">
        <f t="shared" si="8"/>
        <v>5</v>
      </c>
      <c r="Q11" s="1">
        <f t="shared" si="9"/>
        <v>7</v>
      </c>
      <c r="R11" s="1">
        <f t="shared" si="10"/>
        <v>0</v>
      </c>
      <c r="S11" s="1">
        <f t="shared" si="11"/>
        <v>0</v>
      </c>
      <c r="T11" s="1">
        <f t="shared" si="12"/>
        <v>0</v>
      </c>
      <c r="U11" s="1">
        <f t="shared" si="13"/>
        <v>0</v>
      </c>
      <c r="V11" s="26" t="s">
        <v>10</v>
      </c>
      <c r="W11" s="26" t="s">
        <v>10</v>
      </c>
      <c r="X11" s="26" t="s">
        <v>10</v>
      </c>
      <c r="Y11" s="26" t="s">
        <v>10</v>
      </c>
      <c r="Z11" s="26" t="s">
        <v>10</v>
      </c>
      <c r="AA11" s="26" t="s">
        <v>18</v>
      </c>
      <c r="AB11" s="26" t="s">
        <v>22</v>
      </c>
      <c r="AC11" s="26" t="s">
        <v>10</v>
      </c>
      <c r="AD11" s="26" t="s">
        <v>10</v>
      </c>
      <c r="AE11" s="26" t="s">
        <v>10</v>
      </c>
      <c r="AF11" s="26" t="s">
        <v>18</v>
      </c>
      <c r="AG11" s="26" t="s">
        <v>22</v>
      </c>
      <c r="AH11" s="26" t="s">
        <v>22</v>
      </c>
      <c r="AI11" s="26" t="s">
        <v>10</v>
      </c>
      <c r="AJ11" s="26" t="s">
        <v>10</v>
      </c>
      <c r="AK11" s="26" t="s">
        <v>22</v>
      </c>
      <c r="AL11" s="26" t="s">
        <v>10</v>
      </c>
      <c r="AM11" s="26" t="s">
        <v>10</v>
      </c>
      <c r="AN11" s="26" t="s">
        <v>10</v>
      </c>
      <c r="AO11" s="26" t="s">
        <v>10</v>
      </c>
      <c r="AP11" s="26" t="s">
        <v>10</v>
      </c>
      <c r="AQ11" s="26" t="s">
        <v>10</v>
      </c>
      <c r="AR11" s="26" t="s">
        <v>10</v>
      </c>
      <c r="AS11" s="26" t="s">
        <v>10</v>
      </c>
      <c r="AT11" s="26" t="s">
        <v>10</v>
      </c>
      <c r="AU11" s="26" t="s">
        <v>18</v>
      </c>
      <c r="AV11" s="26" t="s">
        <v>10</v>
      </c>
      <c r="AW11" s="26" t="s">
        <v>10</v>
      </c>
      <c r="AX11" s="26" t="s">
        <v>10</v>
      </c>
      <c r="AY11" s="26" t="s">
        <v>10</v>
      </c>
      <c r="AZ11" s="26" t="s">
        <v>10</v>
      </c>
      <c r="BA11" s="26" t="s">
        <v>10</v>
      </c>
      <c r="BB11" s="26" t="s">
        <v>10</v>
      </c>
      <c r="BC11" s="26" t="s">
        <v>10</v>
      </c>
      <c r="BD11" s="26" t="s">
        <v>10</v>
      </c>
      <c r="BE11" s="26" t="s">
        <v>17</v>
      </c>
      <c r="BF11" s="26" t="s">
        <v>18</v>
      </c>
      <c r="BG11" s="26" t="s">
        <v>22</v>
      </c>
      <c r="BH11" s="26" t="s">
        <v>10</v>
      </c>
      <c r="BI11" s="26" t="s">
        <v>10</v>
      </c>
      <c r="BJ11" s="26" t="s">
        <v>18</v>
      </c>
      <c r="BK11" s="26" t="s">
        <v>10</v>
      </c>
      <c r="BL11" s="26" t="s">
        <v>10</v>
      </c>
      <c r="BM11" s="26" t="s">
        <v>10</v>
      </c>
      <c r="BN11" s="26" t="s">
        <v>22</v>
      </c>
      <c r="BO11" s="26" t="s">
        <v>22</v>
      </c>
      <c r="BP11" s="26" t="s">
        <v>10</v>
      </c>
      <c r="BQ11" s="26" t="s">
        <v>10</v>
      </c>
      <c r="BR11" s="26" t="s">
        <v>10</v>
      </c>
      <c r="BS11" s="26" t="s">
        <v>10</v>
      </c>
    </row>
    <row r="12" spans="1:71" x14ac:dyDescent="0.3">
      <c r="A12" s="2">
        <f t="shared" si="14"/>
        <v>93</v>
      </c>
      <c r="B12" s="12">
        <f t="shared" si="14"/>
        <v>10</v>
      </c>
      <c r="C12" s="24">
        <v>44654.666666608799</v>
      </c>
      <c r="D12" s="4">
        <v>24</v>
      </c>
      <c r="E12" s="4">
        <f t="shared" si="15"/>
        <v>216</v>
      </c>
      <c r="F12" s="5">
        <f t="shared" si="16"/>
        <v>9</v>
      </c>
      <c r="G12" s="1">
        <f t="shared" si="1"/>
        <v>0</v>
      </c>
      <c r="H12" s="1">
        <f t="shared" si="2"/>
        <v>0</v>
      </c>
      <c r="I12" s="1">
        <f t="shared" si="3"/>
        <v>0</v>
      </c>
      <c r="J12" s="1">
        <f t="shared" si="4"/>
        <v>37</v>
      </c>
      <c r="K12" s="1">
        <f t="shared" si="5"/>
        <v>0</v>
      </c>
      <c r="L12" s="1">
        <f t="shared" si="6"/>
        <v>0</v>
      </c>
      <c r="M12" s="1">
        <f t="shared" si="0"/>
        <v>0</v>
      </c>
      <c r="N12" s="31"/>
      <c r="O12" s="1">
        <f t="shared" si="7"/>
        <v>1</v>
      </c>
      <c r="P12" s="1">
        <f t="shared" si="8"/>
        <v>5</v>
      </c>
      <c r="Q12" s="1">
        <f t="shared" si="9"/>
        <v>7</v>
      </c>
      <c r="R12" s="1">
        <f t="shared" si="10"/>
        <v>0</v>
      </c>
      <c r="S12" s="1">
        <f t="shared" si="11"/>
        <v>0</v>
      </c>
      <c r="T12" s="1">
        <f t="shared" si="12"/>
        <v>0</v>
      </c>
      <c r="U12" s="1">
        <f t="shared" si="13"/>
        <v>0</v>
      </c>
      <c r="V12" s="26" t="s">
        <v>10</v>
      </c>
      <c r="W12" s="26" t="s">
        <v>10</v>
      </c>
      <c r="X12" s="26" t="s">
        <v>10</v>
      </c>
      <c r="Y12" s="26" t="s">
        <v>10</v>
      </c>
      <c r="Z12" s="26" t="s">
        <v>10</v>
      </c>
      <c r="AA12" s="26" t="s">
        <v>18</v>
      </c>
      <c r="AB12" s="26" t="s">
        <v>22</v>
      </c>
      <c r="AC12" s="26" t="s">
        <v>10</v>
      </c>
      <c r="AD12" s="26" t="s">
        <v>10</v>
      </c>
      <c r="AE12" s="26" t="s">
        <v>10</v>
      </c>
      <c r="AF12" s="26" t="s">
        <v>18</v>
      </c>
      <c r="AG12" s="26" t="s">
        <v>22</v>
      </c>
      <c r="AH12" s="26" t="s">
        <v>22</v>
      </c>
      <c r="AI12" s="26" t="s">
        <v>10</v>
      </c>
      <c r="AJ12" s="26" t="s">
        <v>10</v>
      </c>
      <c r="AK12" s="26" t="s">
        <v>22</v>
      </c>
      <c r="AL12" s="26" t="s">
        <v>10</v>
      </c>
      <c r="AM12" s="26" t="s">
        <v>10</v>
      </c>
      <c r="AN12" s="26" t="s">
        <v>10</v>
      </c>
      <c r="AO12" s="26" t="s">
        <v>10</v>
      </c>
      <c r="AP12" s="26" t="s">
        <v>10</v>
      </c>
      <c r="AQ12" s="26" t="s">
        <v>10</v>
      </c>
      <c r="AR12" s="26" t="s">
        <v>10</v>
      </c>
      <c r="AS12" s="26" t="s">
        <v>10</v>
      </c>
      <c r="AT12" s="26" t="s">
        <v>10</v>
      </c>
      <c r="AU12" s="26" t="s">
        <v>18</v>
      </c>
      <c r="AV12" s="26" t="s">
        <v>10</v>
      </c>
      <c r="AW12" s="26" t="s">
        <v>10</v>
      </c>
      <c r="AX12" s="26" t="s">
        <v>10</v>
      </c>
      <c r="AY12" s="26" t="s">
        <v>10</v>
      </c>
      <c r="AZ12" s="26" t="s">
        <v>10</v>
      </c>
      <c r="BA12" s="26" t="s">
        <v>10</v>
      </c>
      <c r="BB12" s="26" t="s">
        <v>10</v>
      </c>
      <c r="BC12" s="26" t="s">
        <v>10</v>
      </c>
      <c r="BD12" s="26" t="s">
        <v>10</v>
      </c>
      <c r="BE12" s="26" t="s">
        <v>17</v>
      </c>
      <c r="BF12" s="26" t="s">
        <v>18</v>
      </c>
      <c r="BG12" s="26" t="s">
        <v>22</v>
      </c>
      <c r="BH12" s="26" t="s">
        <v>10</v>
      </c>
      <c r="BI12" s="26" t="s">
        <v>10</v>
      </c>
      <c r="BJ12" s="26" t="s">
        <v>18</v>
      </c>
      <c r="BK12" s="26" t="s">
        <v>10</v>
      </c>
      <c r="BL12" s="26" t="s">
        <v>10</v>
      </c>
      <c r="BM12" s="26" t="s">
        <v>10</v>
      </c>
      <c r="BN12" s="26" t="s">
        <v>22</v>
      </c>
      <c r="BO12" s="26" t="s">
        <v>22</v>
      </c>
      <c r="BP12" s="26" t="s">
        <v>10</v>
      </c>
      <c r="BQ12" s="26" t="s">
        <v>10</v>
      </c>
      <c r="BR12" s="26" t="s">
        <v>10</v>
      </c>
      <c r="BS12" s="26" t="s">
        <v>10</v>
      </c>
    </row>
    <row r="13" spans="1:71" x14ac:dyDescent="0.3">
      <c r="A13" s="2">
        <f t="shared" si="14"/>
        <v>94</v>
      </c>
      <c r="B13" s="12">
        <f t="shared" si="14"/>
        <v>11</v>
      </c>
      <c r="C13" s="24">
        <v>44655.666666608799</v>
      </c>
      <c r="D13" s="4">
        <v>24</v>
      </c>
      <c r="E13" s="4">
        <f t="shared" si="15"/>
        <v>240</v>
      </c>
      <c r="F13" s="5">
        <f t="shared" si="16"/>
        <v>10</v>
      </c>
      <c r="G13" s="1">
        <f t="shared" si="1"/>
        <v>0</v>
      </c>
      <c r="H13" s="1">
        <f t="shared" si="2"/>
        <v>0</v>
      </c>
      <c r="I13" s="1">
        <f t="shared" si="3"/>
        <v>0</v>
      </c>
      <c r="J13" s="1">
        <f t="shared" si="4"/>
        <v>32</v>
      </c>
      <c r="K13" s="1">
        <f t="shared" si="5"/>
        <v>5</v>
      </c>
      <c r="L13" s="1">
        <f t="shared" si="6"/>
        <v>0</v>
      </c>
      <c r="M13" s="1">
        <f t="shared" si="0"/>
        <v>0</v>
      </c>
      <c r="N13" s="31"/>
      <c r="O13" s="1">
        <f t="shared" si="7"/>
        <v>1</v>
      </c>
      <c r="P13" s="1">
        <f t="shared" si="8"/>
        <v>5</v>
      </c>
      <c r="Q13" s="1">
        <f t="shared" si="9"/>
        <v>7</v>
      </c>
      <c r="R13" s="1">
        <f t="shared" si="10"/>
        <v>0</v>
      </c>
      <c r="S13" s="1">
        <f t="shared" si="11"/>
        <v>0</v>
      </c>
      <c r="T13" s="1">
        <f t="shared" si="12"/>
        <v>0</v>
      </c>
      <c r="U13" s="1">
        <f t="shared" si="13"/>
        <v>0</v>
      </c>
      <c r="V13" s="26" t="s">
        <v>11</v>
      </c>
      <c r="W13" s="26" t="s">
        <v>11</v>
      </c>
      <c r="X13" s="26" t="s">
        <v>11</v>
      </c>
      <c r="Y13" s="26" t="s">
        <v>11</v>
      </c>
      <c r="Z13" s="26" t="s">
        <v>11</v>
      </c>
      <c r="AA13" s="26" t="s">
        <v>18</v>
      </c>
      <c r="AB13" s="26" t="s">
        <v>22</v>
      </c>
      <c r="AC13" s="26" t="s">
        <v>10</v>
      </c>
      <c r="AD13" s="26" t="s">
        <v>10</v>
      </c>
      <c r="AE13" s="26" t="s">
        <v>10</v>
      </c>
      <c r="AF13" s="26" t="s">
        <v>18</v>
      </c>
      <c r="AG13" s="26" t="s">
        <v>22</v>
      </c>
      <c r="AH13" s="26" t="s">
        <v>22</v>
      </c>
      <c r="AI13" s="26" t="s">
        <v>10</v>
      </c>
      <c r="AJ13" s="26" t="s">
        <v>10</v>
      </c>
      <c r="AK13" s="26" t="s">
        <v>22</v>
      </c>
      <c r="AL13" s="26" t="s">
        <v>10</v>
      </c>
      <c r="AM13" s="26" t="s">
        <v>10</v>
      </c>
      <c r="AN13" s="26" t="s">
        <v>10</v>
      </c>
      <c r="AO13" s="26" t="s">
        <v>10</v>
      </c>
      <c r="AP13" s="26" t="s">
        <v>10</v>
      </c>
      <c r="AQ13" s="26" t="s">
        <v>10</v>
      </c>
      <c r="AR13" s="26" t="s">
        <v>10</v>
      </c>
      <c r="AS13" s="26" t="s">
        <v>10</v>
      </c>
      <c r="AT13" s="26" t="s">
        <v>10</v>
      </c>
      <c r="AU13" s="26" t="s">
        <v>18</v>
      </c>
      <c r="AV13" s="26" t="s">
        <v>10</v>
      </c>
      <c r="AW13" s="26" t="s">
        <v>10</v>
      </c>
      <c r="AX13" s="26" t="s">
        <v>10</v>
      </c>
      <c r="AY13" s="26" t="s">
        <v>10</v>
      </c>
      <c r="AZ13" s="26" t="s">
        <v>10</v>
      </c>
      <c r="BA13" s="26" t="s">
        <v>10</v>
      </c>
      <c r="BB13" s="26" t="s">
        <v>10</v>
      </c>
      <c r="BC13" s="26" t="s">
        <v>10</v>
      </c>
      <c r="BD13" s="26" t="s">
        <v>10</v>
      </c>
      <c r="BE13" s="26" t="s">
        <v>17</v>
      </c>
      <c r="BF13" s="26" t="s">
        <v>18</v>
      </c>
      <c r="BG13" s="26" t="s">
        <v>22</v>
      </c>
      <c r="BH13" s="26" t="s">
        <v>10</v>
      </c>
      <c r="BI13" s="26" t="s">
        <v>10</v>
      </c>
      <c r="BJ13" s="26" t="s">
        <v>18</v>
      </c>
      <c r="BK13" s="26" t="s">
        <v>10</v>
      </c>
      <c r="BL13" s="26" t="s">
        <v>10</v>
      </c>
      <c r="BM13" s="26" t="s">
        <v>10</v>
      </c>
      <c r="BN13" s="26" t="s">
        <v>22</v>
      </c>
      <c r="BO13" s="26" t="s">
        <v>22</v>
      </c>
      <c r="BP13" s="26" t="s">
        <v>10</v>
      </c>
      <c r="BQ13" s="26" t="s">
        <v>10</v>
      </c>
      <c r="BR13" s="26" t="s">
        <v>10</v>
      </c>
      <c r="BS13" s="26" t="s">
        <v>10</v>
      </c>
    </row>
    <row r="14" spans="1:71" x14ac:dyDescent="0.3">
      <c r="A14" s="2">
        <f t="shared" si="14"/>
        <v>95</v>
      </c>
      <c r="B14" s="12">
        <f t="shared" si="14"/>
        <v>12</v>
      </c>
      <c r="C14" s="24">
        <v>44656.666666608799</v>
      </c>
      <c r="D14" s="4">
        <v>24</v>
      </c>
      <c r="E14" s="4">
        <f t="shared" si="15"/>
        <v>264</v>
      </c>
      <c r="F14" s="5">
        <f t="shared" si="16"/>
        <v>11</v>
      </c>
      <c r="G14" s="1">
        <f t="shared" si="1"/>
        <v>0</v>
      </c>
      <c r="H14" s="1">
        <f t="shared" si="2"/>
        <v>0</v>
      </c>
      <c r="I14" s="1">
        <f t="shared" si="3"/>
        <v>0</v>
      </c>
      <c r="J14" s="1">
        <f t="shared" si="4"/>
        <v>9</v>
      </c>
      <c r="K14" s="1">
        <f t="shared" si="5"/>
        <v>28</v>
      </c>
      <c r="L14" s="1">
        <f t="shared" si="6"/>
        <v>0</v>
      </c>
      <c r="M14" s="1">
        <f t="shared" si="0"/>
        <v>0</v>
      </c>
      <c r="N14" s="31"/>
      <c r="O14" s="1">
        <f t="shared" si="7"/>
        <v>1</v>
      </c>
      <c r="P14" s="1">
        <f t="shared" si="8"/>
        <v>5</v>
      </c>
      <c r="Q14" s="1">
        <f t="shared" si="9"/>
        <v>7</v>
      </c>
      <c r="R14" s="1">
        <f t="shared" si="10"/>
        <v>0</v>
      </c>
      <c r="S14" s="1">
        <f t="shared" si="11"/>
        <v>0</v>
      </c>
      <c r="T14" s="1">
        <f t="shared" si="12"/>
        <v>0</v>
      </c>
      <c r="U14" s="1">
        <f t="shared" si="13"/>
        <v>0</v>
      </c>
      <c r="V14" s="26" t="s">
        <v>11</v>
      </c>
      <c r="W14" s="26" t="s">
        <v>11</v>
      </c>
      <c r="X14" s="26" t="s">
        <v>11</v>
      </c>
      <c r="Y14" s="26" t="s">
        <v>11</v>
      </c>
      <c r="Z14" s="26" t="s">
        <v>11</v>
      </c>
      <c r="AA14" s="26" t="s">
        <v>18</v>
      </c>
      <c r="AB14" s="26" t="s">
        <v>22</v>
      </c>
      <c r="AC14" s="26" t="s">
        <v>10</v>
      </c>
      <c r="AD14" s="26" t="s">
        <v>11</v>
      </c>
      <c r="AE14" s="26" t="s">
        <v>11</v>
      </c>
      <c r="AF14" s="26" t="s">
        <v>18</v>
      </c>
      <c r="AG14" s="26" t="s">
        <v>22</v>
      </c>
      <c r="AH14" s="26" t="s">
        <v>22</v>
      </c>
      <c r="AI14" s="26" t="s">
        <v>10</v>
      </c>
      <c r="AJ14" s="26" t="s">
        <v>10</v>
      </c>
      <c r="AK14" s="26" t="s">
        <v>22</v>
      </c>
      <c r="AL14" s="26" t="s">
        <v>11</v>
      </c>
      <c r="AM14" s="26" t="s">
        <v>11</v>
      </c>
      <c r="AN14" s="26" t="s">
        <v>11</v>
      </c>
      <c r="AO14" s="26" t="s">
        <v>11</v>
      </c>
      <c r="AP14" s="26" t="s">
        <v>10</v>
      </c>
      <c r="AQ14" s="26" t="s">
        <v>11</v>
      </c>
      <c r="AR14" s="26" t="s">
        <v>11</v>
      </c>
      <c r="AS14" s="26" t="s">
        <v>11</v>
      </c>
      <c r="AT14" s="26" t="s">
        <v>11</v>
      </c>
      <c r="AU14" s="26" t="s">
        <v>18</v>
      </c>
      <c r="AV14" s="26" t="s">
        <v>10</v>
      </c>
      <c r="AW14" s="26" t="s">
        <v>10</v>
      </c>
      <c r="AX14" s="26" t="s">
        <v>10</v>
      </c>
      <c r="AY14" s="26" t="s">
        <v>11</v>
      </c>
      <c r="AZ14" s="26" t="s">
        <v>10</v>
      </c>
      <c r="BA14" s="26" t="s">
        <v>11</v>
      </c>
      <c r="BB14" s="26" t="s">
        <v>11</v>
      </c>
      <c r="BC14" s="26" t="s">
        <v>11</v>
      </c>
      <c r="BD14" s="26" t="s">
        <v>11</v>
      </c>
      <c r="BE14" s="26" t="s">
        <v>17</v>
      </c>
      <c r="BF14" s="26" t="s">
        <v>18</v>
      </c>
      <c r="BG14" s="26" t="s">
        <v>22</v>
      </c>
      <c r="BH14" s="26" t="s">
        <v>11</v>
      </c>
      <c r="BI14" s="26" t="s">
        <v>11</v>
      </c>
      <c r="BJ14" s="26" t="s">
        <v>18</v>
      </c>
      <c r="BK14" s="26" t="s">
        <v>11</v>
      </c>
      <c r="BL14" s="26" t="s">
        <v>11</v>
      </c>
      <c r="BM14" s="26" t="s">
        <v>10</v>
      </c>
      <c r="BN14" s="26" t="s">
        <v>22</v>
      </c>
      <c r="BO14" s="26" t="s">
        <v>22</v>
      </c>
      <c r="BP14" s="26" t="s">
        <v>11</v>
      </c>
      <c r="BQ14" s="26" t="s">
        <v>11</v>
      </c>
      <c r="BR14" s="26" t="s">
        <v>11</v>
      </c>
      <c r="BS14" s="26" t="s">
        <v>11</v>
      </c>
    </row>
    <row r="15" spans="1:71" x14ac:dyDescent="0.3">
      <c r="A15" s="2">
        <f t="shared" si="14"/>
        <v>96</v>
      </c>
      <c r="B15" s="12">
        <f t="shared" si="14"/>
        <v>13</v>
      </c>
      <c r="C15" s="24">
        <v>44657.666666608799</v>
      </c>
      <c r="D15" s="4">
        <v>24</v>
      </c>
      <c r="E15" s="4">
        <f t="shared" si="15"/>
        <v>288</v>
      </c>
      <c r="F15" s="5">
        <f t="shared" si="16"/>
        <v>12</v>
      </c>
      <c r="G15" s="1">
        <f t="shared" si="1"/>
        <v>0</v>
      </c>
      <c r="H15" s="1">
        <f t="shared" si="2"/>
        <v>0</v>
      </c>
      <c r="I15" s="1">
        <f t="shared" si="3"/>
        <v>0</v>
      </c>
      <c r="J15" s="1">
        <f t="shared" si="4"/>
        <v>3</v>
      </c>
      <c r="K15" s="1">
        <f t="shared" si="5"/>
        <v>34</v>
      </c>
      <c r="L15" s="1">
        <f t="shared" si="6"/>
        <v>0</v>
      </c>
      <c r="M15" s="1">
        <f t="shared" si="0"/>
        <v>0</v>
      </c>
      <c r="N15" s="31"/>
      <c r="O15" s="1">
        <f t="shared" si="7"/>
        <v>1</v>
      </c>
      <c r="P15" s="1">
        <f t="shared" si="8"/>
        <v>5</v>
      </c>
      <c r="Q15" s="1">
        <f t="shared" si="9"/>
        <v>7</v>
      </c>
      <c r="R15" s="1">
        <f t="shared" si="10"/>
        <v>0</v>
      </c>
      <c r="S15" s="1">
        <f t="shared" si="11"/>
        <v>0</v>
      </c>
      <c r="T15" s="1">
        <f t="shared" si="12"/>
        <v>0</v>
      </c>
      <c r="U15" s="1">
        <f t="shared" si="13"/>
        <v>0</v>
      </c>
      <c r="V15" s="26" t="s">
        <v>11</v>
      </c>
      <c r="W15" s="26" t="s">
        <v>11</v>
      </c>
      <c r="X15" s="26" t="s">
        <v>11</v>
      </c>
      <c r="Y15" s="26" t="s">
        <v>11</v>
      </c>
      <c r="Z15" s="26" t="s">
        <v>11</v>
      </c>
      <c r="AA15" s="26" t="s">
        <v>18</v>
      </c>
      <c r="AB15" s="26" t="s">
        <v>22</v>
      </c>
      <c r="AC15" s="26" t="s">
        <v>11</v>
      </c>
      <c r="AD15" s="26" t="s">
        <v>11</v>
      </c>
      <c r="AE15" s="26" t="s">
        <v>11</v>
      </c>
      <c r="AF15" s="26" t="s">
        <v>18</v>
      </c>
      <c r="AG15" s="26" t="s">
        <v>22</v>
      </c>
      <c r="AH15" s="26" t="s">
        <v>22</v>
      </c>
      <c r="AI15" s="26" t="s">
        <v>10</v>
      </c>
      <c r="AJ15" s="26" t="s">
        <v>11</v>
      </c>
      <c r="AK15" s="26" t="s">
        <v>22</v>
      </c>
      <c r="AL15" s="26" t="s">
        <v>11</v>
      </c>
      <c r="AM15" s="26" t="s">
        <v>11</v>
      </c>
      <c r="AN15" s="26" t="s">
        <v>11</v>
      </c>
      <c r="AO15" s="26" t="s">
        <v>11</v>
      </c>
      <c r="AP15" s="26" t="s">
        <v>11</v>
      </c>
      <c r="AQ15" s="26" t="s">
        <v>11</v>
      </c>
      <c r="AR15" s="26" t="s">
        <v>11</v>
      </c>
      <c r="AS15" s="26" t="s">
        <v>11</v>
      </c>
      <c r="AT15" s="26" t="s">
        <v>11</v>
      </c>
      <c r="AU15" s="26" t="s">
        <v>18</v>
      </c>
      <c r="AV15" s="26" t="s">
        <v>10</v>
      </c>
      <c r="AW15" s="26" t="s">
        <v>11</v>
      </c>
      <c r="AX15" s="26" t="s">
        <v>11</v>
      </c>
      <c r="AY15" s="26" t="s">
        <v>11</v>
      </c>
      <c r="AZ15" s="26" t="s">
        <v>11</v>
      </c>
      <c r="BA15" s="26" t="s">
        <v>11</v>
      </c>
      <c r="BB15" s="26" t="s">
        <v>11</v>
      </c>
      <c r="BC15" s="26" t="s">
        <v>11</v>
      </c>
      <c r="BD15" s="26" t="s">
        <v>11</v>
      </c>
      <c r="BE15" s="26" t="s">
        <v>17</v>
      </c>
      <c r="BF15" s="26" t="s">
        <v>18</v>
      </c>
      <c r="BG15" s="26" t="s">
        <v>22</v>
      </c>
      <c r="BH15" s="26" t="s">
        <v>11</v>
      </c>
      <c r="BI15" s="26" t="s">
        <v>11</v>
      </c>
      <c r="BJ15" s="26" t="s">
        <v>18</v>
      </c>
      <c r="BK15" s="26" t="s">
        <v>11</v>
      </c>
      <c r="BL15" s="26" t="s">
        <v>11</v>
      </c>
      <c r="BM15" s="26" t="s">
        <v>10</v>
      </c>
      <c r="BN15" s="26" t="s">
        <v>22</v>
      </c>
      <c r="BO15" s="26" t="s">
        <v>22</v>
      </c>
      <c r="BP15" s="26" t="s">
        <v>11</v>
      </c>
      <c r="BQ15" s="26" t="s">
        <v>11</v>
      </c>
      <c r="BR15" s="26" t="s">
        <v>11</v>
      </c>
      <c r="BS15" s="26" t="s">
        <v>11</v>
      </c>
    </row>
    <row r="16" spans="1:71" x14ac:dyDescent="0.3">
      <c r="A16" s="2">
        <f t="shared" si="14"/>
        <v>97</v>
      </c>
      <c r="B16" s="12">
        <f t="shared" si="14"/>
        <v>14</v>
      </c>
      <c r="C16" s="24">
        <v>44658.666666608799</v>
      </c>
      <c r="D16" s="4">
        <v>24</v>
      </c>
      <c r="E16" s="4">
        <f t="shared" si="15"/>
        <v>312</v>
      </c>
      <c r="F16" s="5">
        <f t="shared" si="16"/>
        <v>13</v>
      </c>
      <c r="G16" s="1">
        <f t="shared" si="1"/>
        <v>0</v>
      </c>
      <c r="H16" s="1">
        <f t="shared" si="2"/>
        <v>0</v>
      </c>
      <c r="I16" s="1">
        <f t="shared" si="3"/>
        <v>0</v>
      </c>
      <c r="J16" s="1">
        <f t="shared" si="4"/>
        <v>1</v>
      </c>
      <c r="K16" s="1">
        <f t="shared" si="5"/>
        <v>36</v>
      </c>
      <c r="L16" s="1">
        <f t="shared" si="6"/>
        <v>0</v>
      </c>
      <c r="M16" s="1">
        <f t="shared" si="0"/>
        <v>0</v>
      </c>
      <c r="N16" s="31"/>
      <c r="O16" s="1">
        <f t="shared" si="7"/>
        <v>1</v>
      </c>
      <c r="P16" s="1">
        <f t="shared" si="8"/>
        <v>5</v>
      </c>
      <c r="Q16" s="1">
        <f t="shared" si="9"/>
        <v>7</v>
      </c>
      <c r="R16" s="1">
        <f t="shared" si="10"/>
        <v>0</v>
      </c>
      <c r="S16" s="1">
        <f t="shared" si="11"/>
        <v>0</v>
      </c>
      <c r="T16" s="1">
        <f t="shared" si="12"/>
        <v>0</v>
      </c>
      <c r="U16" s="1">
        <f t="shared" si="13"/>
        <v>0</v>
      </c>
      <c r="V16" s="26" t="s">
        <v>11</v>
      </c>
      <c r="W16" s="26" t="s">
        <v>11</v>
      </c>
      <c r="X16" s="26" t="s">
        <v>11</v>
      </c>
      <c r="Y16" s="26" t="s">
        <v>11</v>
      </c>
      <c r="Z16" s="26" t="s">
        <v>11</v>
      </c>
      <c r="AA16" s="26" t="s">
        <v>18</v>
      </c>
      <c r="AB16" s="26" t="s">
        <v>22</v>
      </c>
      <c r="AC16" s="26" t="s">
        <v>11</v>
      </c>
      <c r="AD16" s="26" t="s">
        <v>11</v>
      </c>
      <c r="AE16" s="26" t="s">
        <v>11</v>
      </c>
      <c r="AF16" s="26" t="s">
        <v>18</v>
      </c>
      <c r="AG16" s="26" t="s">
        <v>22</v>
      </c>
      <c r="AH16" s="26" t="s">
        <v>22</v>
      </c>
      <c r="AI16" s="26" t="s">
        <v>11</v>
      </c>
      <c r="AJ16" s="26" t="s">
        <v>11</v>
      </c>
      <c r="AK16" s="26" t="s">
        <v>22</v>
      </c>
      <c r="AL16" s="26" t="s">
        <v>11</v>
      </c>
      <c r="AM16" s="26" t="s">
        <v>11</v>
      </c>
      <c r="AN16" s="26" t="s">
        <v>11</v>
      </c>
      <c r="AO16" s="26" t="s">
        <v>11</v>
      </c>
      <c r="AP16" s="26" t="s">
        <v>11</v>
      </c>
      <c r="AQ16" s="26" t="s">
        <v>11</v>
      </c>
      <c r="AR16" s="26" t="s">
        <v>11</v>
      </c>
      <c r="AS16" s="26" t="s">
        <v>11</v>
      </c>
      <c r="AT16" s="26" t="s">
        <v>11</v>
      </c>
      <c r="AU16" s="26" t="s">
        <v>18</v>
      </c>
      <c r="AV16" s="26" t="s">
        <v>11</v>
      </c>
      <c r="AW16" s="26" t="s">
        <v>11</v>
      </c>
      <c r="AX16" s="26" t="s">
        <v>11</v>
      </c>
      <c r="AY16" s="26" t="s">
        <v>11</v>
      </c>
      <c r="AZ16" s="26" t="s">
        <v>11</v>
      </c>
      <c r="BA16" s="26" t="s">
        <v>11</v>
      </c>
      <c r="BB16" s="26" t="s">
        <v>11</v>
      </c>
      <c r="BC16" s="26" t="s">
        <v>11</v>
      </c>
      <c r="BD16" s="26" t="s">
        <v>11</v>
      </c>
      <c r="BE16" s="26" t="s">
        <v>17</v>
      </c>
      <c r="BF16" s="26" t="s">
        <v>18</v>
      </c>
      <c r="BG16" s="26" t="s">
        <v>22</v>
      </c>
      <c r="BH16" s="26" t="s">
        <v>11</v>
      </c>
      <c r="BI16" s="26" t="s">
        <v>11</v>
      </c>
      <c r="BJ16" s="26" t="s">
        <v>18</v>
      </c>
      <c r="BK16" s="26" t="s">
        <v>11</v>
      </c>
      <c r="BL16" s="26" t="s">
        <v>11</v>
      </c>
      <c r="BM16" s="26" t="s">
        <v>10</v>
      </c>
      <c r="BN16" s="26" t="s">
        <v>22</v>
      </c>
      <c r="BO16" s="26" t="s">
        <v>22</v>
      </c>
      <c r="BP16" s="26" t="s">
        <v>11</v>
      </c>
      <c r="BQ16" s="26" t="s">
        <v>11</v>
      </c>
      <c r="BR16" s="26" t="s">
        <v>11</v>
      </c>
      <c r="BS16" s="26" t="s">
        <v>11</v>
      </c>
    </row>
    <row r="17" spans="1:71" x14ac:dyDescent="0.3">
      <c r="A17" s="2">
        <f t="shared" si="14"/>
        <v>98</v>
      </c>
      <c r="B17" s="12">
        <f t="shared" si="14"/>
        <v>15</v>
      </c>
      <c r="C17" s="24">
        <v>44659.666666608799</v>
      </c>
      <c r="D17" s="4">
        <v>24</v>
      </c>
      <c r="E17" s="4">
        <f t="shared" si="15"/>
        <v>336</v>
      </c>
      <c r="F17" s="5">
        <f t="shared" si="16"/>
        <v>14</v>
      </c>
      <c r="G17" s="1">
        <f t="shared" si="1"/>
        <v>0</v>
      </c>
      <c r="H17" s="1">
        <f t="shared" si="2"/>
        <v>0</v>
      </c>
      <c r="I17" s="1">
        <f t="shared" si="3"/>
        <v>0</v>
      </c>
      <c r="J17" s="1">
        <f t="shared" si="4"/>
        <v>1</v>
      </c>
      <c r="K17" s="1">
        <f t="shared" si="5"/>
        <v>36</v>
      </c>
      <c r="L17" s="1">
        <f t="shared" si="6"/>
        <v>0</v>
      </c>
      <c r="M17" s="1">
        <f t="shared" si="0"/>
        <v>0</v>
      </c>
      <c r="N17" s="31"/>
      <c r="O17" s="1">
        <f t="shared" si="7"/>
        <v>1</v>
      </c>
      <c r="P17" s="1">
        <f t="shared" si="8"/>
        <v>5</v>
      </c>
      <c r="Q17" s="1">
        <f t="shared" si="9"/>
        <v>7</v>
      </c>
      <c r="R17" s="1">
        <f t="shared" si="10"/>
        <v>0</v>
      </c>
      <c r="S17" s="1">
        <f t="shared" si="11"/>
        <v>0</v>
      </c>
      <c r="T17" s="1">
        <f t="shared" si="12"/>
        <v>0</v>
      </c>
      <c r="U17" s="1">
        <f t="shared" si="13"/>
        <v>0</v>
      </c>
      <c r="V17" s="26" t="s">
        <v>11</v>
      </c>
      <c r="W17" s="26" t="s">
        <v>11</v>
      </c>
      <c r="X17" s="26" t="s">
        <v>11</v>
      </c>
      <c r="Y17" s="26" t="s">
        <v>11</v>
      </c>
      <c r="Z17" s="26" t="s">
        <v>11</v>
      </c>
      <c r="AA17" s="26" t="s">
        <v>18</v>
      </c>
      <c r="AB17" s="26" t="s">
        <v>22</v>
      </c>
      <c r="AC17" s="26" t="s">
        <v>11</v>
      </c>
      <c r="AD17" s="26" t="s">
        <v>11</v>
      </c>
      <c r="AE17" s="26" t="s">
        <v>11</v>
      </c>
      <c r="AF17" s="26" t="s">
        <v>18</v>
      </c>
      <c r="AG17" s="26" t="s">
        <v>22</v>
      </c>
      <c r="AH17" s="26" t="s">
        <v>22</v>
      </c>
      <c r="AI17" s="26" t="s">
        <v>11</v>
      </c>
      <c r="AJ17" s="26" t="s">
        <v>11</v>
      </c>
      <c r="AK17" s="26" t="s">
        <v>22</v>
      </c>
      <c r="AL17" s="26" t="s">
        <v>11</v>
      </c>
      <c r="AM17" s="26" t="s">
        <v>11</v>
      </c>
      <c r="AN17" s="26" t="s">
        <v>11</v>
      </c>
      <c r="AO17" s="26" t="s">
        <v>11</v>
      </c>
      <c r="AP17" s="26" t="s">
        <v>11</v>
      </c>
      <c r="AQ17" s="26" t="s">
        <v>11</v>
      </c>
      <c r="AR17" s="26" t="s">
        <v>11</v>
      </c>
      <c r="AS17" s="26" t="s">
        <v>11</v>
      </c>
      <c r="AT17" s="26" t="s">
        <v>11</v>
      </c>
      <c r="AU17" s="26" t="s">
        <v>18</v>
      </c>
      <c r="AV17" s="26" t="s">
        <v>11</v>
      </c>
      <c r="AW17" s="26" t="s">
        <v>11</v>
      </c>
      <c r="AX17" s="26" t="s">
        <v>11</v>
      </c>
      <c r="AY17" s="26" t="s">
        <v>11</v>
      </c>
      <c r="AZ17" s="26" t="s">
        <v>11</v>
      </c>
      <c r="BA17" s="26" t="s">
        <v>11</v>
      </c>
      <c r="BB17" s="26" t="s">
        <v>11</v>
      </c>
      <c r="BC17" s="26" t="s">
        <v>11</v>
      </c>
      <c r="BD17" s="26" t="s">
        <v>11</v>
      </c>
      <c r="BE17" s="26" t="s">
        <v>17</v>
      </c>
      <c r="BF17" s="26" t="s">
        <v>18</v>
      </c>
      <c r="BG17" s="26" t="s">
        <v>22</v>
      </c>
      <c r="BH17" s="26" t="s">
        <v>11</v>
      </c>
      <c r="BI17" s="26" t="s">
        <v>11</v>
      </c>
      <c r="BJ17" s="26" t="s">
        <v>18</v>
      </c>
      <c r="BK17" s="26" t="s">
        <v>11</v>
      </c>
      <c r="BL17" s="26" t="s">
        <v>11</v>
      </c>
      <c r="BM17" s="26" t="s">
        <v>10</v>
      </c>
      <c r="BN17" s="26" t="s">
        <v>22</v>
      </c>
      <c r="BO17" s="26" t="s">
        <v>22</v>
      </c>
      <c r="BP17" s="26" t="s">
        <v>11</v>
      </c>
      <c r="BQ17" s="26" t="s">
        <v>11</v>
      </c>
      <c r="BR17" s="26" t="s">
        <v>11</v>
      </c>
      <c r="BS17" s="26" t="s">
        <v>11</v>
      </c>
    </row>
    <row r="18" spans="1:71" x14ac:dyDescent="0.3">
      <c r="A18" s="2">
        <f t="shared" si="14"/>
        <v>99</v>
      </c>
      <c r="B18" s="12">
        <f t="shared" si="14"/>
        <v>16</v>
      </c>
      <c r="C18" s="24">
        <v>44660.666666608799</v>
      </c>
      <c r="D18" s="4">
        <v>24</v>
      </c>
      <c r="E18" s="4">
        <f t="shared" si="15"/>
        <v>360</v>
      </c>
      <c r="F18" s="5">
        <f t="shared" si="16"/>
        <v>15</v>
      </c>
      <c r="G18" s="1">
        <f t="shared" si="1"/>
        <v>0</v>
      </c>
      <c r="H18" s="1">
        <f t="shared" si="2"/>
        <v>0</v>
      </c>
      <c r="I18" s="1">
        <f t="shared" si="3"/>
        <v>0</v>
      </c>
      <c r="J18" s="1">
        <f t="shared" si="4"/>
        <v>1</v>
      </c>
      <c r="K18" s="1">
        <f t="shared" si="5"/>
        <v>36</v>
      </c>
      <c r="L18" s="1">
        <f t="shared" si="6"/>
        <v>0</v>
      </c>
      <c r="M18" s="1">
        <f t="shared" si="0"/>
        <v>0</v>
      </c>
      <c r="N18" s="31"/>
      <c r="O18" s="1">
        <f t="shared" si="7"/>
        <v>1</v>
      </c>
      <c r="P18" s="1">
        <f t="shared" si="8"/>
        <v>5</v>
      </c>
      <c r="Q18" s="1">
        <f t="shared" si="9"/>
        <v>7</v>
      </c>
      <c r="R18" s="1">
        <f t="shared" si="10"/>
        <v>0</v>
      </c>
      <c r="S18" s="1">
        <f t="shared" si="11"/>
        <v>0</v>
      </c>
      <c r="T18" s="1">
        <f t="shared" si="12"/>
        <v>0</v>
      </c>
      <c r="U18" s="1">
        <f t="shared" si="13"/>
        <v>0</v>
      </c>
      <c r="V18" s="26" t="s">
        <v>11</v>
      </c>
      <c r="W18" s="26" t="s">
        <v>11</v>
      </c>
      <c r="X18" s="26" t="s">
        <v>11</v>
      </c>
      <c r="Y18" s="26" t="s">
        <v>11</v>
      </c>
      <c r="Z18" s="26" t="s">
        <v>11</v>
      </c>
      <c r="AA18" s="26" t="s">
        <v>18</v>
      </c>
      <c r="AB18" s="26" t="s">
        <v>22</v>
      </c>
      <c r="AC18" s="26" t="s">
        <v>11</v>
      </c>
      <c r="AD18" s="26" t="s">
        <v>11</v>
      </c>
      <c r="AE18" s="26" t="s">
        <v>11</v>
      </c>
      <c r="AF18" s="26" t="s">
        <v>18</v>
      </c>
      <c r="AG18" s="26" t="s">
        <v>22</v>
      </c>
      <c r="AH18" s="26" t="s">
        <v>22</v>
      </c>
      <c r="AI18" s="26" t="s">
        <v>11</v>
      </c>
      <c r="AJ18" s="26" t="s">
        <v>11</v>
      </c>
      <c r="AK18" s="26" t="s">
        <v>22</v>
      </c>
      <c r="AL18" s="26" t="s">
        <v>11</v>
      </c>
      <c r="AM18" s="26" t="s">
        <v>11</v>
      </c>
      <c r="AN18" s="26" t="s">
        <v>11</v>
      </c>
      <c r="AO18" s="26" t="s">
        <v>11</v>
      </c>
      <c r="AP18" s="26" t="s">
        <v>11</v>
      </c>
      <c r="AQ18" s="26" t="s">
        <v>11</v>
      </c>
      <c r="AR18" s="26" t="s">
        <v>11</v>
      </c>
      <c r="AS18" s="26" t="s">
        <v>11</v>
      </c>
      <c r="AT18" s="26" t="s">
        <v>11</v>
      </c>
      <c r="AU18" s="26" t="s">
        <v>18</v>
      </c>
      <c r="AV18" s="26" t="s">
        <v>11</v>
      </c>
      <c r="AW18" s="26" t="s">
        <v>11</v>
      </c>
      <c r="AX18" s="26" t="s">
        <v>11</v>
      </c>
      <c r="AY18" s="26" t="s">
        <v>11</v>
      </c>
      <c r="AZ18" s="26" t="s">
        <v>11</v>
      </c>
      <c r="BA18" s="26" t="s">
        <v>11</v>
      </c>
      <c r="BB18" s="26" t="s">
        <v>11</v>
      </c>
      <c r="BC18" s="26" t="s">
        <v>11</v>
      </c>
      <c r="BD18" s="26" t="s">
        <v>11</v>
      </c>
      <c r="BE18" s="26" t="s">
        <v>17</v>
      </c>
      <c r="BF18" s="26" t="s">
        <v>18</v>
      </c>
      <c r="BG18" s="26" t="s">
        <v>22</v>
      </c>
      <c r="BH18" s="26" t="s">
        <v>11</v>
      </c>
      <c r="BI18" s="26" t="s">
        <v>11</v>
      </c>
      <c r="BJ18" s="26" t="s">
        <v>18</v>
      </c>
      <c r="BK18" s="26" t="s">
        <v>11</v>
      </c>
      <c r="BL18" s="26" t="s">
        <v>11</v>
      </c>
      <c r="BM18" s="26" t="s">
        <v>10</v>
      </c>
      <c r="BN18" s="26" t="s">
        <v>22</v>
      </c>
      <c r="BO18" s="26" t="s">
        <v>22</v>
      </c>
      <c r="BP18" s="26" t="s">
        <v>11</v>
      </c>
      <c r="BQ18" s="26" t="s">
        <v>11</v>
      </c>
      <c r="BR18" s="26" t="s">
        <v>11</v>
      </c>
      <c r="BS18" s="26" t="s">
        <v>11</v>
      </c>
    </row>
    <row r="19" spans="1:71" x14ac:dyDescent="0.3">
      <c r="A19" s="2">
        <f t="shared" si="14"/>
        <v>100</v>
      </c>
      <c r="B19" s="12">
        <f t="shared" si="14"/>
        <v>17</v>
      </c>
      <c r="C19" s="24">
        <v>44661.666666608799</v>
      </c>
      <c r="D19" s="4">
        <v>24</v>
      </c>
      <c r="E19" s="4">
        <f t="shared" si="15"/>
        <v>384</v>
      </c>
      <c r="F19" s="5">
        <f t="shared" si="16"/>
        <v>16</v>
      </c>
      <c r="G19" s="1">
        <f t="shared" si="1"/>
        <v>0</v>
      </c>
      <c r="H19" s="1">
        <f t="shared" si="2"/>
        <v>0</v>
      </c>
      <c r="I19" s="1">
        <f t="shared" si="3"/>
        <v>0</v>
      </c>
      <c r="J19" s="1">
        <f t="shared" si="4"/>
        <v>0</v>
      </c>
      <c r="K19" s="1">
        <f t="shared" si="5"/>
        <v>37</v>
      </c>
      <c r="L19" s="1">
        <f t="shared" si="6"/>
        <v>0</v>
      </c>
      <c r="M19" s="1">
        <f t="shared" si="0"/>
        <v>0</v>
      </c>
      <c r="N19" s="31"/>
      <c r="O19" s="1">
        <f t="shared" si="7"/>
        <v>1</v>
      </c>
      <c r="P19" s="1">
        <f t="shared" si="8"/>
        <v>5</v>
      </c>
      <c r="Q19" s="1">
        <f t="shared" si="9"/>
        <v>7</v>
      </c>
      <c r="R19" s="1">
        <f t="shared" si="10"/>
        <v>0</v>
      </c>
      <c r="S19" s="1">
        <f t="shared" si="11"/>
        <v>0</v>
      </c>
      <c r="T19" s="1">
        <f t="shared" si="12"/>
        <v>0</v>
      </c>
      <c r="U19" s="1">
        <f t="shared" si="13"/>
        <v>0</v>
      </c>
      <c r="V19" s="26" t="s">
        <v>11</v>
      </c>
      <c r="W19" s="26" t="s">
        <v>11</v>
      </c>
      <c r="X19" s="26" t="s">
        <v>11</v>
      </c>
      <c r="Y19" s="26" t="s">
        <v>11</v>
      </c>
      <c r="Z19" s="26" t="s">
        <v>11</v>
      </c>
      <c r="AA19" s="26" t="s">
        <v>18</v>
      </c>
      <c r="AB19" s="26" t="s">
        <v>22</v>
      </c>
      <c r="AC19" s="26" t="s">
        <v>11</v>
      </c>
      <c r="AD19" s="26" t="s">
        <v>11</v>
      </c>
      <c r="AE19" s="26" t="s">
        <v>11</v>
      </c>
      <c r="AF19" s="26" t="s">
        <v>18</v>
      </c>
      <c r="AG19" s="26" t="s">
        <v>22</v>
      </c>
      <c r="AH19" s="26" t="s">
        <v>22</v>
      </c>
      <c r="AI19" s="26" t="s">
        <v>11</v>
      </c>
      <c r="AJ19" s="26" t="s">
        <v>11</v>
      </c>
      <c r="AK19" s="26" t="s">
        <v>22</v>
      </c>
      <c r="AL19" s="26" t="s">
        <v>11</v>
      </c>
      <c r="AM19" s="26" t="s">
        <v>11</v>
      </c>
      <c r="AN19" s="26" t="s">
        <v>11</v>
      </c>
      <c r="AO19" s="26" t="s">
        <v>11</v>
      </c>
      <c r="AP19" s="26" t="s">
        <v>11</v>
      </c>
      <c r="AQ19" s="26" t="s">
        <v>11</v>
      </c>
      <c r="AR19" s="26" t="s">
        <v>11</v>
      </c>
      <c r="AS19" s="26" t="s">
        <v>11</v>
      </c>
      <c r="AT19" s="26" t="s">
        <v>11</v>
      </c>
      <c r="AU19" s="26" t="s">
        <v>18</v>
      </c>
      <c r="AV19" s="26" t="s">
        <v>11</v>
      </c>
      <c r="AW19" s="26" t="s">
        <v>11</v>
      </c>
      <c r="AX19" s="26" t="s">
        <v>11</v>
      </c>
      <c r="AY19" s="26" t="s">
        <v>11</v>
      </c>
      <c r="AZ19" s="26" t="s">
        <v>11</v>
      </c>
      <c r="BA19" s="26" t="s">
        <v>11</v>
      </c>
      <c r="BB19" s="26" t="s">
        <v>11</v>
      </c>
      <c r="BC19" s="26" t="s">
        <v>11</v>
      </c>
      <c r="BD19" s="26" t="s">
        <v>11</v>
      </c>
      <c r="BE19" s="26" t="s">
        <v>17</v>
      </c>
      <c r="BF19" s="26" t="s">
        <v>18</v>
      </c>
      <c r="BG19" s="26" t="s">
        <v>22</v>
      </c>
      <c r="BH19" s="26" t="s">
        <v>11</v>
      </c>
      <c r="BI19" s="26" t="s">
        <v>11</v>
      </c>
      <c r="BJ19" s="26" t="s">
        <v>18</v>
      </c>
      <c r="BK19" s="26" t="s">
        <v>11</v>
      </c>
      <c r="BL19" s="26" t="s">
        <v>11</v>
      </c>
      <c r="BM19" s="26" t="s">
        <v>11</v>
      </c>
      <c r="BN19" s="26" t="s">
        <v>22</v>
      </c>
      <c r="BO19" s="26" t="s">
        <v>22</v>
      </c>
      <c r="BP19" s="26" t="s">
        <v>11</v>
      </c>
      <c r="BQ19" s="26" t="s">
        <v>11</v>
      </c>
      <c r="BR19" s="26" t="s">
        <v>11</v>
      </c>
      <c r="BS19" s="26" t="s">
        <v>11</v>
      </c>
    </row>
    <row r="20" spans="1:71" x14ac:dyDescent="0.3">
      <c r="A20" s="2">
        <f t="shared" si="14"/>
        <v>101</v>
      </c>
      <c r="B20" s="12">
        <f t="shared" si="14"/>
        <v>18</v>
      </c>
      <c r="C20" s="24">
        <v>44662.666666608799</v>
      </c>
      <c r="D20" s="4">
        <v>24</v>
      </c>
      <c r="E20" s="4">
        <f t="shared" si="15"/>
        <v>408</v>
      </c>
      <c r="F20" s="5">
        <f t="shared" si="16"/>
        <v>17</v>
      </c>
      <c r="G20" s="1">
        <f t="shared" si="1"/>
        <v>0</v>
      </c>
      <c r="H20" s="1">
        <f t="shared" si="2"/>
        <v>0</v>
      </c>
      <c r="I20" s="1">
        <f t="shared" si="3"/>
        <v>0</v>
      </c>
      <c r="J20" s="1">
        <f t="shared" si="4"/>
        <v>0</v>
      </c>
      <c r="K20" s="1">
        <f t="shared" si="5"/>
        <v>37</v>
      </c>
      <c r="L20" s="1">
        <f t="shared" si="6"/>
        <v>0</v>
      </c>
      <c r="M20" s="1">
        <f t="shared" si="0"/>
        <v>0</v>
      </c>
      <c r="N20" s="31"/>
      <c r="O20" s="1">
        <f t="shared" si="7"/>
        <v>1</v>
      </c>
      <c r="P20" s="1">
        <f t="shared" si="8"/>
        <v>5</v>
      </c>
      <c r="Q20" s="1">
        <f t="shared" si="9"/>
        <v>7</v>
      </c>
      <c r="R20" s="1">
        <f t="shared" si="10"/>
        <v>0</v>
      </c>
      <c r="S20" s="1">
        <f t="shared" si="11"/>
        <v>0</v>
      </c>
      <c r="T20" s="1">
        <f t="shared" si="12"/>
        <v>0</v>
      </c>
      <c r="U20" s="1">
        <f t="shared" si="13"/>
        <v>0</v>
      </c>
      <c r="V20" s="26" t="s">
        <v>11</v>
      </c>
      <c r="W20" s="26" t="s">
        <v>11</v>
      </c>
      <c r="X20" s="26" t="s">
        <v>11</v>
      </c>
      <c r="Y20" s="26" t="s">
        <v>11</v>
      </c>
      <c r="Z20" s="26" t="s">
        <v>11</v>
      </c>
      <c r="AA20" s="26" t="s">
        <v>18</v>
      </c>
      <c r="AB20" s="26" t="s">
        <v>22</v>
      </c>
      <c r="AC20" s="26" t="s">
        <v>11</v>
      </c>
      <c r="AD20" s="26" t="s">
        <v>11</v>
      </c>
      <c r="AE20" s="26" t="s">
        <v>11</v>
      </c>
      <c r="AF20" s="26" t="s">
        <v>18</v>
      </c>
      <c r="AG20" s="26" t="s">
        <v>22</v>
      </c>
      <c r="AH20" s="26" t="s">
        <v>22</v>
      </c>
      <c r="AI20" s="26" t="s">
        <v>11</v>
      </c>
      <c r="AJ20" s="26" t="s">
        <v>11</v>
      </c>
      <c r="AK20" s="26" t="s">
        <v>22</v>
      </c>
      <c r="AL20" s="26" t="s">
        <v>11</v>
      </c>
      <c r="AM20" s="26" t="s">
        <v>11</v>
      </c>
      <c r="AN20" s="26" t="s">
        <v>11</v>
      </c>
      <c r="AO20" s="26" t="s">
        <v>11</v>
      </c>
      <c r="AP20" s="26" t="s">
        <v>11</v>
      </c>
      <c r="AQ20" s="26" t="s">
        <v>11</v>
      </c>
      <c r="AR20" s="26" t="s">
        <v>11</v>
      </c>
      <c r="AS20" s="26" t="s">
        <v>11</v>
      </c>
      <c r="AT20" s="26" t="s">
        <v>11</v>
      </c>
      <c r="AU20" s="26" t="s">
        <v>18</v>
      </c>
      <c r="AV20" s="26" t="s">
        <v>11</v>
      </c>
      <c r="AW20" s="26" t="s">
        <v>11</v>
      </c>
      <c r="AX20" s="26" t="s">
        <v>11</v>
      </c>
      <c r="AY20" s="26" t="s">
        <v>11</v>
      </c>
      <c r="AZ20" s="26" t="s">
        <v>11</v>
      </c>
      <c r="BA20" s="26" t="s">
        <v>11</v>
      </c>
      <c r="BB20" s="26" t="s">
        <v>11</v>
      </c>
      <c r="BC20" s="26" t="s">
        <v>11</v>
      </c>
      <c r="BD20" s="26" t="s">
        <v>11</v>
      </c>
      <c r="BE20" s="26" t="s">
        <v>17</v>
      </c>
      <c r="BF20" s="26" t="s">
        <v>18</v>
      </c>
      <c r="BG20" s="26" t="s">
        <v>22</v>
      </c>
      <c r="BH20" s="26" t="s">
        <v>11</v>
      </c>
      <c r="BI20" s="26" t="s">
        <v>11</v>
      </c>
      <c r="BJ20" s="26" t="s">
        <v>18</v>
      </c>
      <c r="BK20" s="26" t="s">
        <v>11</v>
      </c>
      <c r="BL20" s="26" t="s">
        <v>11</v>
      </c>
      <c r="BM20" s="26" t="s">
        <v>11</v>
      </c>
      <c r="BN20" s="26" t="s">
        <v>22</v>
      </c>
      <c r="BO20" s="26" t="s">
        <v>22</v>
      </c>
      <c r="BP20" s="26" t="s">
        <v>11</v>
      </c>
      <c r="BQ20" s="26" t="s">
        <v>11</v>
      </c>
      <c r="BR20" s="26" t="s">
        <v>11</v>
      </c>
      <c r="BS20" s="26" t="s">
        <v>11</v>
      </c>
    </row>
    <row r="21" spans="1:71" x14ac:dyDescent="0.3">
      <c r="A21" s="2">
        <f t="shared" ref="A21:B32" si="17">A20+1</f>
        <v>102</v>
      </c>
      <c r="B21" s="12">
        <f t="shared" si="17"/>
        <v>19</v>
      </c>
      <c r="C21" s="24">
        <v>44663.666666608799</v>
      </c>
      <c r="D21" s="4">
        <v>24</v>
      </c>
      <c r="E21" s="4">
        <f t="shared" si="15"/>
        <v>432</v>
      </c>
      <c r="F21" s="5">
        <f t="shared" si="16"/>
        <v>18</v>
      </c>
      <c r="G21" s="1">
        <f t="shared" si="1"/>
        <v>0</v>
      </c>
      <c r="H21" s="1">
        <f t="shared" si="2"/>
        <v>0</v>
      </c>
      <c r="I21" s="1">
        <f t="shared" si="3"/>
        <v>0</v>
      </c>
      <c r="J21" s="1">
        <f t="shared" si="4"/>
        <v>0</v>
      </c>
      <c r="K21" s="1">
        <f t="shared" si="5"/>
        <v>37</v>
      </c>
      <c r="L21" s="1">
        <f t="shared" si="6"/>
        <v>0</v>
      </c>
      <c r="M21" s="1">
        <f t="shared" si="0"/>
        <v>0</v>
      </c>
      <c r="N21" s="31"/>
      <c r="O21" s="1">
        <f t="shared" si="7"/>
        <v>1</v>
      </c>
      <c r="P21" s="1">
        <f t="shared" si="8"/>
        <v>5</v>
      </c>
      <c r="Q21" s="1">
        <f t="shared" si="9"/>
        <v>7</v>
      </c>
      <c r="R21" s="1">
        <f t="shared" si="10"/>
        <v>0</v>
      </c>
      <c r="S21" s="1">
        <f t="shared" si="11"/>
        <v>0</v>
      </c>
      <c r="T21" s="1">
        <f t="shared" si="12"/>
        <v>0</v>
      </c>
      <c r="U21" s="1">
        <f t="shared" si="13"/>
        <v>0</v>
      </c>
      <c r="V21" s="26" t="s">
        <v>11</v>
      </c>
      <c r="W21" s="26" t="s">
        <v>11</v>
      </c>
      <c r="X21" s="26" t="s">
        <v>11</v>
      </c>
      <c r="Y21" s="26" t="s">
        <v>11</v>
      </c>
      <c r="Z21" s="26" t="s">
        <v>11</v>
      </c>
      <c r="AA21" s="26" t="s">
        <v>18</v>
      </c>
      <c r="AB21" s="26" t="s">
        <v>22</v>
      </c>
      <c r="AC21" s="26" t="s">
        <v>11</v>
      </c>
      <c r="AD21" s="26" t="s">
        <v>11</v>
      </c>
      <c r="AE21" s="26" t="s">
        <v>11</v>
      </c>
      <c r="AF21" s="26" t="s">
        <v>18</v>
      </c>
      <c r="AG21" s="26" t="s">
        <v>22</v>
      </c>
      <c r="AH21" s="26" t="s">
        <v>22</v>
      </c>
      <c r="AI21" s="26" t="s">
        <v>11</v>
      </c>
      <c r="AJ21" s="26" t="s">
        <v>11</v>
      </c>
      <c r="AK21" s="26" t="s">
        <v>22</v>
      </c>
      <c r="AL21" s="26" t="s">
        <v>11</v>
      </c>
      <c r="AM21" s="26" t="s">
        <v>11</v>
      </c>
      <c r="AN21" s="26" t="s">
        <v>11</v>
      </c>
      <c r="AO21" s="26" t="s">
        <v>11</v>
      </c>
      <c r="AP21" s="26" t="s">
        <v>11</v>
      </c>
      <c r="AQ21" s="26" t="s">
        <v>11</v>
      </c>
      <c r="AR21" s="26" t="s">
        <v>11</v>
      </c>
      <c r="AS21" s="26" t="s">
        <v>11</v>
      </c>
      <c r="AT21" s="26" t="s">
        <v>11</v>
      </c>
      <c r="AU21" s="26" t="s">
        <v>18</v>
      </c>
      <c r="AV21" s="26" t="s">
        <v>11</v>
      </c>
      <c r="AW21" s="26" t="s">
        <v>11</v>
      </c>
      <c r="AX21" s="26" t="s">
        <v>11</v>
      </c>
      <c r="AY21" s="26" t="s">
        <v>11</v>
      </c>
      <c r="AZ21" s="26" t="s">
        <v>11</v>
      </c>
      <c r="BA21" s="26" t="s">
        <v>11</v>
      </c>
      <c r="BB21" s="26" t="s">
        <v>11</v>
      </c>
      <c r="BC21" s="26" t="s">
        <v>11</v>
      </c>
      <c r="BD21" s="26" t="s">
        <v>11</v>
      </c>
      <c r="BE21" s="26" t="s">
        <v>17</v>
      </c>
      <c r="BF21" s="26" t="s">
        <v>18</v>
      </c>
      <c r="BG21" s="26" t="s">
        <v>22</v>
      </c>
      <c r="BH21" s="26" t="s">
        <v>11</v>
      </c>
      <c r="BI21" s="26" t="s">
        <v>11</v>
      </c>
      <c r="BJ21" s="26" t="s">
        <v>18</v>
      </c>
      <c r="BK21" s="26" t="s">
        <v>11</v>
      </c>
      <c r="BL21" s="26" t="s">
        <v>11</v>
      </c>
      <c r="BM21" s="26" t="s">
        <v>11</v>
      </c>
      <c r="BN21" s="26" t="s">
        <v>22</v>
      </c>
      <c r="BO21" s="26" t="s">
        <v>22</v>
      </c>
      <c r="BP21" s="26" t="s">
        <v>11</v>
      </c>
      <c r="BQ21" s="26" t="s">
        <v>11</v>
      </c>
      <c r="BR21" s="26" t="s">
        <v>11</v>
      </c>
      <c r="BS21" s="26" t="s">
        <v>11</v>
      </c>
    </row>
    <row r="22" spans="1:71" x14ac:dyDescent="0.3">
      <c r="A22" s="2">
        <f t="shared" si="17"/>
        <v>103</v>
      </c>
      <c r="B22" s="12">
        <f t="shared" si="17"/>
        <v>20</v>
      </c>
      <c r="C22" s="24">
        <v>44664.666666608799</v>
      </c>
      <c r="D22" s="4">
        <v>24</v>
      </c>
      <c r="E22" s="4">
        <f t="shared" si="15"/>
        <v>456</v>
      </c>
      <c r="F22" s="5">
        <f t="shared" si="16"/>
        <v>19</v>
      </c>
      <c r="G22" s="1">
        <f t="shared" si="1"/>
        <v>0</v>
      </c>
      <c r="H22" s="1">
        <f t="shared" si="2"/>
        <v>0</v>
      </c>
      <c r="I22" s="1">
        <f t="shared" si="3"/>
        <v>0</v>
      </c>
      <c r="J22" s="1">
        <f t="shared" si="4"/>
        <v>0</v>
      </c>
      <c r="K22" s="1">
        <f t="shared" si="5"/>
        <v>37</v>
      </c>
      <c r="L22" s="1">
        <f t="shared" si="6"/>
        <v>0</v>
      </c>
      <c r="M22" s="1">
        <f t="shared" si="0"/>
        <v>0</v>
      </c>
      <c r="N22" s="31"/>
      <c r="O22" s="1">
        <f t="shared" si="7"/>
        <v>1</v>
      </c>
      <c r="P22" s="1">
        <f t="shared" si="8"/>
        <v>5</v>
      </c>
      <c r="Q22" s="1">
        <f t="shared" si="9"/>
        <v>7</v>
      </c>
      <c r="R22" s="1">
        <f t="shared" si="10"/>
        <v>0</v>
      </c>
      <c r="S22" s="1">
        <f t="shared" si="11"/>
        <v>0</v>
      </c>
      <c r="T22" s="1">
        <f t="shared" si="12"/>
        <v>0</v>
      </c>
      <c r="U22" s="1">
        <f t="shared" si="13"/>
        <v>0</v>
      </c>
      <c r="V22" s="26" t="s">
        <v>11</v>
      </c>
      <c r="W22" s="26" t="s">
        <v>11</v>
      </c>
      <c r="X22" s="26" t="s">
        <v>11</v>
      </c>
      <c r="Y22" s="26" t="s">
        <v>11</v>
      </c>
      <c r="Z22" s="26" t="s">
        <v>11</v>
      </c>
      <c r="AA22" s="26" t="s">
        <v>18</v>
      </c>
      <c r="AB22" s="26" t="s">
        <v>22</v>
      </c>
      <c r="AC22" s="26" t="s">
        <v>11</v>
      </c>
      <c r="AD22" s="26" t="s">
        <v>11</v>
      </c>
      <c r="AE22" s="26" t="s">
        <v>11</v>
      </c>
      <c r="AF22" s="26" t="s">
        <v>18</v>
      </c>
      <c r="AG22" s="26" t="s">
        <v>22</v>
      </c>
      <c r="AH22" s="26" t="s">
        <v>22</v>
      </c>
      <c r="AI22" s="26" t="s">
        <v>11</v>
      </c>
      <c r="AJ22" s="26" t="s">
        <v>11</v>
      </c>
      <c r="AK22" s="26" t="s">
        <v>22</v>
      </c>
      <c r="AL22" s="26" t="s">
        <v>11</v>
      </c>
      <c r="AM22" s="26" t="s">
        <v>11</v>
      </c>
      <c r="AN22" s="26" t="s">
        <v>11</v>
      </c>
      <c r="AO22" s="26" t="s">
        <v>11</v>
      </c>
      <c r="AP22" s="26" t="s">
        <v>11</v>
      </c>
      <c r="AQ22" s="26" t="s">
        <v>11</v>
      </c>
      <c r="AR22" s="26" t="s">
        <v>11</v>
      </c>
      <c r="AS22" s="26" t="s">
        <v>11</v>
      </c>
      <c r="AT22" s="26" t="s">
        <v>11</v>
      </c>
      <c r="AU22" s="26" t="s">
        <v>18</v>
      </c>
      <c r="AV22" s="26" t="s">
        <v>11</v>
      </c>
      <c r="AW22" s="26" t="s">
        <v>11</v>
      </c>
      <c r="AX22" s="26" t="s">
        <v>11</v>
      </c>
      <c r="AY22" s="26" t="s">
        <v>11</v>
      </c>
      <c r="AZ22" s="26" t="s">
        <v>11</v>
      </c>
      <c r="BA22" s="26" t="s">
        <v>11</v>
      </c>
      <c r="BB22" s="26" t="s">
        <v>11</v>
      </c>
      <c r="BC22" s="26" t="s">
        <v>11</v>
      </c>
      <c r="BD22" s="26" t="s">
        <v>11</v>
      </c>
      <c r="BE22" s="26" t="s">
        <v>17</v>
      </c>
      <c r="BF22" s="26" t="s">
        <v>18</v>
      </c>
      <c r="BG22" s="26" t="s">
        <v>22</v>
      </c>
      <c r="BH22" s="26" t="s">
        <v>11</v>
      </c>
      <c r="BI22" s="26" t="s">
        <v>11</v>
      </c>
      <c r="BJ22" s="26" t="s">
        <v>18</v>
      </c>
      <c r="BK22" s="26" t="s">
        <v>11</v>
      </c>
      <c r="BL22" s="26" t="s">
        <v>11</v>
      </c>
      <c r="BM22" s="26" t="s">
        <v>11</v>
      </c>
      <c r="BN22" s="26" t="s">
        <v>22</v>
      </c>
      <c r="BO22" s="26" t="s">
        <v>22</v>
      </c>
      <c r="BP22" s="26" t="s">
        <v>11</v>
      </c>
      <c r="BQ22" s="26" t="s">
        <v>11</v>
      </c>
      <c r="BR22" s="26" t="s">
        <v>11</v>
      </c>
      <c r="BS22" s="26" t="s">
        <v>11</v>
      </c>
    </row>
    <row r="23" spans="1:71" x14ac:dyDescent="0.3">
      <c r="A23" s="2">
        <f t="shared" si="17"/>
        <v>104</v>
      </c>
      <c r="B23" s="12">
        <f t="shared" si="17"/>
        <v>21</v>
      </c>
      <c r="C23" s="24">
        <v>44665.666666608799</v>
      </c>
      <c r="D23" s="4">
        <v>24</v>
      </c>
      <c r="E23" s="4">
        <f t="shared" si="15"/>
        <v>480</v>
      </c>
      <c r="F23" s="5">
        <f t="shared" si="16"/>
        <v>20</v>
      </c>
      <c r="G23" s="1">
        <f t="shared" si="1"/>
        <v>0</v>
      </c>
      <c r="H23" s="1">
        <f t="shared" si="2"/>
        <v>0</v>
      </c>
      <c r="I23" s="1">
        <f t="shared" si="3"/>
        <v>0</v>
      </c>
      <c r="J23" s="1">
        <f t="shared" si="4"/>
        <v>0</v>
      </c>
      <c r="K23" s="1">
        <f t="shared" si="5"/>
        <v>30</v>
      </c>
      <c r="L23" s="1">
        <f t="shared" si="6"/>
        <v>0</v>
      </c>
      <c r="M23" s="1">
        <f t="shared" si="0"/>
        <v>0</v>
      </c>
      <c r="N23" s="31"/>
      <c r="O23" s="1">
        <f t="shared" si="7"/>
        <v>1</v>
      </c>
      <c r="P23" s="1">
        <f t="shared" si="8"/>
        <v>5</v>
      </c>
      <c r="Q23" s="1">
        <f t="shared" si="9"/>
        <v>7</v>
      </c>
      <c r="R23" s="1">
        <f t="shared" si="10"/>
        <v>0</v>
      </c>
      <c r="S23" s="1">
        <f>COUNTIF($V23:$BS23, "P_D")</f>
        <v>7</v>
      </c>
      <c r="T23" s="1">
        <f t="shared" si="12"/>
        <v>0</v>
      </c>
      <c r="U23" s="1">
        <f t="shared" si="13"/>
        <v>0</v>
      </c>
      <c r="V23" s="26" t="s">
        <v>26</v>
      </c>
      <c r="W23" s="26" t="s">
        <v>26</v>
      </c>
      <c r="X23" s="26" t="s">
        <v>26</v>
      </c>
      <c r="Y23" s="26" t="s">
        <v>26</v>
      </c>
      <c r="Z23" s="26" t="s">
        <v>26</v>
      </c>
      <c r="AA23" s="26" t="s">
        <v>18</v>
      </c>
      <c r="AB23" s="26" t="s">
        <v>22</v>
      </c>
      <c r="AC23" s="26" t="s">
        <v>11</v>
      </c>
      <c r="AD23" s="26" t="s">
        <v>11</v>
      </c>
      <c r="AE23" s="26" t="s">
        <v>26</v>
      </c>
      <c r="AF23" s="26" t="s">
        <v>18</v>
      </c>
      <c r="AG23" s="26" t="s">
        <v>22</v>
      </c>
      <c r="AH23" s="26" t="s">
        <v>22</v>
      </c>
      <c r="AI23" s="26" t="s">
        <v>11</v>
      </c>
      <c r="AJ23" s="26" t="s">
        <v>11</v>
      </c>
      <c r="AK23" s="26" t="s">
        <v>22</v>
      </c>
      <c r="AL23" s="26" t="s">
        <v>11</v>
      </c>
      <c r="AM23" s="26" t="s">
        <v>11</v>
      </c>
      <c r="AN23" s="26" t="s">
        <v>11</v>
      </c>
      <c r="AO23" s="26" t="s">
        <v>11</v>
      </c>
      <c r="AP23" s="26" t="s">
        <v>11</v>
      </c>
      <c r="AQ23" s="26" t="s">
        <v>26</v>
      </c>
      <c r="AR23" s="26" t="s">
        <v>11</v>
      </c>
      <c r="AS23" s="26" t="s">
        <v>11</v>
      </c>
      <c r="AT23" s="26" t="s">
        <v>11</v>
      </c>
      <c r="AU23" s="26" t="s">
        <v>18</v>
      </c>
      <c r="AV23" s="26" t="s">
        <v>11</v>
      </c>
      <c r="AW23" s="26" t="s">
        <v>11</v>
      </c>
      <c r="AX23" s="26" t="s">
        <v>11</v>
      </c>
      <c r="AY23" s="26" t="s">
        <v>11</v>
      </c>
      <c r="AZ23" s="26" t="s">
        <v>11</v>
      </c>
      <c r="BA23" s="26" t="s">
        <v>11</v>
      </c>
      <c r="BB23" s="26" t="s">
        <v>11</v>
      </c>
      <c r="BC23" s="26" t="s">
        <v>11</v>
      </c>
      <c r="BD23" s="26" t="s">
        <v>11</v>
      </c>
      <c r="BE23" s="26" t="s">
        <v>17</v>
      </c>
      <c r="BF23" s="26" t="s">
        <v>18</v>
      </c>
      <c r="BG23" s="26" t="s">
        <v>22</v>
      </c>
      <c r="BH23" s="26" t="s">
        <v>11</v>
      </c>
      <c r="BI23" s="26" t="s">
        <v>11</v>
      </c>
      <c r="BJ23" s="26" t="s">
        <v>18</v>
      </c>
      <c r="BK23" s="26" t="s">
        <v>11</v>
      </c>
      <c r="BL23" s="26" t="s">
        <v>11</v>
      </c>
      <c r="BM23" s="26" t="s">
        <v>11</v>
      </c>
      <c r="BN23" s="26" t="s">
        <v>22</v>
      </c>
      <c r="BO23" s="26" t="s">
        <v>22</v>
      </c>
      <c r="BP23" s="26" t="s">
        <v>11</v>
      </c>
      <c r="BQ23" s="26" t="s">
        <v>11</v>
      </c>
      <c r="BR23" s="26" t="s">
        <v>11</v>
      </c>
      <c r="BS23" s="26" t="s">
        <v>11</v>
      </c>
    </row>
    <row r="24" spans="1:71" x14ac:dyDescent="0.3">
      <c r="A24" s="2">
        <f t="shared" si="17"/>
        <v>105</v>
      </c>
      <c r="B24" s="12">
        <f t="shared" si="17"/>
        <v>22</v>
      </c>
      <c r="C24" s="24">
        <v>44666.666666608799</v>
      </c>
      <c r="D24" s="4">
        <v>24</v>
      </c>
      <c r="E24" s="4">
        <f t="shared" si="15"/>
        <v>504</v>
      </c>
      <c r="F24" s="5">
        <f t="shared" si="16"/>
        <v>21</v>
      </c>
      <c r="G24" s="1">
        <f t="shared" si="1"/>
        <v>0</v>
      </c>
      <c r="H24" s="1">
        <f t="shared" si="2"/>
        <v>0</v>
      </c>
      <c r="I24" s="1">
        <f t="shared" si="3"/>
        <v>0</v>
      </c>
      <c r="J24" s="1">
        <f t="shared" si="4"/>
        <v>0</v>
      </c>
      <c r="K24" s="1">
        <f t="shared" si="5"/>
        <v>27</v>
      </c>
      <c r="L24" s="1">
        <f t="shared" si="6"/>
        <v>0</v>
      </c>
      <c r="M24" s="1">
        <f t="shared" si="0"/>
        <v>0</v>
      </c>
      <c r="N24" s="31"/>
      <c r="O24" s="1">
        <f t="shared" si="7"/>
        <v>1</v>
      </c>
      <c r="P24" s="1">
        <f t="shared" si="8"/>
        <v>5</v>
      </c>
      <c r="Q24" s="1">
        <f t="shared" si="9"/>
        <v>7</v>
      </c>
      <c r="R24" s="1">
        <f t="shared" si="10"/>
        <v>0</v>
      </c>
      <c r="S24" s="1">
        <f t="shared" si="11"/>
        <v>10</v>
      </c>
      <c r="T24" s="1">
        <f t="shared" si="12"/>
        <v>0</v>
      </c>
      <c r="U24" s="1">
        <f t="shared" si="13"/>
        <v>0</v>
      </c>
      <c r="V24" s="26" t="s">
        <v>26</v>
      </c>
      <c r="W24" s="26" t="s">
        <v>26</v>
      </c>
      <c r="X24" s="26" t="s">
        <v>26</v>
      </c>
      <c r="Y24" s="26" t="s">
        <v>26</v>
      </c>
      <c r="Z24" s="26" t="s">
        <v>26</v>
      </c>
      <c r="AA24" s="26" t="s">
        <v>18</v>
      </c>
      <c r="AB24" s="26" t="s">
        <v>22</v>
      </c>
      <c r="AC24" s="26" t="s">
        <v>11</v>
      </c>
      <c r="AD24" s="26" t="s">
        <v>26</v>
      </c>
      <c r="AE24" s="26" t="s">
        <v>26</v>
      </c>
      <c r="AF24" s="26" t="s">
        <v>18</v>
      </c>
      <c r="AG24" s="26" t="s">
        <v>22</v>
      </c>
      <c r="AH24" s="26" t="s">
        <v>22</v>
      </c>
      <c r="AI24" s="26" t="s">
        <v>11</v>
      </c>
      <c r="AJ24" s="26" t="s">
        <v>11</v>
      </c>
      <c r="AK24" s="26" t="s">
        <v>22</v>
      </c>
      <c r="AL24" s="26" t="s">
        <v>11</v>
      </c>
      <c r="AM24" s="26" t="s">
        <v>11</v>
      </c>
      <c r="AN24" s="26" t="s">
        <v>11</v>
      </c>
      <c r="AO24" s="26" t="s">
        <v>11</v>
      </c>
      <c r="AP24" s="26" t="s">
        <v>11</v>
      </c>
      <c r="AQ24" s="26" t="s">
        <v>26</v>
      </c>
      <c r="AR24" s="26" t="s">
        <v>11</v>
      </c>
      <c r="AS24" s="26" t="s">
        <v>11</v>
      </c>
      <c r="AT24" s="26" t="s">
        <v>11</v>
      </c>
      <c r="AU24" s="26" t="s">
        <v>18</v>
      </c>
      <c r="AV24" s="26" t="s">
        <v>11</v>
      </c>
      <c r="AW24" s="26" t="s">
        <v>11</v>
      </c>
      <c r="AX24" s="26" t="s">
        <v>11</v>
      </c>
      <c r="AY24" s="26" t="s">
        <v>26</v>
      </c>
      <c r="AZ24" s="26" t="s">
        <v>11</v>
      </c>
      <c r="BA24" s="26" t="s">
        <v>11</v>
      </c>
      <c r="BB24" s="26" t="s">
        <v>11</v>
      </c>
      <c r="BC24" s="26" t="s">
        <v>11</v>
      </c>
      <c r="BD24" s="26" t="s">
        <v>26</v>
      </c>
      <c r="BE24" s="26" t="s">
        <v>17</v>
      </c>
      <c r="BF24" s="26" t="s">
        <v>18</v>
      </c>
      <c r="BG24" s="26" t="s">
        <v>22</v>
      </c>
      <c r="BH24" s="26" t="s">
        <v>11</v>
      </c>
      <c r="BI24" s="26" t="s">
        <v>11</v>
      </c>
      <c r="BJ24" s="26" t="s">
        <v>18</v>
      </c>
      <c r="BK24" s="26" t="s">
        <v>11</v>
      </c>
      <c r="BL24" s="26" t="s">
        <v>11</v>
      </c>
      <c r="BM24" s="26" t="s">
        <v>11</v>
      </c>
      <c r="BN24" s="26" t="s">
        <v>22</v>
      </c>
      <c r="BO24" s="26" t="s">
        <v>22</v>
      </c>
      <c r="BP24" s="26" t="s">
        <v>11</v>
      </c>
      <c r="BQ24" s="26" t="s">
        <v>11</v>
      </c>
      <c r="BR24" s="26" t="s">
        <v>11</v>
      </c>
      <c r="BS24" s="26" t="s">
        <v>11</v>
      </c>
    </row>
    <row r="25" spans="1:71" x14ac:dyDescent="0.3">
      <c r="A25" s="2">
        <f t="shared" si="17"/>
        <v>106</v>
      </c>
      <c r="B25" s="12">
        <f t="shared" si="17"/>
        <v>23</v>
      </c>
      <c r="C25" s="24">
        <v>44667.666666608799</v>
      </c>
      <c r="D25" s="4">
        <v>24</v>
      </c>
      <c r="E25" s="4">
        <f t="shared" si="15"/>
        <v>528</v>
      </c>
      <c r="F25" s="5">
        <f t="shared" si="16"/>
        <v>22</v>
      </c>
      <c r="G25" s="1">
        <f t="shared" si="1"/>
        <v>0</v>
      </c>
      <c r="H25" s="1">
        <f t="shared" si="2"/>
        <v>0</v>
      </c>
      <c r="I25" s="1">
        <f t="shared" si="3"/>
        <v>0</v>
      </c>
      <c r="J25" s="1">
        <f t="shared" si="4"/>
        <v>0</v>
      </c>
      <c r="K25" s="1">
        <f t="shared" si="5"/>
        <v>19</v>
      </c>
      <c r="L25" s="1">
        <f t="shared" si="6"/>
        <v>0</v>
      </c>
      <c r="M25" s="1">
        <f>COUNTIF($V25:$BS25, "AF")</f>
        <v>0</v>
      </c>
      <c r="N25" s="31"/>
      <c r="O25" s="1">
        <f t="shared" si="7"/>
        <v>1</v>
      </c>
      <c r="P25" s="1">
        <f t="shared" si="8"/>
        <v>5</v>
      </c>
      <c r="Q25" s="1">
        <f t="shared" si="9"/>
        <v>7</v>
      </c>
      <c r="R25" s="1">
        <f t="shared" si="10"/>
        <v>0</v>
      </c>
      <c r="S25" s="1">
        <f t="shared" si="11"/>
        <v>18</v>
      </c>
      <c r="T25" s="1">
        <f t="shared" si="12"/>
        <v>0</v>
      </c>
      <c r="U25" s="1">
        <f t="shared" si="13"/>
        <v>0</v>
      </c>
      <c r="V25" s="26" t="s">
        <v>26</v>
      </c>
      <c r="W25" s="26" t="s">
        <v>26</v>
      </c>
      <c r="X25" s="26" t="s">
        <v>26</v>
      </c>
      <c r="Y25" s="26" t="s">
        <v>26</v>
      </c>
      <c r="Z25" s="26" t="s">
        <v>26</v>
      </c>
      <c r="AA25" s="26" t="s">
        <v>18</v>
      </c>
      <c r="AB25" s="26" t="s">
        <v>22</v>
      </c>
      <c r="AC25" s="26" t="s">
        <v>11</v>
      </c>
      <c r="AD25" s="26" t="s">
        <v>26</v>
      </c>
      <c r="AE25" s="26" t="s">
        <v>26</v>
      </c>
      <c r="AF25" s="26" t="s">
        <v>18</v>
      </c>
      <c r="AG25" s="26" t="s">
        <v>22</v>
      </c>
      <c r="AH25" s="26" t="s">
        <v>22</v>
      </c>
      <c r="AI25" s="26" t="s">
        <v>11</v>
      </c>
      <c r="AJ25" s="26" t="s">
        <v>11</v>
      </c>
      <c r="AK25" s="26" t="s">
        <v>22</v>
      </c>
      <c r="AL25" s="26" t="s">
        <v>11</v>
      </c>
      <c r="AM25" s="26" t="s">
        <v>26</v>
      </c>
      <c r="AN25" s="26" t="s">
        <v>11</v>
      </c>
      <c r="AO25" s="26" t="s">
        <v>26</v>
      </c>
      <c r="AP25" s="26" t="s">
        <v>11</v>
      </c>
      <c r="AQ25" s="26" t="s">
        <v>26</v>
      </c>
      <c r="AR25" s="26" t="s">
        <v>26</v>
      </c>
      <c r="AS25" s="26" t="s">
        <v>11</v>
      </c>
      <c r="AT25" s="26" t="s">
        <v>11</v>
      </c>
      <c r="AU25" s="26" t="s">
        <v>18</v>
      </c>
      <c r="AV25" s="26" t="s">
        <v>11</v>
      </c>
      <c r="AW25" s="26" t="s">
        <v>11</v>
      </c>
      <c r="AX25" s="26" t="s">
        <v>26</v>
      </c>
      <c r="AY25" s="26" t="s">
        <v>26</v>
      </c>
      <c r="AZ25" s="26" t="s">
        <v>11</v>
      </c>
      <c r="BA25" s="26" t="s">
        <v>11</v>
      </c>
      <c r="BB25" s="26" t="s">
        <v>11</v>
      </c>
      <c r="BC25" s="26" t="s">
        <v>26</v>
      </c>
      <c r="BD25" s="26" t="s">
        <v>26</v>
      </c>
      <c r="BE25" s="26" t="s">
        <v>17</v>
      </c>
      <c r="BF25" s="26" t="s">
        <v>18</v>
      </c>
      <c r="BG25" s="26" t="s">
        <v>22</v>
      </c>
      <c r="BH25" s="26" t="s">
        <v>26</v>
      </c>
      <c r="BI25" s="26" t="s">
        <v>26</v>
      </c>
      <c r="BJ25" s="26" t="s">
        <v>18</v>
      </c>
      <c r="BK25" s="26" t="s">
        <v>11</v>
      </c>
      <c r="BL25" s="26" t="s">
        <v>11</v>
      </c>
      <c r="BM25" s="26" t="s">
        <v>11</v>
      </c>
      <c r="BN25" s="26" t="s">
        <v>22</v>
      </c>
      <c r="BO25" s="26" t="s">
        <v>22</v>
      </c>
      <c r="BP25" s="26" t="s">
        <v>11</v>
      </c>
      <c r="BQ25" s="26" t="s">
        <v>26</v>
      </c>
      <c r="BR25" s="26" t="s">
        <v>11</v>
      </c>
      <c r="BS25" s="26" t="s">
        <v>11</v>
      </c>
    </row>
    <row r="26" spans="1:71" x14ac:dyDescent="0.3">
      <c r="A26" s="2">
        <f t="shared" si="17"/>
        <v>107</v>
      </c>
      <c r="B26" s="12">
        <f t="shared" si="17"/>
        <v>24</v>
      </c>
      <c r="C26" s="24">
        <v>44668.666666608799</v>
      </c>
      <c r="D26" s="4">
        <v>24</v>
      </c>
      <c r="E26" s="4">
        <f t="shared" si="15"/>
        <v>552</v>
      </c>
      <c r="F26" s="5">
        <f t="shared" si="16"/>
        <v>23</v>
      </c>
      <c r="G26" s="1">
        <f t="shared" si="1"/>
        <v>0</v>
      </c>
      <c r="H26" s="1">
        <f t="shared" si="2"/>
        <v>0</v>
      </c>
      <c r="I26" s="1">
        <f t="shared" si="3"/>
        <v>0</v>
      </c>
      <c r="J26" s="1">
        <f t="shared" si="4"/>
        <v>0</v>
      </c>
      <c r="K26" s="1">
        <f t="shared" si="5"/>
        <v>15</v>
      </c>
      <c r="L26" s="1">
        <f t="shared" si="6"/>
        <v>0</v>
      </c>
      <c r="M26" s="1">
        <f t="shared" si="0"/>
        <v>0</v>
      </c>
      <c r="N26" s="31"/>
      <c r="O26" s="1">
        <f t="shared" si="7"/>
        <v>1</v>
      </c>
      <c r="P26" s="1">
        <f t="shared" si="8"/>
        <v>5</v>
      </c>
      <c r="Q26" s="1">
        <f t="shared" si="9"/>
        <v>7</v>
      </c>
      <c r="R26" s="1">
        <f t="shared" si="10"/>
        <v>0</v>
      </c>
      <c r="S26" s="1">
        <f t="shared" si="11"/>
        <v>22</v>
      </c>
      <c r="T26" s="1">
        <f t="shared" si="12"/>
        <v>0</v>
      </c>
      <c r="U26" s="1">
        <f t="shared" si="13"/>
        <v>0</v>
      </c>
      <c r="V26" s="26" t="s">
        <v>26</v>
      </c>
      <c r="W26" s="26" t="s">
        <v>26</v>
      </c>
      <c r="X26" s="26" t="s">
        <v>26</v>
      </c>
      <c r="Y26" s="26" t="s">
        <v>26</v>
      </c>
      <c r="Z26" s="26" t="s">
        <v>26</v>
      </c>
      <c r="AA26" s="26" t="s">
        <v>18</v>
      </c>
      <c r="AB26" s="26" t="s">
        <v>22</v>
      </c>
      <c r="AC26" s="26" t="s">
        <v>11</v>
      </c>
      <c r="AD26" s="26" t="s">
        <v>26</v>
      </c>
      <c r="AE26" s="26" t="s">
        <v>26</v>
      </c>
      <c r="AF26" s="26" t="s">
        <v>18</v>
      </c>
      <c r="AG26" s="26" t="s">
        <v>22</v>
      </c>
      <c r="AH26" s="26" t="s">
        <v>22</v>
      </c>
      <c r="AI26" s="26" t="s">
        <v>11</v>
      </c>
      <c r="AJ26" s="26" t="s">
        <v>11</v>
      </c>
      <c r="AK26" s="26" t="s">
        <v>22</v>
      </c>
      <c r="AL26" s="26" t="s">
        <v>11</v>
      </c>
      <c r="AM26" s="26" t="s">
        <v>26</v>
      </c>
      <c r="AN26" s="26" t="s">
        <v>11</v>
      </c>
      <c r="AO26" s="26" t="s">
        <v>26</v>
      </c>
      <c r="AP26" s="26" t="s">
        <v>26</v>
      </c>
      <c r="AQ26" s="26" t="s">
        <v>26</v>
      </c>
      <c r="AR26" s="26" t="s">
        <v>26</v>
      </c>
      <c r="AS26" s="26" t="s">
        <v>11</v>
      </c>
      <c r="AT26" s="26" t="s">
        <v>26</v>
      </c>
      <c r="AU26" s="26" t="s">
        <v>18</v>
      </c>
      <c r="AV26" s="26" t="s">
        <v>26</v>
      </c>
      <c r="AW26" s="26" t="s">
        <v>26</v>
      </c>
      <c r="AX26" s="26" t="s">
        <v>26</v>
      </c>
      <c r="AY26" s="26" t="s">
        <v>26</v>
      </c>
      <c r="AZ26" s="26" t="s">
        <v>11</v>
      </c>
      <c r="BA26" s="26" t="s">
        <v>11</v>
      </c>
      <c r="BB26" s="26" t="s">
        <v>11</v>
      </c>
      <c r="BC26" s="26" t="s">
        <v>26</v>
      </c>
      <c r="BD26" s="26" t="s">
        <v>26</v>
      </c>
      <c r="BE26" s="26" t="s">
        <v>17</v>
      </c>
      <c r="BF26" s="26" t="s">
        <v>18</v>
      </c>
      <c r="BG26" s="26" t="s">
        <v>22</v>
      </c>
      <c r="BH26" s="26" t="s">
        <v>26</v>
      </c>
      <c r="BI26" s="26" t="s">
        <v>26</v>
      </c>
      <c r="BJ26" s="26" t="s">
        <v>18</v>
      </c>
      <c r="BK26" s="26" t="s">
        <v>11</v>
      </c>
      <c r="BL26" s="26" t="s">
        <v>11</v>
      </c>
      <c r="BM26" s="26" t="s">
        <v>11</v>
      </c>
      <c r="BN26" s="26" t="s">
        <v>22</v>
      </c>
      <c r="BO26" s="26" t="s">
        <v>22</v>
      </c>
      <c r="BP26" s="26" t="s">
        <v>11</v>
      </c>
      <c r="BQ26" s="26" t="s">
        <v>26</v>
      </c>
      <c r="BR26" s="26" t="s">
        <v>11</v>
      </c>
      <c r="BS26" s="26" t="s">
        <v>11</v>
      </c>
    </row>
    <row r="27" spans="1:71" x14ac:dyDescent="0.3">
      <c r="A27" s="2">
        <f t="shared" si="17"/>
        <v>108</v>
      </c>
      <c r="B27" s="12">
        <f t="shared" si="17"/>
        <v>25</v>
      </c>
      <c r="C27" s="24">
        <v>44669.666666608799</v>
      </c>
      <c r="D27" s="4">
        <v>24</v>
      </c>
      <c r="E27" s="4">
        <f t="shared" si="15"/>
        <v>576</v>
      </c>
      <c r="F27" s="5">
        <f t="shared" si="16"/>
        <v>24</v>
      </c>
      <c r="G27" s="1">
        <f t="shared" si="1"/>
        <v>0</v>
      </c>
      <c r="H27" s="1">
        <f t="shared" si="2"/>
        <v>0</v>
      </c>
      <c r="I27" s="1">
        <f t="shared" si="3"/>
        <v>0</v>
      </c>
      <c r="J27" s="1">
        <f t="shared" si="4"/>
        <v>0</v>
      </c>
      <c r="K27" s="1">
        <f t="shared" si="5"/>
        <v>11</v>
      </c>
      <c r="L27" s="1">
        <f t="shared" si="6"/>
        <v>0</v>
      </c>
      <c r="M27" s="1">
        <f t="shared" si="0"/>
        <v>0</v>
      </c>
      <c r="N27" s="31"/>
      <c r="O27" s="1">
        <f t="shared" si="7"/>
        <v>1</v>
      </c>
      <c r="P27" s="1">
        <f t="shared" si="8"/>
        <v>5</v>
      </c>
      <c r="Q27" s="1">
        <f t="shared" si="9"/>
        <v>7</v>
      </c>
      <c r="R27" s="1">
        <f t="shared" si="10"/>
        <v>0</v>
      </c>
      <c r="S27" s="1">
        <f t="shared" si="11"/>
        <v>26</v>
      </c>
      <c r="T27" s="1">
        <f t="shared" si="12"/>
        <v>0</v>
      </c>
      <c r="U27" s="1">
        <f t="shared" si="13"/>
        <v>0</v>
      </c>
      <c r="V27" s="26" t="s">
        <v>26</v>
      </c>
      <c r="W27" s="26" t="s">
        <v>26</v>
      </c>
      <c r="X27" s="26" t="s">
        <v>26</v>
      </c>
      <c r="Y27" s="26" t="s">
        <v>26</v>
      </c>
      <c r="Z27" s="26" t="s">
        <v>26</v>
      </c>
      <c r="AA27" s="26" t="s">
        <v>18</v>
      </c>
      <c r="AB27" s="26" t="s">
        <v>22</v>
      </c>
      <c r="AC27" s="26" t="s">
        <v>26</v>
      </c>
      <c r="AD27" s="26" t="s">
        <v>26</v>
      </c>
      <c r="AE27" s="26" t="s">
        <v>26</v>
      </c>
      <c r="AF27" s="26" t="s">
        <v>18</v>
      </c>
      <c r="AG27" s="26" t="s">
        <v>22</v>
      </c>
      <c r="AH27" s="26" t="s">
        <v>22</v>
      </c>
      <c r="AI27" s="26" t="s">
        <v>26</v>
      </c>
      <c r="AJ27" s="26" t="s">
        <v>26</v>
      </c>
      <c r="AK27" s="26" t="s">
        <v>22</v>
      </c>
      <c r="AL27" s="26" t="s">
        <v>11</v>
      </c>
      <c r="AM27" s="26" t="s">
        <v>26</v>
      </c>
      <c r="AN27" s="26" t="s">
        <v>11</v>
      </c>
      <c r="AO27" s="26" t="s">
        <v>26</v>
      </c>
      <c r="AP27" s="26" t="s">
        <v>26</v>
      </c>
      <c r="AQ27" s="26" t="s">
        <v>26</v>
      </c>
      <c r="AR27" s="26" t="s">
        <v>26</v>
      </c>
      <c r="AS27" s="26" t="s">
        <v>11</v>
      </c>
      <c r="AT27" s="26" t="s">
        <v>26</v>
      </c>
      <c r="AU27" s="26" t="s">
        <v>18</v>
      </c>
      <c r="AV27" s="26" t="s">
        <v>26</v>
      </c>
      <c r="AW27" s="26" t="s">
        <v>26</v>
      </c>
      <c r="AX27" s="26" t="s">
        <v>26</v>
      </c>
      <c r="AY27" s="26" t="s">
        <v>26</v>
      </c>
      <c r="AZ27" s="26" t="s">
        <v>11</v>
      </c>
      <c r="BA27" s="26" t="s">
        <v>11</v>
      </c>
      <c r="BB27" s="26" t="s">
        <v>11</v>
      </c>
      <c r="BC27" s="26" t="s">
        <v>26</v>
      </c>
      <c r="BD27" s="26" t="s">
        <v>26</v>
      </c>
      <c r="BE27" s="26" t="s">
        <v>17</v>
      </c>
      <c r="BF27" s="26" t="s">
        <v>18</v>
      </c>
      <c r="BG27" s="26" t="s">
        <v>22</v>
      </c>
      <c r="BH27" s="26" t="s">
        <v>26</v>
      </c>
      <c r="BI27" s="26" t="s">
        <v>26</v>
      </c>
      <c r="BJ27" s="26" t="s">
        <v>18</v>
      </c>
      <c r="BK27" s="26" t="s">
        <v>26</v>
      </c>
      <c r="BL27" s="26" t="s">
        <v>11</v>
      </c>
      <c r="BM27" s="26" t="s">
        <v>11</v>
      </c>
      <c r="BN27" s="26" t="s">
        <v>22</v>
      </c>
      <c r="BO27" s="26" t="s">
        <v>22</v>
      </c>
      <c r="BP27" s="26" t="s">
        <v>11</v>
      </c>
      <c r="BQ27" s="26" t="s">
        <v>26</v>
      </c>
      <c r="BR27" s="26" t="s">
        <v>11</v>
      </c>
      <c r="BS27" s="26" t="s">
        <v>11</v>
      </c>
    </row>
    <row r="28" spans="1:71" x14ac:dyDescent="0.3">
      <c r="A28" s="2">
        <f t="shared" si="17"/>
        <v>109</v>
      </c>
      <c r="B28" s="12">
        <f t="shared" si="17"/>
        <v>26</v>
      </c>
      <c r="C28" s="24">
        <v>44670.666666608799</v>
      </c>
      <c r="D28" s="4">
        <v>24</v>
      </c>
      <c r="E28" s="4">
        <f t="shared" si="15"/>
        <v>600</v>
      </c>
      <c r="F28" s="5">
        <f t="shared" si="16"/>
        <v>25</v>
      </c>
      <c r="G28" s="1">
        <f t="shared" si="1"/>
        <v>0</v>
      </c>
      <c r="H28" s="1">
        <f t="shared" si="2"/>
        <v>0</v>
      </c>
      <c r="I28" s="1">
        <f t="shared" si="3"/>
        <v>0</v>
      </c>
      <c r="J28" s="1">
        <f t="shared" si="4"/>
        <v>0</v>
      </c>
      <c r="K28" s="1">
        <f t="shared" si="5"/>
        <v>8</v>
      </c>
      <c r="L28" s="1">
        <f t="shared" si="6"/>
        <v>0</v>
      </c>
      <c r="M28" s="1">
        <f t="shared" si="0"/>
        <v>0</v>
      </c>
      <c r="N28" s="31"/>
      <c r="O28" s="1">
        <f t="shared" si="7"/>
        <v>1</v>
      </c>
      <c r="P28" s="1">
        <f t="shared" si="8"/>
        <v>5</v>
      </c>
      <c r="Q28" s="1">
        <f t="shared" si="9"/>
        <v>7</v>
      </c>
      <c r="R28" s="1">
        <f t="shared" si="10"/>
        <v>0</v>
      </c>
      <c r="S28" s="1">
        <f t="shared" si="11"/>
        <v>29</v>
      </c>
      <c r="T28" s="1">
        <f t="shared" si="12"/>
        <v>0</v>
      </c>
      <c r="U28" s="1">
        <f t="shared" si="13"/>
        <v>0</v>
      </c>
      <c r="V28" s="26" t="s">
        <v>26</v>
      </c>
      <c r="W28" s="26" t="s">
        <v>26</v>
      </c>
      <c r="X28" s="26" t="s">
        <v>26</v>
      </c>
      <c r="Y28" s="26" t="s">
        <v>26</v>
      </c>
      <c r="Z28" s="26" t="s">
        <v>26</v>
      </c>
      <c r="AA28" s="26" t="s">
        <v>18</v>
      </c>
      <c r="AB28" s="26" t="s">
        <v>22</v>
      </c>
      <c r="AC28" s="26" t="s">
        <v>26</v>
      </c>
      <c r="AD28" s="26" t="s">
        <v>26</v>
      </c>
      <c r="AE28" s="26" t="s">
        <v>26</v>
      </c>
      <c r="AF28" s="26" t="s">
        <v>18</v>
      </c>
      <c r="AG28" s="26" t="s">
        <v>22</v>
      </c>
      <c r="AH28" s="26" t="s">
        <v>22</v>
      </c>
      <c r="AI28" s="26" t="s">
        <v>26</v>
      </c>
      <c r="AJ28" s="26" t="s">
        <v>26</v>
      </c>
      <c r="AK28" s="26" t="s">
        <v>22</v>
      </c>
      <c r="AL28" s="26" t="s">
        <v>26</v>
      </c>
      <c r="AM28" s="26" t="s">
        <v>26</v>
      </c>
      <c r="AN28" s="26" t="s">
        <v>11</v>
      </c>
      <c r="AO28" s="26" t="s">
        <v>26</v>
      </c>
      <c r="AP28" s="26" t="s">
        <v>26</v>
      </c>
      <c r="AQ28" s="26" t="s">
        <v>26</v>
      </c>
      <c r="AR28" s="26" t="s">
        <v>26</v>
      </c>
      <c r="AS28" s="26" t="s">
        <v>11</v>
      </c>
      <c r="AT28" s="26" t="s">
        <v>26</v>
      </c>
      <c r="AU28" s="26" t="s">
        <v>18</v>
      </c>
      <c r="AV28" s="26" t="s">
        <v>26</v>
      </c>
      <c r="AW28" s="26" t="s">
        <v>26</v>
      </c>
      <c r="AX28" s="26" t="s">
        <v>26</v>
      </c>
      <c r="AY28" s="26" t="s">
        <v>26</v>
      </c>
      <c r="AZ28" s="26" t="s">
        <v>11</v>
      </c>
      <c r="BA28" s="26" t="s">
        <v>11</v>
      </c>
      <c r="BB28" s="26" t="s">
        <v>11</v>
      </c>
      <c r="BC28" s="26" t="s">
        <v>26</v>
      </c>
      <c r="BD28" s="26" t="s">
        <v>26</v>
      </c>
      <c r="BE28" s="26" t="s">
        <v>17</v>
      </c>
      <c r="BF28" s="26" t="s">
        <v>18</v>
      </c>
      <c r="BG28" s="26" t="s">
        <v>22</v>
      </c>
      <c r="BH28" s="26" t="s">
        <v>26</v>
      </c>
      <c r="BI28" s="26" t="s">
        <v>26</v>
      </c>
      <c r="BJ28" s="26" t="s">
        <v>18</v>
      </c>
      <c r="BK28" s="26" t="s">
        <v>26</v>
      </c>
      <c r="BL28" s="26" t="s">
        <v>26</v>
      </c>
      <c r="BM28" s="26" t="s">
        <v>26</v>
      </c>
      <c r="BN28" s="26" t="s">
        <v>22</v>
      </c>
      <c r="BO28" s="26" t="s">
        <v>22</v>
      </c>
      <c r="BP28" s="26" t="s">
        <v>11</v>
      </c>
      <c r="BQ28" s="26" t="s">
        <v>26</v>
      </c>
      <c r="BR28" s="26" t="s">
        <v>11</v>
      </c>
      <c r="BS28" s="26" t="s">
        <v>11</v>
      </c>
    </row>
    <row r="29" spans="1:71" x14ac:dyDescent="0.3">
      <c r="A29" s="2">
        <f t="shared" si="17"/>
        <v>110</v>
      </c>
      <c r="B29" s="12">
        <f t="shared" si="17"/>
        <v>27</v>
      </c>
      <c r="C29" s="24">
        <v>44671.666666608799</v>
      </c>
      <c r="D29" s="4">
        <v>24</v>
      </c>
      <c r="E29" s="4">
        <f t="shared" si="15"/>
        <v>624</v>
      </c>
      <c r="F29" s="5">
        <f t="shared" si="16"/>
        <v>26</v>
      </c>
      <c r="G29" s="1">
        <f t="shared" si="1"/>
        <v>0</v>
      </c>
      <c r="H29" s="1">
        <f t="shared" si="2"/>
        <v>0</v>
      </c>
      <c r="I29" s="1">
        <f t="shared" si="3"/>
        <v>0</v>
      </c>
      <c r="J29" s="1">
        <f t="shared" si="4"/>
        <v>0</v>
      </c>
      <c r="K29" s="1">
        <f t="shared" si="5"/>
        <v>7</v>
      </c>
      <c r="L29" s="1">
        <f t="shared" si="6"/>
        <v>0</v>
      </c>
      <c r="M29" s="1">
        <f t="shared" si="0"/>
        <v>0</v>
      </c>
      <c r="N29" s="31"/>
      <c r="O29" s="1">
        <f t="shared" si="7"/>
        <v>1</v>
      </c>
      <c r="P29" s="1">
        <f t="shared" si="8"/>
        <v>5</v>
      </c>
      <c r="Q29" s="1">
        <f t="shared" si="9"/>
        <v>7</v>
      </c>
      <c r="R29" s="1">
        <f t="shared" si="10"/>
        <v>0</v>
      </c>
      <c r="S29" s="1">
        <f t="shared" si="11"/>
        <v>30</v>
      </c>
      <c r="T29" s="1">
        <f t="shared" si="12"/>
        <v>0</v>
      </c>
      <c r="U29" s="1">
        <f t="shared" si="13"/>
        <v>0</v>
      </c>
      <c r="V29" s="26" t="s">
        <v>26</v>
      </c>
      <c r="W29" s="26" t="s">
        <v>26</v>
      </c>
      <c r="X29" s="26" t="s">
        <v>26</v>
      </c>
      <c r="Y29" s="26" t="s">
        <v>26</v>
      </c>
      <c r="Z29" s="26" t="s">
        <v>26</v>
      </c>
      <c r="AA29" s="26" t="s">
        <v>18</v>
      </c>
      <c r="AB29" s="26" t="s">
        <v>22</v>
      </c>
      <c r="AC29" s="26" t="s">
        <v>26</v>
      </c>
      <c r="AD29" s="26" t="s">
        <v>26</v>
      </c>
      <c r="AE29" s="26" t="s">
        <v>26</v>
      </c>
      <c r="AF29" s="26" t="s">
        <v>18</v>
      </c>
      <c r="AG29" s="26" t="s">
        <v>22</v>
      </c>
      <c r="AH29" s="26" t="s">
        <v>22</v>
      </c>
      <c r="AI29" s="26" t="s">
        <v>26</v>
      </c>
      <c r="AJ29" s="26" t="s">
        <v>26</v>
      </c>
      <c r="AK29" s="26" t="s">
        <v>22</v>
      </c>
      <c r="AL29" s="26" t="s">
        <v>26</v>
      </c>
      <c r="AM29" s="26" t="s">
        <v>26</v>
      </c>
      <c r="AN29" s="26" t="s">
        <v>11</v>
      </c>
      <c r="AO29" s="26" t="s">
        <v>26</v>
      </c>
      <c r="AP29" s="26" t="s">
        <v>26</v>
      </c>
      <c r="AQ29" s="26" t="s">
        <v>26</v>
      </c>
      <c r="AR29" s="26" t="s">
        <v>26</v>
      </c>
      <c r="AS29" s="26" t="s">
        <v>11</v>
      </c>
      <c r="AT29" s="26" t="s">
        <v>26</v>
      </c>
      <c r="AU29" s="26" t="s">
        <v>18</v>
      </c>
      <c r="AV29" s="26" t="s">
        <v>26</v>
      </c>
      <c r="AW29" s="26" t="s">
        <v>26</v>
      </c>
      <c r="AX29" s="26" t="s">
        <v>26</v>
      </c>
      <c r="AY29" s="26" t="s">
        <v>26</v>
      </c>
      <c r="AZ29" s="26" t="s">
        <v>11</v>
      </c>
      <c r="BA29" s="26" t="s">
        <v>11</v>
      </c>
      <c r="BB29" s="26" t="s">
        <v>11</v>
      </c>
      <c r="BC29" s="26" t="s">
        <v>26</v>
      </c>
      <c r="BD29" s="26" t="s">
        <v>26</v>
      </c>
      <c r="BE29" s="26" t="s">
        <v>17</v>
      </c>
      <c r="BF29" s="26" t="s">
        <v>18</v>
      </c>
      <c r="BG29" s="26" t="s">
        <v>22</v>
      </c>
      <c r="BH29" s="26" t="s">
        <v>26</v>
      </c>
      <c r="BI29" s="26" t="s">
        <v>26</v>
      </c>
      <c r="BJ29" s="26" t="s">
        <v>18</v>
      </c>
      <c r="BK29" s="26" t="s">
        <v>26</v>
      </c>
      <c r="BL29" s="26" t="s">
        <v>26</v>
      </c>
      <c r="BM29" s="26" t="s">
        <v>26</v>
      </c>
      <c r="BN29" s="26" t="s">
        <v>22</v>
      </c>
      <c r="BO29" s="26" t="s">
        <v>22</v>
      </c>
      <c r="BP29" s="26" t="s">
        <v>11</v>
      </c>
      <c r="BQ29" s="26" t="s">
        <v>26</v>
      </c>
      <c r="BR29" s="26" t="s">
        <v>26</v>
      </c>
      <c r="BS29" s="26" t="s">
        <v>11</v>
      </c>
    </row>
    <row r="30" spans="1:71" x14ac:dyDescent="0.3">
      <c r="A30" s="2">
        <f t="shared" si="17"/>
        <v>111</v>
      </c>
      <c r="B30" s="12">
        <f t="shared" si="17"/>
        <v>28</v>
      </c>
      <c r="C30" s="24">
        <v>44672.666666608799</v>
      </c>
      <c r="D30" s="4">
        <v>24</v>
      </c>
      <c r="E30" s="4">
        <f t="shared" si="15"/>
        <v>648</v>
      </c>
      <c r="F30" s="5">
        <f t="shared" si="16"/>
        <v>27</v>
      </c>
      <c r="G30" s="1">
        <f t="shared" si="1"/>
        <v>0</v>
      </c>
      <c r="H30" s="1">
        <f t="shared" si="2"/>
        <v>0</v>
      </c>
      <c r="I30" s="1">
        <f t="shared" si="3"/>
        <v>0</v>
      </c>
      <c r="J30" s="1">
        <f t="shared" si="4"/>
        <v>0</v>
      </c>
      <c r="K30" s="1">
        <f t="shared" si="5"/>
        <v>7</v>
      </c>
      <c r="L30" s="1">
        <f t="shared" si="6"/>
        <v>0</v>
      </c>
      <c r="M30" s="1">
        <f t="shared" si="0"/>
        <v>0</v>
      </c>
      <c r="N30" s="31"/>
      <c r="O30" s="1">
        <f t="shared" si="7"/>
        <v>1</v>
      </c>
      <c r="P30" s="1">
        <f t="shared" si="8"/>
        <v>5</v>
      </c>
      <c r="Q30" s="1">
        <f t="shared" si="9"/>
        <v>7</v>
      </c>
      <c r="R30" s="1">
        <f t="shared" si="10"/>
        <v>0</v>
      </c>
      <c r="S30" s="1">
        <f t="shared" si="11"/>
        <v>30</v>
      </c>
      <c r="T30" s="1">
        <f t="shared" si="12"/>
        <v>0</v>
      </c>
      <c r="U30" s="1">
        <f t="shared" si="13"/>
        <v>0</v>
      </c>
      <c r="V30" s="26" t="s">
        <v>26</v>
      </c>
      <c r="W30" s="26" t="s">
        <v>26</v>
      </c>
      <c r="X30" s="26" t="s">
        <v>26</v>
      </c>
      <c r="Y30" s="26" t="s">
        <v>26</v>
      </c>
      <c r="Z30" s="26" t="s">
        <v>26</v>
      </c>
      <c r="AA30" s="26" t="s">
        <v>18</v>
      </c>
      <c r="AB30" s="26" t="s">
        <v>22</v>
      </c>
      <c r="AC30" s="26" t="s">
        <v>26</v>
      </c>
      <c r="AD30" s="26" t="s">
        <v>26</v>
      </c>
      <c r="AE30" s="26" t="s">
        <v>26</v>
      </c>
      <c r="AF30" s="26" t="s">
        <v>18</v>
      </c>
      <c r="AG30" s="26" t="s">
        <v>22</v>
      </c>
      <c r="AH30" s="26" t="s">
        <v>22</v>
      </c>
      <c r="AI30" s="26" t="s">
        <v>26</v>
      </c>
      <c r="AJ30" s="26" t="s">
        <v>26</v>
      </c>
      <c r="AK30" s="26" t="s">
        <v>22</v>
      </c>
      <c r="AL30" s="26" t="s">
        <v>26</v>
      </c>
      <c r="AM30" s="26" t="s">
        <v>26</v>
      </c>
      <c r="AN30" s="26" t="s">
        <v>11</v>
      </c>
      <c r="AO30" s="26" t="s">
        <v>26</v>
      </c>
      <c r="AP30" s="26" t="s">
        <v>26</v>
      </c>
      <c r="AQ30" s="26" t="s">
        <v>26</v>
      </c>
      <c r="AR30" s="26" t="s">
        <v>26</v>
      </c>
      <c r="AS30" s="26" t="s">
        <v>11</v>
      </c>
      <c r="AT30" s="26" t="s">
        <v>26</v>
      </c>
      <c r="AU30" s="26" t="s">
        <v>18</v>
      </c>
      <c r="AV30" s="26" t="s">
        <v>26</v>
      </c>
      <c r="AW30" s="26" t="s">
        <v>26</v>
      </c>
      <c r="AX30" s="26" t="s">
        <v>26</v>
      </c>
      <c r="AY30" s="26" t="s">
        <v>26</v>
      </c>
      <c r="AZ30" s="26" t="s">
        <v>11</v>
      </c>
      <c r="BA30" s="26" t="s">
        <v>11</v>
      </c>
      <c r="BB30" s="26" t="s">
        <v>11</v>
      </c>
      <c r="BC30" s="26" t="s">
        <v>26</v>
      </c>
      <c r="BD30" s="26" t="s">
        <v>26</v>
      </c>
      <c r="BE30" s="26" t="s">
        <v>17</v>
      </c>
      <c r="BF30" s="26" t="s">
        <v>18</v>
      </c>
      <c r="BG30" s="26" t="s">
        <v>22</v>
      </c>
      <c r="BH30" s="26" t="s">
        <v>26</v>
      </c>
      <c r="BI30" s="26" t="s">
        <v>26</v>
      </c>
      <c r="BJ30" s="26" t="s">
        <v>18</v>
      </c>
      <c r="BK30" s="26" t="s">
        <v>26</v>
      </c>
      <c r="BL30" s="26" t="s">
        <v>26</v>
      </c>
      <c r="BM30" s="26" t="s">
        <v>26</v>
      </c>
      <c r="BN30" s="26" t="s">
        <v>22</v>
      </c>
      <c r="BO30" s="26" t="s">
        <v>22</v>
      </c>
      <c r="BP30" s="26" t="s">
        <v>11</v>
      </c>
      <c r="BQ30" s="26" t="s">
        <v>26</v>
      </c>
      <c r="BR30" s="26" t="s">
        <v>26</v>
      </c>
      <c r="BS30" s="26" t="s">
        <v>11</v>
      </c>
    </row>
    <row r="31" spans="1:71" x14ac:dyDescent="0.3">
      <c r="A31" s="2">
        <f t="shared" si="17"/>
        <v>112</v>
      </c>
      <c r="B31" s="12">
        <f t="shared" si="17"/>
        <v>29</v>
      </c>
      <c r="C31" s="24">
        <v>44673.666666608799</v>
      </c>
      <c r="D31" s="4">
        <v>24</v>
      </c>
      <c r="E31" s="4">
        <f t="shared" si="15"/>
        <v>672</v>
      </c>
      <c r="F31" s="5">
        <f t="shared" si="16"/>
        <v>28</v>
      </c>
      <c r="G31" s="1">
        <f t="shared" si="1"/>
        <v>0</v>
      </c>
      <c r="H31" s="1">
        <f t="shared" si="2"/>
        <v>0</v>
      </c>
      <c r="I31" s="1">
        <f t="shared" si="3"/>
        <v>0</v>
      </c>
      <c r="J31" s="1">
        <f t="shared" si="4"/>
        <v>0</v>
      </c>
      <c r="K31" s="1">
        <f>COUNTIF($V31:$BS31, "P")</f>
        <v>5</v>
      </c>
      <c r="L31" s="1">
        <f t="shared" si="6"/>
        <v>0</v>
      </c>
      <c r="M31" s="1">
        <f t="shared" si="0"/>
        <v>0</v>
      </c>
      <c r="N31" s="31"/>
      <c r="O31" s="1">
        <f t="shared" si="7"/>
        <v>1</v>
      </c>
      <c r="P31" s="1">
        <f t="shared" si="8"/>
        <v>5</v>
      </c>
      <c r="Q31" s="1">
        <f t="shared" si="9"/>
        <v>7</v>
      </c>
      <c r="R31" s="1">
        <f t="shared" si="10"/>
        <v>0</v>
      </c>
      <c r="S31" s="1">
        <f t="shared" si="11"/>
        <v>32</v>
      </c>
      <c r="T31" s="1">
        <f t="shared" si="12"/>
        <v>0</v>
      </c>
      <c r="U31" s="1">
        <f t="shared" si="13"/>
        <v>0</v>
      </c>
      <c r="V31" s="26" t="s">
        <v>26</v>
      </c>
      <c r="W31" s="26" t="s">
        <v>26</v>
      </c>
      <c r="X31" s="26" t="s">
        <v>26</v>
      </c>
      <c r="Y31" s="26" t="s">
        <v>26</v>
      </c>
      <c r="Z31" s="26" t="s">
        <v>26</v>
      </c>
      <c r="AA31" s="26" t="s">
        <v>18</v>
      </c>
      <c r="AB31" s="26" t="s">
        <v>22</v>
      </c>
      <c r="AC31" s="26" t="s">
        <v>26</v>
      </c>
      <c r="AD31" s="26" t="s">
        <v>26</v>
      </c>
      <c r="AE31" s="26" t="s">
        <v>26</v>
      </c>
      <c r="AF31" s="26" t="s">
        <v>18</v>
      </c>
      <c r="AG31" s="26" t="s">
        <v>22</v>
      </c>
      <c r="AH31" s="26" t="s">
        <v>22</v>
      </c>
      <c r="AI31" s="26" t="s">
        <v>26</v>
      </c>
      <c r="AJ31" s="26" t="s">
        <v>26</v>
      </c>
      <c r="AK31" s="26" t="s">
        <v>22</v>
      </c>
      <c r="AL31" s="26" t="s">
        <v>26</v>
      </c>
      <c r="AM31" s="26" t="s">
        <v>26</v>
      </c>
      <c r="AN31" s="26" t="s">
        <v>11</v>
      </c>
      <c r="AO31" s="26" t="s">
        <v>26</v>
      </c>
      <c r="AP31" s="26" t="s">
        <v>26</v>
      </c>
      <c r="AQ31" s="26" t="s">
        <v>26</v>
      </c>
      <c r="AR31" s="26" t="s">
        <v>26</v>
      </c>
      <c r="AS31" s="26" t="s">
        <v>11</v>
      </c>
      <c r="AT31" s="26" t="s">
        <v>26</v>
      </c>
      <c r="AU31" s="26" t="s">
        <v>18</v>
      </c>
      <c r="AV31" s="26" t="s">
        <v>26</v>
      </c>
      <c r="AW31" s="26" t="s">
        <v>26</v>
      </c>
      <c r="AX31" s="26" t="s">
        <v>26</v>
      </c>
      <c r="AY31" s="26" t="s">
        <v>26</v>
      </c>
      <c r="AZ31" s="26" t="s">
        <v>11</v>
      </c>
      <c r="BA31" s="26" t="s">
        <v>11</v>
      </c>
      <c r="BB31" s="26" t="s">
        <v>11</v>
      </c>
      <c r="BC31" s="26" t="s">
        <v>26</v>
      </c>
      <c r="BD31" s="26" t="s">
        <v>26</v>
      </c>
      <c r="BE31" s="26" t="s">
        <v>17</v>
      </c>
      <c r="BF31" s="26" t="s">
        <v>18</v>
      </c>
      <c r="BG31" s="26" t="s">
        <v>22</v>
      </c>
      <c r="BH31" s="26" t="s">
        <v>26</v>
      </c>
      <c r="BI31" s="26" t="s">
        <v>26</v>
      </c>
      <c r="BJ31" s="26" t="s">
        <v>18</v>
      </c>
      <c r="BK31" s="26" t="s">
        <v>26</v>
      </c>
      <c r="BL31" s="26" t="s">
        <v>26</v>
      </c>
      <c r="BM31" s="26" t="s">
        <v>26</v>
      </c>
      <c r="BN31" s="26" t="s">
        <v>22</v>
      </c>
      <c r="BO31" s="26" t="s">
        <v>22</v>
      </c>
      <c r="BP31" s="26" t="s">
        <v>26</v>
      </c>
      <c r="BQ31" s="26" t="s">
        <v>26</v>
      </c>
      <c r="BR31" s="26" t="s">
        <v>26</v>
      </c>
      <c r="BS31" s="26" t="s">
        <v>26</v>
      </c>
    </row>
    <row r="32" spans="1:71" x14ac:dyDescent="0.3">
      <c r="A32" s="2">
        <f t="shared" si="17"/>
        <v>113</v>
      </c>
      <c r="B32" s="12">
        <f t="shared" si="17"/>
        <v>30</v>
      </c>
      <c r="C32" s="24">
        <v>44674.666666608799</v>
      </c>
      <c r="D32" s="4">
        <v>24</v>
      </c>
      <c r="E32" s="4">
        <f t="shared" si="15"/>
        <v>696</v>
      </c>
      <c r="F32" s="5">
        <f t="shared" si="16"/>
        <v>29</v>
      </c>
      <c r="G32" s="1">
        <f t="shared" si="1"/>
        <v>0</v>
      </c>
      <c r="H32" s="1">
        <f t="shared" si="2"/>
        <v>0</v>
      </c>
      <c r="I32" s="1">
        <f t="shared" si="3"/>
        <v>0</v>
      </c>
      <c r="J32" s="1">
        <f t="shared" si="4"/>
        <v>0</v>
      </c>
      <c r="K32" s="1">
        <f>COUNTIF($V32:$BS32, "P")</f>
        <v>0</v>
      </c>
      <c r="L32" s="1">
        <f t="shared" si="6"/>
        <v>0</v>
      </c>
      <c r="M32" s="1">
        <f t="shared" si="0"/>
        <v>0</v>
      </c>
      <c r="N32" s="31"/>
      <c r="O32" s="1">
        <f t="shared" si="7"/>
        <v>1</v>
      </c>
      <c r="P32" s="1">
        <f t="shared" si="8"/>
        <v>5</v>
      </c>
      <c r="Q32" s="1">
        <f t="shared" si="9"/>
        <v>7</v>
      </c>
      <c r="R32" s="1">
        <f t="shared" si="10"/>
        <v>0</v>
      </c>
      <c r="S32" s="1">
        <f>COUNTIF($V32:$BS32, "P_D")</f>
        <v>37</v>
      </c>
      <c r="T32" s="1">
        <f t="shared" si="12"/>
        <v>0</v>
      </c>
      <c r="U32" s="1">
        <f t="shared" si="13"/>
        <v>0</v>
      </c>
      <c r="V32" s="26" t="s">
        <v>26</v>
      </c>
      <c r="W32" s="26" t="s">
        <v>26</v>
      </c>
      <c r="X32" s="26" t="s">
        <v>26</v>
      </c>
      <c r="Y32" s="26" t="s">
        <v>26</v>
      </c>
      <c r="Z32" s="26" t="s">
        <v>26</v>
      </c>
      <c r="AA32" s="26" t="s">
        <v>18</v>
      </c>
      <c r="AB32" s="26" t="s">
        <v>22</v>
      </c>
      <c r="AC32" s="26" t="s">
        <v>26</v>
      </c>
      <c r="AD32" s="26" t="s">
        <v>26</v>
      </c>
      <c r="AE32" s="26" t="s">
        <v>26</v>
      </c>
      <c r="AF32" s="26" t="s">
        <v>18</v>
      </c>
      <c r="AG32" s="26" t="s">
        <v>22</v>
      </c>
      <c r="AH32" s="26" t="s">
        <v>22</v>
      </c>
      <c r="AI32" s="26" t="s">
        <v>26</v>
      </c>
      <c r="AJ32" s="26" t="s">
        <v>26</v>
      </c>
      <c r="AK32" s="26" t="s">
        <v>22</v>
      </c>
      <c r="AL32" s="26" t="s">
        <v>26</v>
      </c>
      <c r="AM32" s="26" t="s">
        <v>26</v>
      </c>
      <c r="AN32" s="26" t="s">
        <v>26</v>
      </c>
      <c r="AO32" s="26" t="s">
        <v>26</v>
      </c>
      <c r="AP32" s="26" t="s">
        <v>26</v>
      </c>
      <c r="AQ32" s="26" t="s">
        <v>26</v>
      </c>
      <c r="AR32" s="26" t="s">
        <v>26</v>
      </c>
      <c r="AS32" s="26" t="s">
        <v>26</v>
      </c>
      <c r="AT32" s="26" t="s">
        <v>26</v>
      </c>
      <c r="AU32" s="26" t="s">
        <v>18</v>
      </c>
      <c r="AV32" s="26" t="s">
        <v>26</v>
      </c>
      <c r="AW32" s="26" t="s">
        <v>26</v>
      </c>
      <c r="AX32" s="26" t="s">
        <v>26</v>
      </c>
      <c r="AY32" s="26" t="s">
        <v>26</v>
      </c>
      <c r="AZ32" s="26" t="s">
        <v>26</v>
      </c>
      <c r="BA32" s="26" t="s">
        <v>26</v>
      </c>
      <c r="BB32" s="26" t="s">
        <v>26</v>
      </c>
      <c r="BC32" s="26" t="s">
        <v>26</v>
      </c>
      <c r="BD32" s="26" t="s">
        <v>26</v>
      </c>
      <c r="BE32" s="26" t="s">
        <v>17</v>
      </c>
      <c r="BF32" s="26" t="s">
        <v>18</v>
      </c>
      <c r="BG32" s="26" t="s">
        <v>22</v>
      </c>
      <c r="BH32" s="26" t="s">
        <v>26</v>
      </c>
      <c r="BI32" s="26" t="s">
        <v>26</v>
      </c>
      <c r="BJ32" s="26" t="s">
        <v>18</v>
      </c>
      <c r="BK32" s="26" t="s">
        <v>26</v>
      </c>
      <c r="BL32" s="26" t="s">
        <v>26</v>
      </c>
      <c r="BM32" s="26" t="s">
        <v>26</v>
      </c>
      <c r="BN32" s="26" t="s">
        <v>22</v>
      </c>
      <c r="BO32" s="26" t="s">
        <v>22</v>
      </c>
      <c r="BP32" s="26" t="s">
        <v>26</v>
      </c>
      <c r="BQ32" s="26" t="s">
        <v>26</v>
      </c>
      <c r="BR32" s="26" t="s">
        <v>26</v>
      </c>
      <c r="BS32" s="26" t="s">
        <v>26</v>
      </c>
    </row>
    <row r="33" spans="14:70" x14ac:dyDescent="0.3">
      <c r="AE33" s="12"/>
      <c r="AI33" s="26"/>
      <c r="AL33" s="26"/>
      <c r="AP33" s="12"/>
      <c r="AT33" s="26"/>
      <c r="BC33" s="26"/>
      <c r="BK33" s="26"/>
      <c r="BL33" s="26"/>
      <c r="BM33" s="12"/>
      <c r="BQ33" s="26"/>
      <c r="BR33" s="12"/>
    </row>
    <row r="34" spans="14:70" x14ac:dyDescent="0.3">
      <c r="N34" s="91"/>
      <c r="AE34" s="12"/>
      <c r="AT34" s="26"/>
      <c r="BK34" s="26"/>
      <c r="BL34" s="26"/>
      <c r="BM34" s="12"/>
      <c r="BR34" s="12"/>
    </row>
    <row r="35" spans="14:70" x14ac:dyDescent="0.3">
      <c r="N35" s="91"/>
      <c r="AT35" s="26"/>
      <c r="BK35" s="26"/>
      <c r="BL35" s="26"/>
      <c r="BM35" s="12"/>
      <c r="BR35" s="12"/>
    </row>
    <row r="36" spans="14:70" x14ac:dyDescent="0.3">
      <c r="BL36" s="26"/>
      <c r="BR36" s="12"/>
    </row>
    <row r="66" spans="14:14" x14ac:dyDescent="0.3">
      <c r="N66" s="91"/>
    </row>
  </sheetData>
  <mergeCells count="1">
    <mergeCell ref="O1:S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3C1-8BD5-40F0-9F3E-A703F140012F}">
  <dimension ref="A1:BZ158"/>
  <sheetViews>
    <sheetView topLeftCell="AK118" zoomScale="55" zoomScaleNormal="55" workbookViewId="0">
      <selection activeCell="BU82" sqref="BU82:BZ158"/>
    </sheetView>
  </sheetViews>
  <sheetFormatPr defaultRowHeight="14.4" x14ac:dyDescent="0.3"/>
  <cols>
    <col min="3" max="3" width="12.5546875" style="86" bestFit="1" customWidth="1"/>
    <col min="4" max="4" width="12.88671875" style="86" bestFit="1" customWidth="1"/>
    <col min="5" max="5" width="19.5546875" style="86" bestFit="1" customWidth="1"/>
    <col min="6" max="6" width="9.5546875" style="86" bestFit="1" customWidth="1"/>
    <col min="7" max="7" width="11.88671875" bestFit="1" customWidth="1"/>
    <col min="57" max="57" width="9.33203125" bestFit="1" customWidth="1"/>
  </cols>
  <sheetData>
    <row r="1" spans="1:72" x14ac:dyDescent="0.3">
      <c r="A1" s="73" t="s">
        <v>27</v>
      </c>
      <c r="B1" s="74" t="s">
        <v>31</v>
      </c>
      <c r="C1" s="98" t="s">
        <v>1</v>
      </c>
      <c r="D1" s="98" t="s">
        <v>23</v>
      </c>
      <c r="E1" s="98" t="s">
        <v>24</v>
      </c>
      <c r="F1" s="99" t="s">
        <v>50</v>
      </c>
      <c r="G1" s="59" t="s">
        <v>12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8"/>
      <c r="BF1" s="50" t="s">
        <v>15</v>
      </c>
      <c r="BG1" s="27"/>
      <c r="BH1" s="27"/>
      <c r="BI1" s="27"/>
      <c r="BJ1" s="27"/>
      <c r="BK1" s="27"/>
      <c r="BL1" s="27"/>
      <c r="BN1" s="71" t="s">
        <v>16</v>
      </c>
      <c r="BO1" s="71"/>
      <c r="BP1" s="71"/>
      <c r="BQ1" s="71"/>
      <c r="BR1" s="71"/>
    </row>
    <row r="2" spans="1:72" x14ac:dyDescent="0.3">
      <c r="A2" s="73"/>
      <c r="B2" s="74"/>
      <c r="C2" s="98"/>
      <c r="D2" s="98"/>
      <c r="E2" s="98"/>
      <c r="F2" s="9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1" t="s">
        <v>50</v>
      </c>
      <c r="BF2" s="57" t="s">
        <v>9</v>
      </c>
      <c r="BG2" s="23" t="s">
        <v>5</v>
      </c>
      <c r="BH2" s="16" t="s">
        <v>8</v>
      </c>
      <c r="BI2" s="17" t="s">
        <v>10</v>
      </c>
      <c r="BJ2" s="18" t="s">
        <v>11</v>
      </c>
      <c r="BK2" s="27" t="s">
        <v>13</v>
      </c>
      <c r="BL2" s="88" t="s">
        <v>14</v>
      </c>
      <c r="BM2" s="1"/>
      <c r="BN2" s="57" t="s">
        <v>9</v>
      </c>
      <c r="BO2" s="23" t="s">
        <v>5</v>
      </c>
      <c r="BP2" s="16" t="s">
        <v>8</v>
      </c>
      <c r="BQ2" s="17" t="s">
        <v>10</v>
      </c>
      <c r="BR2" s="18" t="s">
        <v>11</v>
      </c>
      <c r="BS2" s="27" t="s">
        <v>13</v>
      </c>
      <c r="BT2" s="88" t="s">
        <v>14</v>
      </c>
    </row>
    <row r="3" spans="1:72" x14ac:dyDescent="0.3">
      <c r="A3" s="66">
        <v>162</v>
      </c>
      <c r="B3" s="56">
        <v>1</v>
      </c>
      <c r="C3" s="100">
        <v>44723.4375</v>
      </c>
      <c r="D3" s="101">
        <v>0</v>
      </c>
      <c r="E3" s="102">
        <v>0</v>
      </c>
      <c r="F3" s="91">
        <v>0</v>
      </c>
      <c r="G3" s="26" t="s">
        <v>4</v>
      </c>
      <c r="H3" s="26" t="s">
        <v>4</v>
      </c>
      <c r="I3" s="26" t="s">
        <v>4</v>
      </c>
      <c r="J3" s="26" t="s">
        <v>4</v>
      </c>
      <c r="K3" s="26" t="s">
        <v>4</v>
      </c>
      <c r="L3" s="26" t="s">
        <v>4</v>
      </c>
      <c r="M3" s="26" t="s">
        <v>4</v>
      </c>
      <c r="N3" s="26" t="s">
        <v>4</v>
      </c>
      <c r="O3" s="26" t="s">
        <v>4</v>
      </c>
      <c r="P3" s="26" t="s">
        <v>4</v>
      </c>
      <c r="Q3" s="26" t="s">
        <v>4</v>
      </c>
      <c r="R3" s="26" t="s">
        <v>4</v>
      </c>
      <c r="S3" s="26" t="s">
        <v>4</v>
      </c>
      <c r="T3" s="26" t="s">
        <v>4</v>
      </c>
      <c r="U3" s="26" t="s">
        <v>4</v>
      </c>
      <c r="V3" s="26" t="s">
        <v>4</v>
      </c>
      <c r="W3" s="26" t="s">
        <v>4</v>
      </c>
      <c r="X3" s="26" t="s">
        <v>4</v>
      </c>
      <c r="Y3" s="26" t="s">
        <v>4</v>
      </c>
      <c r="Z3" s="26" t="s">
        <v>4</v>
      </c>
      <c r="AA3" s="26" t="s">
        <v>4</v>
      </c>
      <c r="AB3" s="26" t="s">
        <v>4</v>
      </c>
      <c r="AC3" s="26" t="s">
        <v>4</v>
      </c>
      <c r="AD3" s="26" t="s">
        <v>4</v>
      </c>
      <c r="AE3" s="26" t="s">
        <v>4</v>
      </c>
      <c r="AF3" s="26" t="s">
        <v>4</v>
      </c>
      <c r="AG3" s="26" t="s">
        <v>4</v>
      </c>
      <c r="AH3" s="26" t="s">
        <v>4</v>
      </c>
      <c r="AI3" s="26" t="s">
        <v>4</v>
      </c>
      <c r="AJ3" s="26" t="s">
        <v>4</v>
      </c>
      <c r="AK3" s="26" t="s">
        <v>4</v>
      </c>
      <c r="AL3" s="26" t="s">
        <v>4</v>
      </c>
      <c r="AM3" s="26" t="s">
        <v>4</v>
      </c>
      <c r="AN3" s="26" t="s">
        <v>4</v>
      </c>
      <c r="AO3" s="26" t="s">
        <v>4</v>
      </c>
      <c r="AP3" s="26" t="s">
        <v>4</v>
      </c>
      <c r="AQ3" s="26" t="s">
        <v>4</v>
      </c>
      <c r="AR3" s="26" t="s">
        <v>4</v>
      </c>
      <c r="AS3" s="26" t="s">
        <v>4</v>
      </c>
      <c r="AT3" s="26" t="s">
        <v>4</v>
      </c>
      <c r="AU3" s="26" t="s">
        <v>4</v>
      </c>
      <c r="AV3" s="26" t="s">
        <v>4</v>
      </c>
      <c r="AW3" s="26" t="s">
        <v>4</v>
      </c>
      <c r="AX3" s="26" t="s">
        <v>4</v>
      </c>
      <c r="AY3" s="26" t="s">
        <v>4</v>
      </c>
      <c r="AZ3" s="26" t="s">
        <v>4</v>
      </c>
      <c r="BA3" s="26" t="s">
        <v>4</v>
      </c>
      <c r="BB3" s="26" t="s">
        <v>4</v>
      </c>
      <c r="BC3" s="26" t="s">
        <v>4</v>
      </c>
      <c r="BD3" s="26" t="s">
        <v>4</v>
      </c>
      <c r="BE3" s="1">
        <v>0</v>
      </c>
      <c r="BF3" s="1">
        <f>COUNTIF($G3:$BD3, "E")</f>
        <v>50</v>
      </c>
      <c r="BG3" s="1">
        <f>COUNTIF($G3:$BD3, "L1")</f>
        <v>0</v>
      </c>
      <c r="BH3" s="1">
        <f>COUNTIF($G3:$BD3, "L2")</f>
        <v>0</v>
      </c>
      <c r="BI3" s="1">
        <f>COUNTIF($G3:$BD3, "L3")</f>
        <v>0</v>
      </c>
      <c r="BJ3" s="1">
        <f>COUNTIF($G3:$BD3, "P")</f>
        <v>0</v>
      </c>
      <c r="BK3" s="95">
        <f>COUNTIF($G3:$BD3, "AM")</f>
        <v>0</v>
      </c>
      <c r="BL3" s="95">
        <f>COUNTIF($G3:$BD3, "AF")</f>
        <v>0</v>
      </c>
      <c r="BM3" s="1"/>
      <c r="BN3" s="1">
        <f>COUNTIF($G3:$BD3, "E_D")</f>
        <v>0</v>
      </c>
      <c r="BO3" s="1">
        <f>COUNTIF($G3:$BD3, "L1_D")</f>
        <v>0</v>
      </c>
      <c r="BP3" s="1">
        <f>COUNTIF($G3:$BD3, "L2_D")</f>
        <v>0</v>
      </c>
      <c r="BQ3" s="1">
        <f>COUNTIF($G3:$BD3, "L3_D")</f>
        <v>0</v>
      </c>
      <c r="BR3" s="1">
        <f>COUNTIF($G3:$BD3, "P_D")</f>
        <v>0</v>
      </c>
      <c r="BS3" s="95">
        <f>COUNTIF($G3:$BD3, "AM_D")</f>
        <v>0</v>
      </c>
      <c r="BT3" s="95">
        <f>COUNTIF($G3:$BD3, "AF_D")</f>
        <v>0</v>
      </c>
    </row>
    <row r="4" spans="1:72" x14ac:dyDescent="0.3">
      <c r="A4" s="66">
        <v>162</v>
      </c>
      <c r="B4" s="66">
        <v>1</v>
      </c>
      <c r="C4" s="100">
        <v>44723.6875</v>
      </c>
      <c r="D4" s="101">
        <f t="shared" ref="D4:D18" si="0">(C4-C3)</f>
        <v>0.25</v>
      </c>
      <c r="E4" s="102">
        <f t="shared" ref="E4:E10" si="1">E3+D4</f>
        <v>0.25</v>
      </c>
      <c r="F4" s="91">
        <f t="shared" ref="F4:F21" si="2">F3+D4</f>
        <v>0.25</v>
      </c>
      <c r="G4" s="26" t="s">
        <v>4</v>
      </c>
      <c r="H4" s="26" t="s">
        <v>4</v>
      </c>
      <c r="I4" s="26" t="s">
        <v>4</v>
      </c>
      <c r="J4" s="26" t="s">
        <v>4</v>
      </c>
      <c r="K4" s="26" t="s">
        <v>5</v>
      </c>
      <c r="L4" s="26" t="s">
        <v>4</v>
      </c>
      <c r="M4" s="26" t="s">
        <v>4</v>
      </c>
      <c r="N4" s="26" t="s">
        <v>4</v>
      </c>
      <c r="O4" s="26" t="s">
        <v>5</v>
      </c>
      <c r="P4" s="26" t="s">
        <v>5</v>
      </c>
      <c r="Q4" s="26" t="s">
        <v>4</v>
      </c>
      <c r="R4" s="26" t="s">
        <v>4</v>
      </c>
      <c r="S4" s="26" t="s">
        <v>4</v>
      </c>
      <c r="T4" s="26" t="s">
        <v>4</v>
      </c>
      <c r="U4" s="26" t="s">
        <v>4</v>
      </c>
      <c r="V4" s="26" t="s">
        <v>4</v>
      </c>
      <c r="W4" s="26" t="s">
        <v>4</v>
      </c>
      <c r="X4" s="26" t="s">
        <v>4</v>
      </c>
      <c r="Y4" s="26" t="s">
        <v>4</v>
      </c>
      <c r="Z4" s="26" t="s">
        <v>5</v>
      </c>
      <c r="AA4" s="26" t="s">
        <v>4</v>
      </c>
      <c r="AB4" s="26" t="s">
        <v>4</v>
      </c>
      <c r="AC4" s="26" t="s">
        <v>4</v>
      </c>
      <c r="AD4" s="26" t="s">
        <v>5</v>
      </c>
      <c r="AE4" s="26" t="s">
        <v>5</v>
      </c>
      <c r="AF4" s="26" t="s">
        <v>4</v>
      </c>
      <c r="AG4" s="26" t="s">
        <v>4</v>
      </c>
      <c r="AH4" s="26" t="s">
        <v>4</v>
      </c>
      <c r="AI4" s="26" t="s">
        <v>5</v>
      </c>
      <c r="AJ4" s="26" t="s">
        <v>5</v>
      </c>
      <c r="AK4" s="26" t="s">
        <v>4</v>
      </c>
      <c r="AL4" s="26" t="s">
        <v>4</v>
      </c>
      <c r="AM4" s="26" t="s">
        <v>4</v>
      </c>
      <c r="AN4" s="26" t="s">
        <v>5</v>
      </c>
      <c r="AO4" s="26" t="s">
        <v>5</v>
      </c>
      <c r="AP4" s="26" t="s">
        <v>4</v>
      </c>
      <c r="AQ4" s="26" t="s">
        <v>4</v>
      </c>
      <c r="AR4" s="26" t="s">
        <v>4</v>
      </c>
      <c r="AS4" s="26" t="s">
        <v>4</v>
      </c>
      <c r="AT4" s="26" t="s">
        <v>4</v>
      </c>
      <c r="AU4" s="26" t="s">
        <v>4</v>
      </c>
      <c r="AV4" s="26" t="s">
        <v>4</v>
      </c>
      <c r="AW4" s="26" t="s">
        <v>4</v>
      </c>
      <c r="AX4" s="26" t="s">
        <v>4</v>
      </c>
      <c r="AY4" s="26" t="s">
        <v>4</v>
      </c>
      <c r="AZ4" s="26" t="s">
        <v>4</v>
      </c>
      <c r="BA4" s="26" t="s">
        <v>4</v>
      </c>
      <c r="BB4" s="26" t="s">
        <v>4</v>
      </c>
      <c r="BC4" s="26" t="s">
        <v>4</v>
      </c>
      <c r="BD4" s="26" t="s">
        <v>4</v>
      </c>
      <c r="BE4" s="1">
        <v>0.25</v>
      </c>
      <c r="BF4" s="1">
        <f>COUNTIF($G4:$BD4, "E")</f>
        <v>40</v>
      </c>
      <c r="BG4" s="1">
        <f>COUNTIF($G4:$BD4, "L1")</f>
        <v>10</v>
      </c>
      <c r="BH4" s="1">
        <f t="shared" ref="BH4:BH67" si="3">COUNTIF($G4:$BD4, "L2")</f>
        <v>0</v>
      </c>
      <c r="BI4" s="1">
        <f t="shared" ref="BI4:BI67" si="4">COUNTIF($G4:$BD4, "L3")</f>
        <v>0</v>
      </c>
      <c r="BJ4" s="1">
        <f t="shared" ref="BJ4:BJ67" si="5">COUNTIF($G4:$BD4, "P")</f>
        <v>0</v>
      </c>
      <c r="BK4" s="95">
        <f>COUNTIF($G4:$BD4, "AM")</f>
        <v>0</v>
      </c>
      <c r="BL4" s="95">
        <f>COUNTIF($G4:$BD4, "AF")</f>
        <v>0</v>
      </c>
      <c r="BM4" s="1"/>
      <c r="BN4" s="1">
        <f t="shared" ref="BN4:BN67" si="6">COUNTIF($G4:$BD4, "E_D")</f>
        <v>0</v>
      </c>
      <c r="BO4" s="1">
        <f t="shared" ref="BO4:BO67" si="7">COUNTIF($G4:$BD4, "L1_D")</f>
        <v>0</v>
      </c>
      <c r="BP4" s="1">
        <f t="shared" ref="BP4:BP67" si="8">COUNTIF($G4:$BD4, "L2_D")</f>
        <v>0</v>
      </c>
      <c r="BQ4" s="1">
        <f t="shared" ref="BQ4:BQ67" si="9">COUNTIF($G4:$BD4, "L3_D")</f>
        <v>0</v>
      </c>
      <c r="BR4" s="1">
        <f t="shared" ref="BR4:BR47" si="10">COUNTIF($G4:$BD4, "P_D")</f>
        <v>0</v>
      </c>
      <c r="BS4" s="95">
        <f>COUNTIF($G4:$BD4, "AM_D")</f>
        <v>0</v>
      </c>
      <c r="BT4" s="95">
        <f>COUNTIF($G4:$BD4, "AF_D")</f>
        <v>0</v>
      </c>
    </row>
    <row r="5" spans="1:72" x14ac:dyDescent="0.3">
      <c r="A5" s="66">
        <v>162</v>
      </c>
      <c r="B5" s="66">
        <v>1</v>
      </c>
      <c r="C5" s="100">
        <v>44723.9375</v>
      </c>
      <c r="D5" s="101">
        <f t="shared" si="0"/>
        <v>0.25</v>
      </c>
      <c r="E5" s="102">
        <f t="shared" si="1"/>
        <v>0.5</v>
      </c>
      <c r="F5" s="91">
        <f t="shared" si="2"/>
        <v>0.5</v>
      </c>
      <c r="G5" s="60" t="s">
        <v>17</v>
      </c>
      <c r="H5" s="60" t="s">
        <v>17</v>
      </c>
      <c r="I5" s="60" t="s">
        <v>17</v>
      </c>
      <c r="J5" s="26" t="s">
        <v>4</v>
      </c>
      <c r="K5" s="26" t="s">
        <v>5</v>
      </c>
      <c r="L5" s="60" t="s">
        <v>17</v>
      </c>
      <c r="M5" s="60" t="s">
        <v>17</v>
      </c>
      <c r="N5" s="60" t="s">
        <v>17</v>
      </c>
      <c r="O5" s="26" t="s">
        <v>5</v>
      </c>
      <c r="P5" s="26" t="s">
        <v>5</v>
      </c>
      <c r="Q5" s="60" t="s">
        <v>17</v>
      </c>
      <c r="R5" s="60" t="s">
        <v>17</v>
      </c>
      <c r="S5" s="60" t="s">
        <v>17</v>
      </c>
      <c r="T5" s="26" t="s">
        <v>5</v>
      </c>
      <c r="U5" s="26" t="s">
        <v>5</v>
      </c>
      <c r="V5" s="60" t="s">
        <v>17</v>
      </c>
      <c r="W5" s="60" t="s">
        <v>17</v>
      </c>
      <c r="X5" s="60" t="s">
        <v>17</v>
      </c>
      <c r="Y5" s="60" t="s">
        <v>17</v>
      </c>
      <c r="Z5" s="26" t="s">
        <v>5</v>
      </c>
      <c r="AA5" s="60" t="s">
        <v>17</v>
      </c>
      <c r="AB5" s="60" t="s">
        <v>17</v>
      </c>
      <c r="AC5" s="26" t="s">
        <v>5</v>
      </c>
      <c r="AD5" s="26" t="s">
        <v>5</v>
      </c>
      <c r="AE5" s="26" t="s">
        <v>5</v>
      </c>
      <c r="AF5" s="60" t="s">
        <v>17</v>
      </c>
      <c r="AG5" s="60" t="s">
        <v>17</v>
      </c>
      <c r="AH5" s="60" t="s">
        <v>17</v>
      </c>
      <c r="AI5" s="26" t="s">
        <v>5</v>
      </c>
      <c r="AJ5" s="26" t="s">
        <v>5</v>
      </c>
      <c r="AK5" s="60" t="s">
        <v>17</v>
      </c>
      <c r="AL5" s="60" t="s">
        <v>17</v>
      </c>
      <c r="AM5" s="26" t="s">
        <v>5</v>
      </c>
      <c r="AN5" s="26" t="s">
        <v>5</v>
      </c>
      <c r="AO5" s="26" t="s">
        <v>5</v>
      </c>
      <c r="AP5" s="60" t="s">
        <v>17</v>
      </c>
      <c r="AQ5" s="60" t="s">
        <v>17</v>
      </c>
      <c r="AR5" s="60" t="s">
        <v>17</v>
      </c>
      <c r="AS5" s="26" t="s">
        <v>4</v>
      </c>
      <c r="AT5" s="26" t="s">
        <v>5</v>
      </c>
      <c r="AU5" s="60" t="s">
        <v>17</v>
      </c>
      <c r="AV5" s="60" t="s">
        <v>17</v>
      </c>
      <c r="AW5" s="26" t="s">
        <v>4</v>
      </c>
      <c r="AX5" s="26" t="s">
        <v>4</v>
      </c>
      <c r="AY5" s="26" t="s">
        <v>5</v>
      </c>
      <c r="AZ5" s="60" t="s">
        <v>17</v>
      </c>
      <c r="BA5" s="60" t="s">
        <v>17</v>
      </c>
      <c r="BB5" s="60" t="s">
        <v>17</v>
      </c>
      <c r="BC5" s="26" t="s">
        <v>4</v>
      </c>
      <c r="BD5" s="26" t="s">
        <v>4</v>
      </c>
      <c r="BE5" s="1">
        <v>0.5</v>
      </c>
      <c r="BF5" s="1">
        <f t="shared" ref="BF5:BF68" si="11">COUNTIF($G5:$BD5, "E")</f>
        <v>6</v>
      </c>
      <c r="BG5" s="1">
        <f>COUNTIF($G5:$BD5, "L1")</f>
        <v>16</v>
      </c>
      <c r="BH5" s="1">
        <f t="shared" si="3"/>
        <v>0</v>
      </c>
      <c r="BI5" s="1">
        <f t="shared" si="4"/>
        <v>0</v>
      </c>
      <c r="BJ5" s="1">
        <f t="shared" si="5"/>
        <v>0</v>
      </c>
      <c r="BK5" s="95">
        <f>COUNTIF($G5:$BD5, "AM")</f>
        <v>0</v>
      </c>
      <c r="BL5" s="95">
        <f>COUNTIF($G5:$BD5, "AF")</f>
        <v>0</v>
      </c>
      <c r="BM5" s="1"/>
      <c r="BN5" s="1">
        <f t="shared" si="6"/>
        <v>28</v>
      </c>
      <c r="BO5" s="1">
        <f t="shared" si="7"/>
        <v>0</v>
      </c>
      <c r="BP5" s="1">
        <f t="shared" si="8"/>
        <v>0</v>
      </c>
      <c r="BQ5" s="1">
        <f t="shared" si="9"/>
        <v>0</v>
      </c>
      <c r="BR5" s="1">
        <f t="shared" si="10"/>
        <v>0</v>
      </c>
      <c r="BS5" s="95">
        <f>COUNTIF($G5:$BD5, "AM_D")</f>
        <v>0</v>
      </c>
      <c r="BT5" s="95">
        <f>COUNTIF($G5:$BD5, "AF_D")</f>
        <v>0</v>
      </c>
    </row>
    <row r="6" spans="1:72" x14ac:dyDescent="0.3">
      <c r="A6" s="56">
        <f t="shared" ref="A6:B7" si="12">A3+1</f>
        <v>163</v>
      </c>
      <c r="B6" s="56">
        <f t="shared" si="12"/>
        <v>2</v>
      </c>
      <c r="C6" s="103">
        <v>44724.1875</v>
      </c>
      <c r="D6" s="104">
        <f t="shared" si="0"/>
        <v>0.25</v>
      </c>
      <c r="E6" s="102">
        <f t="shared" si="1"/>
        <v>0.75</v>
      </c>
      <c r="F6" s="91">
        <f t="shared" si="2"/>
        <v>0.75</v>
      </c>
      <c r="G6" s="60" t="s">
        <v>17</v>
      </c>
      <c r="H6" s="60" t="s">
        <v>17</v>
      </c>
      <c r="I6" s="60" t="s">
        <v>17</v>
      </c>
      <c r="J6" s="26" t="s">
        <v>5</v>
      </c>
      <c r="K6" s="26" t="s">
        <v>5</v>
      </c>
      <c r="L6" s="60" t="s">
        <v>17</v>
      </c>
      <c r="M6" s="60" t="s">
        <v>17</v>
      </c>
      <c r="N6" s="60" t="s">
        <v>17</v>
      </c>
      <c r="O6" s="26" t="s">
        <v>5</v>
      </c>
      <c r="P6" s="26" t="s">
        <v>5</v>
      </c>
      <c r="Q6" s="60" t="s">
        <v>17</v>
      </c>
      <c r="R6" s="60" t="s">
        <v>17</v>
      </c>
      <c r="S6" s="60" t="s">
        <v>17</v>
      </c>
      <c r="T6" s="26" t="s">
        <v>5</v>
      </c>
      <c r="U6" s="26" t="s">
        <v>5</v>
      </c>
      <c r="V6" s="60" t="s">
        <v>17</v>
      </c>
      <c r="W6" s="60" t="s">
        <v>17</v>
      </c>
      <c r="X6" s="60" t="s">
        <v>17</v>
      </c>
      <c r="Y6" s="60" t="s">
        <v>17</v>
      </c>
      <c r="Z6" s="26" t="s">
        <v>5</v>
      </c>
      <c r="AA6" s="60" t="s">
        <v>17</v>
      </c>
      <c r="AB6" s="60" t="s">
        <v>17</v>
      </c>
      <c r="AC6" s="26" t="s">
        <v>5</v>
      </c>
      <c r="AD6" s="26" t="s">
        <v>5</v>
      </c>
      <c r="AE6" s="26" t="s">
        <v>5</v>
      </c>
      <c r="AF6" s="60" t="s">
        <v>17</v>
      </c>
      <c r="AG6" s="60" t="s">
        <v>17</v>
      </c>
      <c r="AH6" s="60" t="s">
        <v>17</v>
      </c>
      <c r="AI6" s="26" t="s">
        <v>5</v>
      </c>
      <c r="AJ6" s="26" t="s">
        <v>5</v>
      </c>
      <c r="AK6" s="60" t="s">
        <v>17</v>
      </c>
      <c r="AL6" s="60" t="s">
        <v>17</v>
      </c>
      <c r="AM6" s="26" t="s">
        <v>5</v>
      </c>
      <c r="AN6" s="26" t="s">
        <v>5</v>
      </c>
      <c r="AO6" s="26" t="s">
        <v>5</v>
      </c>
      <c r="AP6" s="60" t="s">
        <v>17</v>
      </c>
      <c r="AQ6" s="60" t="s">
        <v>17</v>
      </c>
      <c r="AR6" s="60" t="s">
        <v>17</v>
      </c>
      <c r="AS6" s="26" t="s">
        <v>5</v>
      </c>
      <c r="AT6" s="26" t="s">
        <v>5</v>
      </c>
      <c r="AU6" s="60" t="s">
        <v>17</v>
      </c>
      <c r="AV6" s="60" t="s">
        <v>17</v>
      </c>
      <c r="AW6" s="26" t="s">
        <v>5</v>
      </c>
      <c r="AX6" s="26" t="s">
        <v>5</v>
      </c>
      <c r="AY6" s="26" t="s">
        <v>5</v>
      </c>
      <c r="AZ6" s="60" t="s">
        <v>17</v>
      </c>
      <c r="BA6" s="60" t="s">
        <v>17</v>
      </c>
      <c r="BB6" s="60" t="s">
        <v>17</v>
      </c>
      <c r="BC6" s="26" t="s">
        <v>5</v>
      </c>
      <c r="BD6" s="26" t="s">
        <v>5</v>
      </c>
      <c r="BE6" s="1">
        <v>0.75</v>
      </c>
      <c r="BF6" s="1">
        <f t="shared" si="11"/>
        <v>0</v>
      </c>
      <c r="BG6" s="1">
        <f>COUNTIF($G6:$BD6, "L1")</f>
        <v>22</v>
      </c>
      <c r="BH6" s="1">
        <f t="shared" si="3"/>
        <v>0</v>
      </c>
      <c r="BI6" s="1">
        <f t="shared" si="4"/>
        <v>0</v>
      </c>
      <c r="BJ6" s="1">
        <f t="shared" si="5"/>
        <v>0</v>
      </c>
      <c r="BK6" s="95">
        <f>COUNTIF($G6:$BD6, "AM")</f>
        <v>0</v>
      </c>
      <c r="BL6" s="95">
        <f>COUNTIF($G6:$BD6, "AF")</f>
        <v>0</v>
      </c>
      <c r="BM6" s="1"/>
      <c r="BN6" s="1">
        <f t="shared" si="6"/>
        <v>28</v>
      </c>
      <c r="BO6" s="1">
        <f t="shared" si="7"/>
        <v>0</v>
      </c>
      <c r="BP6" s="1">
        <f t="shared" si="8"/>
        <v>0</v>
      </c>
      <c r="BQ6" s="1">
        <f t="shared" si="9"/>
        <v>0</v>
      </c>
      <c r="BR6" s="1">
        <f t="shared" si="10"/>
        <v>0</v>
      </c>
      <c r="BS6" s="95">
        <f>COUNTIF($G6:$BD6, "AM_D")</f>
        <v>0</v>
      </c>
      <c r="BT6" s="95">
        <f>COUNTIF($G6:$BD6, "AF_D")</f>
        <v>0</v>
      </c>
    </row>
    <row r="7" spans="1:72" x14ac:dyDescent="0.3">
      <c r="A7" s="56">
        <f t="shared" si="12"/>
        <v>163</v>
      </c>
      <c r="B7" s="56">
        <f t="shared" si="12"/>
        <v>2</v>
      </c>
      <c r="C7" s="103">
        <v>44724.4375</v>
      </c>
      <c r="D7" s="104">
        <f t="shared" si="0"/>
        <v>0.25</v>
      </c>
      <c r="E7" s="102">
        <f>E6+D7</f>
        <v>1</v>
      </c>
      <c r="F7" s="91">
        <f t="shared" si="2"/>
        <v>1</v>
      </c>
      <c r="G7" s="60" t="s">
        <v>17</v>
      </c>
      <c r="H7" s="60" t="s">
        <v>17</v>
      </c>
      <c r="I7" s="60" t="s">
        <v>17</v>
      </c>
      <c r="J7" s="26" t="s">
        <v>5</v>
      </c>
      <c r="K7" s="26" t="s">
        <v>5</v>
      </c>
      <c r="L7" s="60" t="s">
        <v>17</v>
      </c>
      <c r="M7" s="60" t="s">
        <v>17</v>
      </c>
      <c r="N7" s="60" t="s">
        <v>17</v>
      </c>
      <c r="O7" s="26" t="s">
        <v>5</v>
      </c>
      <c r="P7" s="26" t="s">
        <v>5</v>
      </c>
      <c r="Q7" s="60" t="s">
        <v>17</v>
      </c>
      <c r="R7" s="60" t="s">
        <v>17</v>
      </c>
      <c r="S7" s="60" t="s">
        <v>17</v>
      </c>
      <c r="T7" s="26" t="s">
        <v>5</v>
      </c>
      <c r="U7" s="26" t="s">
        <v>5</v>
      </c>
      <c r="V7" s="60" t="s">
        <v>17</v>
      </c>
      <c r="W7" s="60" t="s">
        <v>17</v>
      </c>
      <c r="X7" s="60" t="s">
        <v>17</v>
      </c>
      <c r="Y7" s="60" t="s">
        <v>17</v>
      </c>
      <c r="Z7" s="26" t="s">
        <v>5</v>
      </c>
      <c r="AA7" s="60" t="s">
        <v>17</v>
      </c>
      <c r="AB7" s="60" t="s">
        <v>17</v>
      </c>
      <c r="AC7" s="26" t="s">
        <v>5</v>
      </c>
      <c r="AD7" s="26" t="s">
        <v>5</v>
      </c>
      <c r="AE7" s="26" t="s">
        <v>5</v>
      </c>
      <c r="AF7" s="60" t="s">
        <v>17</v>
      </c>
      <c r="AG7" s="60" t="s">
        <v>17</v>
      </c>
      <c r="AH7" s="60" t="s">
        <v>17</v>
      </c>
      <c r="AI7" s="26" t="s">
        <v>5</v>
      </c>
      <c r="AJ7" s="26" t="s">
        <v>5</v>
      </c>
      <c r="AK7" s="60" t="s">
        <v>17</v>
      </c>
      <c r="AL7" s="60" t="s">
        <v>17</v>
      </c>
      <c r="AM7" s="26" t="s">
        <v>5</v>
      </c>
      <c r="AN7" s="26" t="s">
        <v>5</v>
      </c>
      <c r="AO7" s="26" t="s">
        <v>5</v>
      </c>
      <c r="AP7" s="60" t="s">
        <v>17</v>
      </c>
      <c r="AQ7" s="60" t="s">
        <v>17</v>
      </c>
      <c r="AR7" s="60" t="s">
        <v>17</v>
      </c>
      <c r="AS7" s="26" t="s">
        <v>5</v>
      </c>
      <c r="AT7" s="26" t="s">
        <v>5</v>
      </c>
      <c r="AU7" s="60" t="s">
        <v>17</v>
      </c>
      <c r="AV7" s="60" t="s">
        <v>17</v>
      </c>
      <c r="AW7" s="26" t="s">
        <v>5</v>
      </c>
      <c r="AX7" s="26" t="s">
        <v>5</v>
      </c>
      <c r="AY7" s="26" t="s">
        <v>5</v>
      </c>
      <c r="AZ7" s="60" t="s">
        <v>17</v>
      </c>
      <c r="BA7" s="60" t="s">
        <v>17</v>
      </c>
      <c r="BB7" s="60" t="s">
        <v>17</v>
      </c>
      <c r="BC7" s="26" t="s">
        <v>5</v>
      </c>
      <c r="BD7" s="26" t="s">
        <v>5</v>
      </c>
      <c r="BE7" s="1">
        <v>1</v>
      </c>
      <c r="BF7" s="1">
        <f t="shared" si="11"/>
        <v>0</v>
      </c>
      <c r="BG7" s="1">
        <f>COUNTIF($G7:$BD7, "L1")</f>
        <v>22</v>
      </c>
      <c r="BH7" s="1">
        <f>COUNTIF($G7:$BD7, "L2")</f>
        <v>0</v>
      </c>
      <c r="BI7" s="1">
        <f t="shared" si="4"/>
        <v>0</v>
      </c>
      <c r="BJ7" s="1">
        <f t="shared" si="5"/>
        <v>0</v>
      </c>
      <c r="BK7" s="95">
        <f>COUNTIF($G7:$BD7, "AM")</f>
        <v>0</v>
      </c>
      <c r="BL7" s="95">
        <f>COUNTIF($G7:$BD7, "AF")</f>
        <v>0</v>
      </c>
      <c r="BM7" s="1"/>
      <c r="BN7" s="1">
        <f t="shared" si="6"/>
        <v>28</v>
      </c>
      <c r="BO7" s="1">
        <f t="shared" si="7"/>
        <v>0</v>
      </c>
      <c r="BP7" s="1">
        <f t="shared" si="8"/>
        <v>0</v>
      </c>
      <c r="BQ7" s="1">
        <f t="shared" si="9"/>
        <v>0</v>
      </c>
      <c r="BR7" s="1">
        <f t="shared" si="10"/>
        <v>0</v>
      </c>
      <c r="BS7" s="95">
        <f>COUNTIF($G7:$BD7, "AM_D")</f>
        <v>0</v>
      </c>
      <c r="BT7" s="95">
        <f>COUNTIF($G7:$BD7, "AF_D")</f>
        <v>0</v>
      </c>
    </row>
    <row r="8" spans="1:72" x14ac:dyDescent="0.3">
      <c r="A8" s="56">
        <f t="shared" ref="A8:B8" si="13">A5+1</f>
        <v>163</v>
      </c>
      <c r="B8" s="56">
        <f t="shared" si="13"/>
        <v>2</v>
      </c>
      <c r="C8" s="103">
        <v>44724.6875</v>
      </c>
      <c r="D8" s="104">
        <f t="shared" si="0"/>
        <v>0.25</v>
      </c>
      <c r="E8" s="102">
        <f t="shared" si="1"/>
        <v>1.25</v>
      </c>
      <c r="F8" s="91">
        <f t="shared" si="2"/>
        <v>1.25</v>
      </c>
      <c r="G8" s="60" t="s">
        <v>17</v>
      </c>
      <c r="H8" s="60" t="s">
        <v>17</v>
      </c>
      <c r="I8" s="60" t="s">
        <v>17</v>
      </c>
      <c r="J8" s="26" t="s">
        <v>5</v>
      </c>
      <c r="K8" s="26" t="s">
        <v>8</v>
      </c>
      <c r="L8" s="60" t="s">
        <v>17</v>
      </c>
      <c r="M8" s="60" t="s">
        <v>17</v>
      </c>
      <c r="N8" s="60" t="s">
        <v>17</v>
      </c>
      <c r="O8" s="26" t="s">
        <v>8</v>
      </c>
      <c r="P8" s="26" t="s">
        <v>8</v>
      </c>
      <c r="Q8" s="60" t="s">
        <v>17</v>
      </c>
      <c r="R8" s="60" t="s">
        <v>17</v>
      </c>
      <c r="S8" s="60" t="s">
        <v>17</v>
      </c>
      <c r="T8" s="26" t="s">
        <v>5</v>
      </c>
      <c r="U8" s="26" t="s">
        <v>5</v>
      </c>
      <c r="V8" s="60" t="s">
        <v>17</v>
      </c>
      <c r="W8" s="60" t="s">
        <v>17</v>
      </c>
      <c r="X8" s="60" t="s">
        <v>17</v>
      </c>
      <c r="Y8" s="60" t="s">
        <v>17</v>
      </c>
      <c r="Z8" s="26" t="s">
        <v>5</v>
      </c>
      <c r="AA8" s="60" t="s">
        <v>17</v>
      </c>
      <c r="AB8" s="60" t="s">
        <v>17</v>
      </c>
      <c r="AC8" s="26" t="s">
        <v>5</v>
      </c>
      <c r="AD8" s="26" t="s">
        <v>5</v>
      </c>
      <c r="AE8" s="26" t="s">
        <v>5</v>
      </c>
      <c r="AF8" s="60" t="s">
        <v>17</v>
      </c>
      <c r="AG8" s="60" t="s">
        <v>17</v>
      </c>
      <c r="AH8" s="60" t="s">
        <v>17</v>
      </c>
      <c r="AI8" s="26" t="s">
        <v>5</v>
      </c>
      <c r="AJ8" s="26" t="s">
        <v>5</v>
      </c>
      <c r="AK8" s="60" t="s">
        <v>17</v>
      </c>
      <c r="AL8" s="60" t="s">
        <v>17</v>
      </c>
      <c r="AM8" s="26" t="s">
        <v>5</v>
      </c>
      <c r="AN8" s="26" t="s">
        <v>5</v>
      </c>
      <c r="AO8" s="26" t="s">
        <v>5</v>
      </c>
      <c r="AP8" s="60" t="s">
        <v>17</v>
      </c>
      <c r="AQ8" s="60" t="s">
        <v>17</v>
      </c>
      <c r="AR8" s="60" t="s">
        <v>17</v>
      </c>
      <c r="AS8" s="26" t="s">
        <v>5</v>
      </c>
      <c r="AT8" s="26" t="s">
        <v>5</v>
      </c>
      <c r="AU8" s="60" t="s">
        <v>17</v>
      </c>
      <c r="AV8" s="60" t="s">
        <v>17</v>
      </c>
      <c r="AW8" s="26" t="s">
        <v>5</v>
      </c>
      <c r="AX8" s="26" t="s">
        <v>5</v>
      </c>
      <c r="AY8" s="26" t="s">
        <v>5</v>
      </c>
      <c r="AZ8" s="60" t="s">
        <v>17</v>
      </c>
      <c r="BA8" s="60" t="s">
        <v>17</v>
      </c>
      <c r="BB8" s="60" t="s">
        <v>17</v>
      </c>
      <c r="BC8" s="26" t="s">
        <v>5</v>
      </c>
      <c r="BD8" s="26" t="s">
        <v>5</v>
      </c>
      <c r="BE8" s="1">
        <v>1.25</v>
      </c>
      <c r="BF8" s="1">
        <f t="shared" si="11"/>
        <v>0</v>
      </c>
      <c r="BG8" s="1">
        <f t="shared" ref="BG8:BG71" si="14">COUNTIF($G8:$BD8, "L1")</f>
        <v>19</v>
      </c>
      <c r="BH8" s="1">
        <f>COUNTIF($G8:$BD8, "L2")</f>
        <v>3</v>
      </c>
      <c r="BI8" s="1">
        <f t="shared" si="4"/>
        <v>0</v>
      </c>
      <c r="BJ8" s="1">
        <f t="shared" si="5"/>
        <v>0</v>
      </c>
      <c r="BK8" s="95">
        <f>COUNTIF($G8:$BD8, "AM")</f>
        <v>0</v>
      </c>
      <c r="BL8" s="95">
        <f>COUNTIF($G8:$BD8, "AF")</f>
        <v>0</v>
      </c>
      <c r="BM8" s="1"/>
      <c r="BN8" s="1">
        <f t="shared" si="6"/>
        <v>28</v>
      </c>
      <c r="BO8" s="1">
        <f t="shared" si="7"/>
        <v>0</v>
      </c>
      <c r="BP8" s="1">
        <f t="shared" si="8"/>
        <v>0</v>
      </c>
      <c r="BQ8" s="1">
        <f t="shared" si="9"/>
        <v>0</v>
      </c>
      <c r="BR8" s="1">
        <f t="shared" si="10"/>
        <v>0</v>
      </c>
      <c r="BS8" s="95">
        <f>COUNTIF($G8:$BD8, "AM_D")</f>
        <v>0</v>
      </c>
      <c r="BT8" s="95">
        <f>COUNTIF($G8:$BD8, "AF_D")</f>
        <v>0</v>
      </c>
    </row>
    <row r="9" spans="1:72" x14ac:dyDescent="0.3">
      <c r="A9" s="56">
        <v>163</v>
      </c>
      <c r="B9" s="56">
        <v>2</v>
      </c>
      <c r="C9" s="103">
        <v>44724.9375</v>
      </c>
      <c r="D9" s="104">
        <f t="shared" si="0"/>
        <v>0.25</v>
      </c>
      <c r="E9" s="102">
        <f t="shared" si="1"/>
        <v>1.5</v>
      </c>
      <c r="F9" s="91">
        <f t="shared" si="2"/>
        <v>1.5</v>
      </c>
      <c r="G9" s="60" t="s">
        <v>17</v>
      </c>
      <c r="H9" s="60" t="s">
        <v>17</v>
      </c>
      <c r="I9" s="60" t="s">
        <v>17</v>
      </c>
      <c r="J9" s="60" t="s">
        <v>18</v>
      </c>
      <c r="K9" s="26" t="s">
        <v>8</v>
      </c>
      <c r="L9" s="60" t="s">
        <v>17</v>
      </c>
      <c r="M9" s="60" t="s">
        <v>17</v>
      </c>
      <c r="N9" s="60" t="s">
        <v>17</v>
      </c>
      <c r="O9" s="26" t="s">
        <v>8</v>
      </c>
      <c r="P9" s="26" t="s">
        <v>8</v>
      </c>
      <c r="Q9" s="60" t="s">
        <v>17</v>
      </c>
      <c r="R9" s="60" t="s">
        <v>17</v>
      </c>
      <c r="S9" s="60" t="s">
        <v>17</v>
      </c>
      <c r="T9" s="60" t="s">
        <v>18</v>
      </c>
      <c r="U9" s="26" t="s">
        <v>5</v>
      </c>
      <c r="V9" s="60" t="s">
        <v>17</v>
      </c>
      <c r="W9" s="60" t="s">
        <v>17</v>
      </c>
      <c r="X9" s="60" t="s">
        <v>17</v>
      </c>
      <c r="Y9" s="60" t="s">
        <v>17</v>
      </c>
      <c r="Z9" s="26" t="s">
        <v>5</v>
      </c>
      <c r="AA9" s="60" t="s">
        <v>17</v>
      </c>
      <c r="AB9" s="60" t="s">
        <v>17</v>
      </c>
      <c r="AC9" s="26" t="s">
        <v>5</v>
      </c>
      <c r="AD9" s="26" t="s">
        <v>8</v>
      </c>
      <c r="AE9" s="26" t="s">
        <v>8</v>
      </c>
      <c r="AF9" s="60" t="s">
        <v>17</v>
      </c>
      <c r="AG9" s="60" t="s">
        <v>17</v>
      </c>
      <c r="AH9" s="60" t="s">
        <v>17</v>
      </c>
      <c r="AI9" s="26" t="s">
        <v>18</v>
      </c>
      <c r="AJ9" s="26" t="s">
        <v>5</v>
      </c>
      <c r="AK9" s="60" t="s">
        <v>17</v>
      </c>
      <c r="AL9" s="60" t="s">
        <v>17</v>
      </c>
      <c r="AM9" s="26" t="s">
        <v>18</v>
      </c>
      <c r="AN9" s="26" t="s">
        <v>8</v>
      </c>
      <c r="AO9" s="26" t="s">
        <v>8</v>
      </c>
      <c r="AP9" s="60" t="s">
        <v>17</v>
      </c>
      <c r="AQ9" s="60" t="s">
        <v>17</v>
      </c>
      <c r="AR9" s="60" t="s">
        <v>17</v>
      </c>
      <c r="AS9" s="26" t="s">
        <v>5</v>
      </c>
      <c r="AT9" s="26" t="s">
        <v>5</v>
      </c>
      <c r="AU9" s="60" t="s">
        <v>17</v>
      </c>
      <c r="AV9" s="60" t="s">
        <v>17</v>
      </c>
      <c r="AW9" s="26" t="s">
        <v>5</v>
      </c>
      <c r="AX9" s="26" t="s">
        <v>5</v>
      </c>
      <c r="AY9" s="26" t="s">
        <v>5</v>
      </c>
      <c r="AZ9" s="60" t="s">
        <v>17</v>
      </c>
      <c r="BA9" s="60" t="s">
        <v>17</v>
      </c>
      <c r="BB9" s="60" t="s">
        <v>17</v>
      </c>
      <c r="BC9" s="60" t="s">
        <v>18</v>
      </c>
      <c r="BD9" s="26" t="s">
        <v>5</v>
      </c>
      <c r="BE9" s="1">
        <v>1.5</v>
      </c>
      <c r="BF9" s="1">
        <f t="shared" si="11"/>
        <v>0</v>
      </c>
      <c r="BG9" s="1">
        <f t="shared" si="14"/>
        <v>10</v>
      </c>
      <c r="BH9" s="1">
        <f>COUNTIF($G9:$BD9, "L2")</f>
        <v>7</v>
      </c>
      <c r="BI9" s="1">
        <f t="shared" si="4"/>
        <v>0</v>
      </c>
      <c r="BJ9" s="1">
        <f t="shared" si="5"/>
        <v>0</v>
      </c>
      <c r="BK9" s="95">
        <f>COUNTIF($G9:$BD9, "AM")</f>
        <v>0</v>
      </c>
      <c r="BL9" s="95">
        <f>COUNTIF($G9:$BD9, "AF")</f>
        <v>0</v>
      </c>
      <c r="BM9" s="1"/>
      <c r="BN9" s="1">
        <f t="shared" si="6"/>
        <v>28</v>
      </c>
      <c r="BO9" s="1">
        <f t="shared" si="7"/>
        <v>5</v>
      </c>
      <c r="BP9" s="1">
        <f t="shared" si="8"/>
        <v>0</v>
      </c>
      <c r="BQ9" s="1">
        <f t="shared" si="9"/>
        <v>0</v>
      </c>
      <c r="BR9" s="1">
        <f t="shared" si="10"/>
        <v>0</v>
      </c>
      <c r="BS9" s="95">
        <f>COUNTIF($G9:$BD9, "AM_D")</f>
        <v>0</v>
      </c>
      <c r="BT9" s="95">
        <f>COUNTIF($G9:$BD9, "AF_D")</f>
        <v>0</v>
      </c>
    </row>
    <row r="10" spans="1:72" x14ac:dyDescent="0.3">
      <c r="A10" s="56">
        <v>164</v>
      </c>
      <c r="B10" s="56">
        <f>B6+1</f>
        <v>3</v>
      </c>
      <c r="C10" s="105">
        <v>44725.1875</v>
      </c>
      <c r="D10" s="104">
        <f t="shared" si="0"/>
        <v>0.25</v>
      </c>
      <c r="E10" s="102">
        <f t="shared" si="1"/>
        <v>1.75</v>
      </c>
      <c r="F10" s="91">
        <f t="shared" si="2"/>
        <v>1.75</v>
      </c>
      <c r="G10" s="60" t="s">
        <v>17</v>
      </c>
      <c r="H10" s="60" t="s">
        <v>17</v>
      </c>
      <c r="I10" s="60" t="s">
        <v>17</v>
      </c>
      <c r="J10" s="60" t="s">
        <v>18</v>
      </c>
      <c r="K10" s="26" t="s">
        <v>8</v>
      </c>
      <c r="L10" s="60" t="s">
        <v>17</v>
      </c>
      <c r="M10" s="60" t="s">
        <v>17</v>
      </c>
      <c r="N10" s="60" t="s">
        <v>17</v>
      </c>
      <c r="O10" s="26" t="s">
        <v>8</v>
      </c>
      <c r="P10" s="26" t="s">
        <v>8</v>
      </c>
      <c r="Q10" s="60" t="s">
        <v>17</v>
      </c>
      <c r="R10" s="60" t="s">
        <v>17</v>
      </c>
      <c r="S10" s="60" t="s">
        <v>17</v>
      </c>
      <c r="T10" s="60" t="s">
        <v>18</v>
      </c>
      <c r="U10" s="26" t="s">
        <v>5</v>
      </c>
      <c r="V10" s="60" t="s">
        <v>17</v>
      </c>
      <c r="W10" s="60" t="s">
        <v>17</v>
      </c>
      <c r="X10" s="60" t="s">
        <v>17</v>
      </c>
      <c r="Y10" s="60" t="s">
        <v>17</v>
      </c>
      <c r="Z10" s="26" t="s">
        <v>5</v>
      </c>
      <c r="AA10" s="60" t="s">
        <v>17</v>
      </c>
      <c r="AB10" s="60" t="s">
        <v>17</v>
      </c>
      <c r="AC10" s="26" t="s">
        <v>5</v>
      </c>
      <c r="AD10" s="26" t="s">
        <v>8</v>
      </c>
      <c r="AE10" s="26" t="s">
        <v>8</v>
      </c>
      <c r="AF10" s="60" t="s">
        <v>17</v>
      </c>
      <c r="AG10" s="60" t="s">
        <v>17</v>
      </c>
      <c r="AH10" s="60" t="s">
        <v>17</v>
      </c>
      <c r="AI10" s="26" t="s">
        <v>18</v>
      </c>
      <c r="AJ10" s="26" t="s">
        <v>5</v>
      </c>
      <c r="AK10" s="60" t="s">
        <v>17</v>
      </c>
      <c r="AL10" s="60" t="s">
        <v>17</v>
      </c>
      <c r="AM10" s="26" t="s">
        <v>18</v>
      </c>
      <c r="AN10" s="26" t="s">
        <v>8</v>
      </c>
      <c r="AO10" s="26" t="s">
        <v>8</v>
      </c>
      <c r="AP10" s="60" t="s">
        <v>17</v>
      </c>
      <c r="AQ10" s="60" t="s">
        <v>17</v>
      </c>
      <c r="AR10" s="60" t="s">
        <v>17</v>
      </c>
      <c r="AS10" s="26" t="s">
        <v>5</v>
      </c>
      <c r="AT10" s="26" t="s">
        <v>5</v>
      </c>
      <c r="AU10" s="60" t="s">
        <v>17</v>
      </c>
      <c r="AV10" s="60" t="s">
        <v>17</v>
      </c>
      <c r="AW10" s="26" t="s">
        <v>5</v>
      </c>
      <c r="AX10" s="26" t="s">
        <v>5</v>
      </c>
      <c r="AY10" s="26" t="s">
        <v>5</v>
      </c>
      <c r="AZ10" s="60" t="s">
        <v>17</v>
      </c>
      <c r="BA10" s="60" t="s">
        <v>17</v>
      </c>
      <c r="BB10" s="60" t="s">
        <v>17</v>
      </c>
      <c r="BC10" s="60" t="s">
        <v>18</v>
      </c>
      <c r="BD10" s="26" t="s">
        <v>5</v>
      </c>
      <c r="BE10" s="1">
        <v>1.75</v>
      </c>
      <c r="BF10" s="1">
        <f t="shared" si="11"/>
        <v>0</v>
      </c>
      <c r="BG10" s="1">
        <f t="shared" si="14"/>
        <v>10</v>
      </c>
      <c r="BH10" s="1">
        <f t="shared" si="3"/>
        <v>7</v>
      </c>
      <c r="BI10" s="1">
        <f t="shared" si="4"/>
        <v>0</v>
      </c>
      <c r="BJ10" s="1">
        <f t="shared" si="5"/>
        <v>0</v>
      </c>
      <c r="BK10" s="95">
        <f>COUNTIF($G10:$BD10, "AM")</f>
        <v>0</v>
      </c>
      <c r="BL10" s="95">
        <f>COUNTIF($G10:$BD10, "AF")</f>
        <v>0</v>
      </c>
      <c r="BM10" s="1"/>
      <c r="BN10" s="1">
        <f t="shared" si="6"/>
        <v>28</v>
      </c>
      <c r="BO10" s="1">
        <f t="shared" si="7"/>
        <v>5</v>
      </c>
      <c r="BP10" s="1">
        <f t="shared" si="8"/>
        <v>0</v>
      </c>
      <c r="BQ10" s="1">
        <f t="shared" si="9"/>
        <v>0</v>
      </c>
      <c r="BR10" s="1">
        <f t="shared" si="10"/>
        <v>0</v>
      </c>
      <c r="BS10" s="95">
        <f>COUNTIF($G10:$BD10, "AM_D")</f>
        <v>0</v>
      </c>
      <c r="BT10" s="95">
        <f>COUNTIF($G10:$BD10, "AF_D")</f>
        <v>0</v>
      </c>
    </row>
    <row r="11" spans="1:72" x14ac:dyDescent="0.3">
      <c r="A11" s="56">
        <v>164</v>
      </c>
      <c r="B11" s="56">
        <f t="shared" ref="B11:B13" si="15">B7+1</f>
        <v>3</v>
      </c>
      <c r="C11" s="105">
        <v>44725.4375</v>
      </c>
      <c r="D11" s="104">
        <f t="shared" si="0"/>
        <v>0.25</v>
      </c>
      <c r="E11" s="102">
        <f t="shared" ref="E11" si="16">E10+D11</f>
        <v>2</v>
      </c>
      <c r="F11" s="91">
        <f t="shared" si="2"/>
        <v>2</v>
      </c>
      <c r="G11" s="60" t="s">
        <v>17</v>
      </c>
      <c r="H11" s="60" t="s">
        <v>17</v>
      </c>
      <c r="I11" s="60" t="s">
        <v>17</v>
      </c>
      <c r="J11" s="60" t="s">
        <v>18</v>
      </c>
      <c r="K11" s="26" t="s">
        <v>8</v>
      </c>
      <c r="L11" s="60" t="s">
        <v>17</v>
      </c>
      <c r="M11" s="60" t="s">
        <v>17</v>
      </c>
      <c r="N11" s="60" t="s">
        <v>17</v>
      </c>
      <c r="O11" s="26" t="s">
        <v>8</v>
      </c>
      <c r="P11" s="26" t="s">
        <v>8</v>
      </c>
      <c r="Q11" s="60" t="s">
        <v>17</v>
      </c>
      <c r="R11" s="60" t="s">
        <v>17</v>
      </c>
      <c r="S11" s="60" t="s">
        <v>17</v>
      </c>
      <c r="T11" s="60" t="s">
        <v>18</v>
      </c>
      <c r="U11" s="26" t="s">
        <v>8</v>
      </c>
      <c r="V11" s="60" t="s">
        <v>17</v>
      </c>
      <c r="W11" s="60" t="s">
        <v>17</v>
      </c>
      <c r="X11" s="60" t="s">
        <v>17</v>
      </c>
      <c r="Y11" s="60" t="s">
        <v>17</v>
      </c>
      <c r="Z11" s="26" t="s">
        <v>8</v>
      </c>
      <c r="AA11" s="60" t="s">
        <v>17</v>
      </c>
      <c r="AB11" s="60" t="s">
        <v>17</v>
      </c>
      <c r="AC11" s="26" t="s">
        <v>8</v>
      </c>
      <c r="AD11" s="26" t="s">
        <v>8</v>
      </c>
      <c r="AE11" s="26" t="s">
        <v>8</v>
      </c>
      <c r="AF11" s="60" t="s">
        <v>17</v>
      </c>
      <c r="AG11" s="60" t="s">
        <v>17</v>
      </c>
      <c r="AH11" s="60" t="s">
        <v>17</v>
      </c>
      <c r="AI11" s="26" t="s">
        <v>18</v>
      </c>
      <c r="AJ11" s="26" t="s">
        <v>8</v>
      </c>
      <c r="AK11" s="60" t="s">
        <v>17</v>
      </c>
      <c r="AL11" s="60" t="s">
        <v>17</v>
      </c>
      <c r="AM11" s="26" t="s">
        <v>18</v>
      </c>
      <c r="AN11" s="26" t="s">
        <v>8</v>
      </c>
      <c r="AO11" s="26" t="s">
        <v>8</v>
      </c>
      <c r="AP11" s="60" t="s">
        <v>17</v>
      </c>
      <c r="AQ11" s="60" t="s">
        <v>17</v>
      </c>
      <c r="AR11" s="60" t="s">
        <v>17</v>
      </c>
      <c r="AS11" s="26" t="s">
        <v>5</v>
      </c>
      <c r="AT11" s="26" t="s">
        <v>8</v>
      </c>
      <c r="AU11" s="60" t="s">
        <v>17</v>
      </c>
      <c r="AV11" s="60" t="s">
        <v>17</v>
      </c>
      <c r="AW11" s="26" t="s">
        <v>18</v>
      </c>
      <c r="AX11" s="26" t="s">
        <v>5</v>
      </c>
      <c r="AY11" s="26" t="s">
        <v>8</v>
      </c>
      <c r="AZ11" s="60" t="s">
        <v>17</v>
      </c>
      <c r="BA11" s="60" t="s">
        <v>17</v>
      </c>
      <c r="BB11" s="60" t="s">
        <v>17</v>
      </c>
      <c r="BC11" s="60" t="s">
        <v>18</v>
      </c>
      <c r="BD11" s="26" t="s">
        <v>8</v>
      </c>
      <c r="BE11" s="1">
        <v>2</v>
      </c>
      <c r="BF11" s="1">
        <f t="shared" si="11"/>
        <v>0</v>
      </c>
      <c r="BG11" s="1">
        <f t="shared" si="14"/>
        <v>2</v>
      </c>
      <c r="BH11" s="1">
        <f t="shared" si="3"/>
        <v>14</v>
      </c>
      <c r="BI11" s="1">
        <f t="shared" si="4"/>
        <v>0</v>
      </c>
      <c r="BJ11" s="1">
        <f t="shared" si="5"/>
        <v>0</v>
      </c>
      <c r="BK11" s="95">
        <f>COUNTIF($G11:$BD11, "AM")</f>
        <v>0</v>
      </c>
      <c r="BL11" s="95">
        <f>COUNTIF($G11:$BD11, "AF")</f>
        <v>0</v>
      </c>
      <c r="BM11" s="1"/>
      <c r="BN11" s="1">
        <f t="shared" si="6"/>
        <v>28</v>
      </c>
      <c r="BO11" s="1">
        <f>COUNTIF($G11:$BD11, "L1_D")</f>
        <v>6</v>
      </c>
      <c r="BP11" s="1">
        <f t="shared" si="8"/>
        <v>0</v>
      </c>
      <c r="BQ11" s="1">
        <f t="shared" si="9"/>
        <v>0</v>
      </c>
      <c r="BR11" s="1">
        <f t="shared" si="10"/>
        <v>0</v>
      </c>
      <c r="BS11" s="95">
        <f>COUNTIF($G11:$BD11, "AM_D")</f>
        <v>0</v>
      </c>
      <c r="BT11" s="95">
        <f>COUNTIF($G11:$BD11, "AF_D")</f>
        <v>0</v>
      </c>
    </row>
    <row r="12" spans="1:72" x14ac:dyDescent="0.3">
      <c r="A12" s="56">
        <v>164</v>
      </c>
      <c r="B12" s="56">
        <f t="shared" si="15"/>
        <v>3</v>
      </c>
      <c r="C12" s="106">
        <v>44725.6875</v>
      </c>
      <c r="D12" s="101">
        <f t="shared" si="0"/>
        <v>0.25</v>
      </c>
      <c r="E12" s="102">
        <f t="shared" ref="E12:E18" si="17">E11+D12</f>
        <v>2.25</v>
      </c>
      <c r="F12" s="91">
        <f t="shared" si="2"/>
        <v>2.25</v>
      </c>
      <c r="G12" s="60" t="s">
        <v>17</v>
      </c>
      <c r="H12" s="60" t="s">
        <v>17</v>
      </c>
      <c r="I12" s="60" t="s">
        <v>17</v>
      </c>
      <c r="J12" s="60" t="s">
        <v>18</v>
      </c>
      <c r="K12" s="26" t="s">
        <v>8</v>
      </c>
      <c r="L12" s="60" t="s">
        <v>17</v>
      </c>
      <c r="M12" s="60" t="s">
        <v>17</v>
      </c>
      <c r="N12" s="60" t="s">
        <v>17</v>
      </c>
      <c r="O12" s="26" t="s">
        <v>8</v>
      </c>
      <c r="P12" s="26" t="s">
        <v>8</v>
      </c>
      <c r="Q12" s="60" t="s">
        <v>17</v>
      </c>
      <c r="R12" s="60" t="s">
        <v>17</v>
      </c>
      <c r="S12" s="60" t="s">
        <v>17</v>
      </c>
      <c r="T12" s="60" t="s">
        <v>18</v>
      </c>
      <c r="U12" s="26" t="s">
        <v>8</v>
      </c>
      <c r="V12" s="60" t="s">
        <v>17</v>
      </c>
      <c r="W12" s="60" t="s">
        <v>17</v>
      </c>
      <c r="X12" s="60" t="s">
        <v>17</v>
      </c>
      <c r="Y12" s="60" t="s">
        <v>17</v>
      </c>
      <c r="Z12" s="26" t="s">
        <v>8</v>
      </c>
      <c r="AA12" s="60" t="s">
        <v>17</v>
      </c>
      <c r="AB12" s="60" t="s">
        <v>17</v>
      </c>
      <c r="AC12" s="26" t="s">
        <v>8</v>
      </c>
      <c r="AD12" s="26" t="s">
        <v>8</v>
      </c>
      <c r="AE12" s="26" t="s">
        <v>8</v>
      </c>
      <c r="AF12" s="60" t="s">
        <v>17</v>
      </c>
      <c r="AG12" s="60" t="s">
        <v>17</v>
      </c>
      <c r="AH12" s="60" t="s">
        <v>17</v>
      </c>
      <c r="AI12" s="26" t="s">
        <v>18</v>
      </c>
      <c r="AJ12" s="26" t="s">
        <v>8</v>
      </c>
      <c r="AK12" s="60" t="s">
        <v>17</v>
      </c>
      <c r="AL12" s="60" t="s">
        <v>17</v>
      </c>
      <c r="AM12" s="26" t="s">
        <v>18</v>
      </c>
      <c r="AN12" s="26" t="s">
        <v>8</v>
      </c>
      <c r="AO12" s="26" t="s">
        <v>8</v>
      </c>
      <c r="AP12" s="60" t="s">
        <v>17</v>
      </c>
      <c r="AQ12" s="60" t="s">
        <v>17</v>
      </c>
      <c r="AR12" s="60" t="s">
        <v>17</v>
      </c>
      <c r="AS12" s="26" t="s">
        <v>8</v>
      </c>
      <c r="AT12" s="26" t="s">
        <v>8</v>
      </c>
      <c r="AU12" s="60" t="s">
        <v>17</v>
      </c>
      <c r="AV12" s="60" t="s">
        <v>17</v>
      </c>
      <c r="AW12" s="26" t="s">
        <v>18</v>
      </c>
      <c r="AX12" s="26" t="s">
        <v>8</v>
      </c>
      <c r="AY12" s="26" t="s">
        <v>8</v>
      </c>
      <c r="AZ12" s="60" t="s">
        <v>17</v>
      </c>
      <c r="BA12" s="60" t="s">
        <v>17</v>
      </c>
      <c r="BB12" s="60" t="s">
        <v>17</v>
      </c>
      <c r="BC12" s="60" t="s">
        <v>18</v>
      </c>
      <c r="BD12" s="26" t="s">
        <v>8</v>
      </c>
      <c r="BE12" s="1">
        <v>2.25</v>
      </c>
      <c r="BF12" s="1">
        <f t="shared" si="11"/>
        <v>0</v>
      </c>
      <c r="BG12" s="1">
        <f t="shared" si="14"/>
        <v>0</v>
      </c>
      <c r="BH12" s="1">
        <f t="shared" si="3"/>
        <v>16</v>
      </c>
      <c r="BI12" s="1">
        <f t="shared" si="4"/>
        <v>0</v>
      </c>
      <c r="BJ12" s="1">
        <f t="shared" si="5"/>
        <v>0</v>
      </c>
      <c r="BK12" s="95">
        <f>COUNTIF($G12:$BD12, "AM")</f>
        <v>0</v>
      </c>
      <c r="BL12" s="95">
        <f>COUNTIF($G12:$BD12, "AF")</f>
        <v>0</v>
      </c>
      <c r="BM12" s="1"/>
      <c r="BN12" s="1">
        <f t="shared" si="6"/>
        <v>28</v>
      </c>
      <c r="BO12" s="1">
        <f t="shared" si="7"/>
        <v>6</v>
      </c>
      <c r="BP12" s="1">
        <f t="shared" si="8"/>
        <v>0</v>
      </c>
      <c r="BQ12" s="1">
        <f t="shared" si="9"/>
        <v>0</v>
      </c>
      <c r="BR12" s="1">
        <f t="shared" si="10"/>
        <v>0</v>
      </c>
      <c r="BS12" s="95">
        <f>COUNTIF($G12:$BD12, "AM_D")</f>
        <v>0</v>
      </c>
      <c r="BT12" s="95">
        <f>COUNTIF($G12:$BD12, "AF_D")</f>
        <v>0</v>
      </c>
    </row>
    <row r="13" spans="1:72" x14ac:dyDescent="0.3">
      <c r="A13" s="56">
        <v>164</v>
      </c>
      <c r="B13" s="56">
        <f t="shared" si="15"/>
        <v>3</v>
      </c>
      <c r="C13" s="106">
        <v>44725.9375</v>
      </c>
      <c r="D13" s="101">
        <f t="shared" si="0"/>
        <v>0.25</v>
      </c>
      <c r="E13" s="102">
        <f t="shared" si="17"/>
        <v>2.5</v>
      </c>
      <c r="F13" s="91">
        <f t="shared" si="2"/>
        <v>2.5</v>
      </c>
      <c r="G13" s="60" t="s">
        <v>17</v>
      </c>
      <c r="H13" s="60" t="s">
        <v>17</v>
      </c>
      <c r="I13" s="60" t="s">
        <v>17</v>
      </c>
      <c r="J13" s="26" t="s">
        <v>18</v>
      </c>
      <c r="K13" s="26" t="s">
        <v>10</v>
      </c>
      <c r="L13" s="60" t="s">
        <v>17</v>
      </c>
      <c r="M13" s="60" t="s">
        <v>17</v>
      </c>
      <c r="N13" s="60" t="s">
        <v>17</v>
      </c>
      <c r="O13" s="26" t="s">
        <v>8</v>
      </c>
      <c r="P13" s="26" t="s">
        <v>10</v>
      </c>
      <c r="Q13" s="60" t="s">
        <v>17</v>
      </c>
      <c r="R13" s="60" t="s">
        <v>17</v>
      </c>
      <c r="S13" s="60" t="s">
        <v>17</v>
      </c>
      <c r="T13" s="26" t="s">
        <v>18</v>
      </c>
      <c r="U13" s="26" t="s">
        <v>8</v>
      </c>
      <c r="V13" s="60" t="s">
        <v>17</v>
      </c>
      <c r="W13" s="60" t="s">
        <v>17</v>
      </c>
      <c r="X13" s="60" t="s">
        <v>17</v>
      </c>
      <c r="Y13" s="60" t="s">
        <v>17</v>
      </c>
      <c r="Z13" s="26" t="s">
        <v>8</v>
      </c>
      <c r="AA13" s="60" t="s">
        <v>17</v>
      </c>
      <c r="AB13" s="60" t="s">
        <v>17</v>
      </c>
      <c r="AC13" s="26" t="s">
        <v>8</v>
      </c>
      <c r="AD13" s="26" t="s">
        <v>8</v>
      </c>
      <c r="AE13" s="26" t="s">
        <v>8</v>
      </c>
      <c r="AF13" s="60" t="s">
        <v>17</v>
      </c>
      <c r="AG13" s="60" t="s">
        <v>17</v>
      </c>
      <c r="AH13" s="60" t="s">
        <v>17</v>
      </c>
      <c r="AI13" s="26" t="s">
        <v>18</v>
      </c>
      <c r="AJ13" s="26" t="s">
        <v>8</v>
      </c>
      <c r="AK13" s="60" t="s">
        <v>17</v>
      </c>
      <c r="AL13" s="60" t="s">
        <v>17</v>
      </c>
      <c r="AM13" s="26" t="s">
        <v>18</v>
      </c>
      <c r="AN13" s="26" t="s">
        <v>8</v>
      </c>
      <c r="AO13" s="26" t="s">
        <v>8</v>
      </c>
      <c r="AP13" s="60" t="s">
        <v>17</v>
      </c>
      <c r="AQ13" s="60" t="s">
        <v>17</v>
      </c>
      <c r="AR13" s="60" t="s">
        <v>17</v>
      </c>
      <c r="AS13" s="26" t="s">
        <v>8</v>
      </c>
      <c r="AT13" s="26" t="s">
        <v>8</v>
      </c>
      <c r="AU13" s="60" t="s">
        <v>17</v>
      </c>
      <c r="AV13" s="60" t="s">
        <v>17</v>
      </c>
      <c r="AW13" s="26" t="s">
        <v>18</v>
      </c>
      <c r="AX13" s="26" t="s">
        <v>8</v>
      </c>
      <c r="AY13" s="26" t="s">
        <v>8</v>
      </c>
      <c r="AZ13" s="60" t="s">
        <v>17</v>
      </c>
      <c r="BA13" s="60" t="s">
        <v>17</v>
      </c>
      <c r="BB13" s="60" t="s">
        <v>17</v>
      </c>
      <c r="BC13" s="26" t="s">
        <v>18</v>
      </c>
      <c r="BD13" s="26" t="s">
        <v>8</v>
      </c>
      <c r="BE13" s="1">
        <v>2.5</v>
      </c>
      <c r="BF13" s="1">
        <f t="shared" si="11"/>
        <v>0</v>
      </c>
      <c r="BG13" s="1">
        <f t="shared" si="14"/>
        <v>0</v>
      </c>
      <c r="BH13" s="1">
        <f t="shared" si="3"/>
        <v>14</v>
      </c>
      <c r="BI13" s="1">
        <f t="shared" si="4"/>
        <v>2</v>
      </c>
      <c r="BJ13" s="1">
        <f t="shared" si="5"/>
        <v>0</v>
      </c>
      <c r="BK13" s="95">
        <f>COUNTIF($G13:$BD13, "AM")</f>
        <v>0</v>
      </c>
      <c r="BL13" s="95">
        <f>COUNTIF($G13:$BD13, "AF")</f>
        <v>0</v>
      </c>
      <c r="BM13" s="1"/>
      <c r="BN13" s="1">
        <f t="shared" si="6"/>
        <v>28</v>
      </c>
      <c r="BO13" s="1">
        <f t="shared" si="7"/>
        <v>6</v>
      </c>
      <c r="BP13" s="1">
        <f t="shared" si="8"/>
        <v>0</v>
      </c>
      <c r="BQ13" s="1">
        <f t="shared" si="9"/>
        <v>0</v>
      </c>
      <c r="BR13" s="1">
        <f t="shared" si="10"/>
        <v>0</v>
      </c>
      <c r="BS13" s="95">
        <f>COUNTIF($G13:$BD13, "AM_D")</f>
        <v>0</v>
      </c>
      <c r="BT13" s="95">
        <f>COUNTIF($G13:$BD13, "AF_D")</f>
        <v>0</v>
      </c>
    </row>
    <row r="14" spans="1:72" x14ac:dyDescent="0.3">
      <c r="A14" s="56">
        <v>165</v>
      </c>
      <c r="B14" s="56">
        <v>4</v>
      </c>
      <c r="C14" s="106">
        <v>44726.1875</v>
      </c>
      <c r="D14" s="101">
        <f t="shared" si="0"/>
        <v>0.25</v>
      </c>
      <c r="E14" s="102">
        <f t="shared" si="17"/>
        <v>2.75</v>
      </c>
      <c r="F14" s="91">
        <f t="shared" si="2"/>
        <v>2.75</v>
      </c>
      <c r="G14" s="60" t="s">
        <v>17</v>
      </c>
      <c r="H14" s="60" t="s">
        <v>17</v>
      </c>
      <c r="I14" s="60" t="s">
        <v>17</v>
      </c>
      <c r="J14" s="26" t="s">
        <v>18</v>
      </c>
      <c r="K14" s="26" t="s">
        <v>10</v>
      </c>
      <c r="L14" s="60" t="s">
        <v>17</v>
      </c>
      <c r="M14" s="60" t="s">
        <v>17</v>
      </c>
      <c r="N14" s="60" t="s">
        <v>17</v>
      </c>
      <c r="O14" s="26" t="s">
        <v>8</v>
      </c>
      <c r="P14" s="26" t="s">
        <v>10</v>
      </c>
      <c r="Q14" s="60" t="s">
        <v>17</v>
      </c>
      <c r="R14" s="60" t="s">
        <v>17</v>
      </c>
      <c r="S14" s="60" t="s">
        <v>17</v>
      </c>
      <c r="T14" s="26" t="s">
        <v>18</v>
      </c>
      <c r="U14" s="26" t="s">
        <v>8</v>
      </c>
      <c r="V14" s="60" t="s">
        <v>17</v>
      </c>
      <c r="W14" s="60" t="s">
        <v>17</v>
      </c>
      <c r="X14" s="60" t="s">
        <v>17</v>
      </c>
      <c r="Y14" s="60" t="s">
        <v>17</v>
      </c>
      <c r="Z14" s="26" t="s">
        <v>8</v>
      </c>
      <c r="AA14" s="60" t="s">
        <v>17</v>
      </c>
      <c r="AB14" s="60" t="s">
        <v>17</v>
      </c>
      <c r="AC14" s="26" t="s">
        <v>8</v>
      </c>
      <c r="AD14" s="26" t="s">
        <v>8</v>
      </c>
      <c r="AE14" s="26" t="s">
        <v>8</v>
      </c>
      <c r="AF14" s="60" t="s">
        <v>17</v>
      </c>
      <c r="AG14" s="60" t="s">
        <v>17</v>
      </c>
      <c r="AH14" s="60" t="s">
        <v>17</v>
      </c>
      <c r="AI14" s="26" t="s">
        <v>18</v>
      </c>
      <c r="AJ14" s="26" t="s">
        <v>8</v>
      </c>
      <c r="AK14" s="60" t="s">
        <v>17</v>
      </c>
      <c r="AL14" s="60" t="s">
        <v>17</v>
      </c>
      <c r="AM14" s="26" t="s">
        <v>18</v>
      </c>
      <c r="AN14" s="26" t="s">
        <v>8</v>
      </c>
      <c r="AO14" s="26" t="s">
        <v>8</v>
      </c>
      <c r="AP14" s="60" t="s">
        <v>17</v>
      </c>
      <c r="AQ14" s="60" t="s">
        <v>17</v>
      </c>
      <c r="AR14" s="60" t="s">
        <v>17</v>
      </c>
      <c r="AS14" s="26" t="s">
        <v>8</v>
      </c>
      <c r="AT14" s="26" t="s">
        <v>8</v>
      </c>
      <c r="AU14" s="60" t="s">
        <v>17</v>
      </c>
      <c r="AV14" s="60" t="s">
        <v>17</v>
      </c>
      <c r="AW14" s="26" t="s">
        <v>18</v>
      </c>
      <c r="AX14" s="26" t="s">
        <v>8</v>
      </c>
      <c r="AY14" s="26" t="s">
        <v>8</v>
      </c>
      <c r="AZ14" s="60" t="s">
        <v>17</v>
      </c>
      <c r="BA14" s="60" t="s">
        <v>17</v>
      </c>
      <c r="BB14" s="60" t="s">
        <v>17</v>
      </c>
      <c r="BC14" s="26" t="s">
        <v>18</v>
      </c>
      <c r="BD14" s="26" t="s">
        <v>8</v>
      </c>
      <c r="BE14" s="1">
        <v>2.75</v>
      </c>
      <c r="BF14" s="1">
        <f t="shared" si="11"/>
        <v>0</v>
      </c>
      <c r="BG14" s="1">
        <f t="shared" si="14"/>
        <v>0</v>
      </c>
      <c r="BH14" s="1">
        <f t="shared" si="3"/>
        <v>14</v>
      </c>
      <c r="BI14" s="1">
        <f t="shared" si="4"/>
        <v>2</v>
      </c>
      <c r="BJ14" s="1">
        <f t="shared" si="5"/>
        <v>0</v>
      </c>
      <c r="BK14" s="95">
        <f>COUNTIF($G14:$BD14, "AM")</f>
        <v>0</v>
      </c>
      <c r="BL14" s="95">
        <f>COUNTIF($G14:$BD14, "AF")</f>
        <v>0</v>
      </c>
      <c r="BM14" s="1"/>
      <c r="BN14" s="1">
        <f t="shared" si="6"/>
        <v>28</v>
      </c>
      <c r="BO14" s="1">
        <f t="shared" si="7"/>
        <v>6</v>
      </c>
      <c r="BP14" s="1">
        <f t="shared" si="8"/>
        <v>0</v>
      </c>
      <c r="BQ14" s="1">
        <f t="shared" si="9"/>
        <v>0</v>
      </c>
      <c r="BR14" s="1">
        <f t="shared" si="10"/>
        <v>0</v>
      </c>
      <c r="BS14" s="95">
        <f>COUNTIF($G14:$BD14, "AM_D")</f>
        <v>0</v>
      </c>
      <c r="BT14" s="95">
        <f>COUNTIF($G14:$BD14, "AF_D")</f>
        <v>0</v>
      </c>
    </row>
    <row r="15" spans="1:72" x14ac:dyDescent="0.3">
      <c r="A15" s="56">
        <v>165</v>
      </c>
      <c r="B15" s="56">
        <v>4</v>
      </c>
      <c r="C15" s="106">
        <v>44726.4375</v>
      </c>
      <c r="D15" s="101">
        <f t="shared" si="0"/>
        <v>0.25</v>
      </c>
      <c r="E15" s="102">
        <f t="shared" si="17"/>
        <v>3</v>
      </c>
      <c r="F15" s="91">
        <f t="shared" si="2"/>
        <v>3</v>
      </c>
      <c r="G15" s="60" t="s">
        <v>17</v>
      </c>
      <c r="H15" s="60" t="s">
        <v>17</v>
      </c>
      <c r="I15" s="60" t="s">
        <v>17</v>
      </c>
      <c r="J15" s="26" t="s">
        <v>18</v>
      </c>
      <c r="K15" s="26" t="s">
        <v>10</v>
      </c>
      <c r="L15" s="60" t="s">
        <v>17</v>
      </c>
      <c r="M15" s="60" t="s">
        <v>17</v>
      </c>
      <c r="N15" s="60" t="s">
        <v>17</v>
      </c>
      <c r="O15" s="26" t="s">
        <v>10</v>
      </c>
      <c r="P15" s="26" t="s">
        <v>10</v>
      </c>
      <c r="Q15" s="60" t="s">
        <v>17</v>
      </c>
      <c r="R15" s="60" t="s">
        <v>17</v>
      </c>
      <c r="S15" s="60" t="s">
        <v>17</v>
      </c>
      <c r="T15" s="26" t="s">
        <v>18</v>
      </c>
      <c r="U15" s="26" t="s">
        <v>8</v>
      </c>
      <c r="V15" s="60" t="s">
        <v>17</v>
      </c>
      <c r="W15" s="60" t="s">
        <v>17</v>
      </c>
      <c r="X15" s="60" t="s">
        <v>17</v>
      </c>
      <c r="Y15" s="60" t="s">
        <v>17</v>
      </c>
      <c r="Z15" s="26" t="s">
        <v>10</v>
      </c>
      <c r="AA15" s="60" t="s">
        <v>17</v>
      </c>
      <c r="AB15" s="60" t="s">
        <v>17</v>
      </c>
      <c r="AC15" s="26" t="s">
        <v>8</v>
      </c>
      <c r="AD15" s="26" t="s">
        <v>10</v>
      </c>
      <c r="AE15" s="26" t="s">
        <v>10</v>
      </c>
      <c r="AF15" s="60" t="s">
        <v>17</v>
      </c>
      <c r="AG15" s="60" t="s">
        <v>17</v>
      </c>
      <c r="AH15" s="60" t="s">
        <v>17</v>
      </c>
      <c r="AI15" s="26" t="s">
        <v>18</v>
      </c>
      <c r="AJ15" s="26" t="s">
        <v>10</v>
      </c>
      <c r="AK15" s="60" t="s">
        <v>17</v>
      </c>
      <c r="AL15" s="60" t="s">
        <v>17</v>
      </c>
      <c r="AM15" s="26" t="s">
        <v>18</v>
      </c>
      <c r="AN15" s="26" t="s">
        <v>8</v>
      </c>
      <c r="AO15" s="26" t="s">
        <v>8</v>
      </c>
      <c r="AP15" s="60" t="s">
        <v>17</v>
      </c>
      <c r="AQ15" s="60" t="s">
        <v>17</v>
      </c>
      <c r="AR15" s="60" t="s">
        <v>17</v>
      </c>
      <c r="AS15" s="26" t="s">
        <v>8</v>
      </c>
      <c r="AT15" s="26" t="s">
        <v>8</v>
      </c>
      <c r="AU15" s="60" t="s">
        <v>17</v>
      </c>
      <c r="AV15" s="60" t="s">
        <v>17</v>
      </c>
      <c r="AW15" s="26" t="s">
        <v>18</v>
      </c>
      <c r="AX15" s="26" t="s">
        <v>8</v>
      </c>
      <c r="AY15" s="26" t="s">
        <v>8</v>
      </c>
      <c r="AZ15" s="60" t="s">
        <v>17</v>
      </c>
      <c r="BA15" s="60" t="s">
        <v>17</v>
      </c>
      <c r="BB15" s="60" t="s">
        <v>17</v>
      </c>
      <c r="BC15" s="26" t="s">
        <v>18</v>
      </c>
      <c r="BD15" s="26" t="s">
        <v>8</v>
      </c>
      <c r="BE15" s="1">
        <v>3</v>
      </c>
      <c r="BF15" s="1">
        <f t="shared" si="11"/>
        <v>0</v>
      </c>
      <c r="BG15" s="1">
        <f t="shared" si="14"/>
        <v>0</v>
      </c>
      <c r="BH15" s="1">
        <f t="shared" si="3"/>
        <v>9</v>
      </c>
      <c r="BI15" s="1">
        <f t="shared" si="4"/>
        <v>7</v>
      </c>
      <c r="BJ15" s="1">
        <f t="shared" si="5"/>
        <v>0</v>
      </c>
      <c r="BK15" s="95">
        <f>COUNTIF($G15:$BD15, "AM")</f>
        <v>0</v>
      </c>
      <c r="BL15" s="95">
        <f>COUNTIF($G15:$BD15, "AF")</f>
        <v>0</v>
      </c>
      <c r="BM15" s="1"/>
      <c r="BN15" s="1">
        <f t="shared" si="6"/>
        <v>28</v>
      </c>
      <c r="BO15" s="1">
        <f t="shared" si="7"/>
        <v>6</v>
      </c>
      <c r="BP15" s="1">
        <f t="shared" si="8"/>
        <v>0</v>
      </c>
      <c r="BQ15" s="1">
        <f t="shared" si="9"/>
        <v>0</v>
      </c>
      <c r="BR15" s="1">
        <f t="shared" si="10"/>
        <v>0</v>
      </c>
      <c r="BS15" s="95">
        <f>COUNTIF($G15:$BD15, "AM_D")</f>
        <v>0</v>
      </c>
      <c r="BT15" s="95">
        <f>COUNTIF($G15:$BD15, "AF_D")</f>
        <v>0</v>
      </c>
    </row>
    <row r="16" spans="1:72" x14ac:dyDescent="0.3">
      <c r="A16" s="56">
        <v>165</v>
      </c>
      <c r="B16" s="56">
        <v>4</v>
      </c>
      <c r="C16" s="106">
        <v>44726.6875</v>
      </c>
      <c r="D16" s="101">
        <f t="shared" si="0"/>
        <v>0.25</v>
      </c>
      <c r="E16" s="102">
        <f t="shared" si="17"/>
        <v>3.25</v>
      </c>
      <c r="F16" s="91">
        <f t="shared" si="2"/>
        <v>3.25</v>
      </c>
      <c r="G16" s="60" t="s">
        <v>17</v>
      </c>
      <c r="H16" s="60" t="s">
        <v>17</v>
      </c>
      <c r="I16" s="60" t="s">
        <v>17</v>
      </c>
      <c r="J16" s="26" t="s">
        <v>18</v>
      </c>
      <c r="K16" s="26" t="s">
        <v>10</v>
      </c>
      <c r="L16" s="60" t="s">
        <v>17</v>
      </c>
      <c r="M16" s="60" t="s">
        <v>17</v>
      </c>
      <c r="N16" s="60" t="s">
        <v>17</v>
      </c>
      <c r="O16" s="26" t="s">
        <v>10</v>
      </c>
      <c r="P16" s="26" t="s">
        <v>10</v>
      </c>
      <c r="Q16" s="60" t="s">
        <v>17</v>
      </c>
      <c r="R16" s="60" t="s">
        <v>17</v>
      </c>
      <c r="S16" s="60" t="s">
        <v>17</v>
      </c>
      <c r="T16" s="26" t="s">
        <v>18</v>
      </c>
      <c r="U16" s="26" t="s">
        <v>10</v>
      </c>
      <c r="V16" s="60" t="s">
        <v>17</v>
      </c>
      <c r="W16" s="60" t="s">
        <v>17</v>
      </c>
      <c r="X16" s="60" t="s">
        <v>17</v>
      </c>
      <c r="Y16" s="60" t="s">
        <v>17</v>
      </c>
      <c r="Z16" s="26" t="s">
        <v>10</v>
      </c>
      <c r="AA16" s="60" t="s">
        <v>17</v>
      </c>
      <c r="AB16" s="60" t="s">
        <v>17</v>
      </c>
      <c r="AC16" s="26" t="s">
        <v>10</v>
      </c>
      <c r="AD16" s="26" t="s">
        <v>10</v>
      </c>
      <c r="AE16" s="26" t="s">
        <v>10</v>
      </c>
      <c r="AF16" s="60" t="s">
        <v>17</v>
      </c>
      <c r="AG16" s="60" t="s">
        <v>17</v>
      </c>
      <c r="AH16" s="60" t="s">
        <v>17</v>
      </c>
      <c r="AI16" s="26" t="s">
        <v>18</v>
      </c>
      <c r="AJ16" s="26" t="s">
        <v>10</v>
      </c>
      <c r="AK16" s="60" t="s">
        <v>17</v>
      </c>
      <c r="AL16" s="60" t="s">
        <v>17</v>
      </c>
      <c r="AM16" s="26" t="s">
        <v>18</v>
      </c>
      <c r="AN16" s="26" t="s">
        <v>10</v>
      </c>
      <c r="AO16" s="26" t="s">
        <v>10</v>
      </c>
      <c r="AP16" s="60" t="s">
        <v>17</v>
      </c>
      <c r="AQ16" s="60" t="s">
        <v>17</v>
      </c>
      <c r="AR16" s="60" t="s">
        <v>17</v>
      </c>
      <c r="AS16" s="26" t="s">
        <v>10</v>
      </c>
      <c r="AT16" s="26" t="s">
        <v>10</v>
      </c>
      <c r="AU16" s="60" t="s">
        <v>17</v>
      </c>
      <c r="AV16" s="60" t="s">
        <v>17</v>
      </c>
      <c r="AW16" s="26" t="s">
        <v>18</v>
      </c>
      <c r="AX16" s="26" t="s">
        <v>8</v>
      </c>
      <c r="AY16" s="26" t="s">
        <v>10</v>
      </c>
      <c r="AZ16" s="60" t="s">
        <v>17</v>
      </c>
      <c r="BA16" s="60" t="s">
        <v>17</v>
      </c>
      <c r="BB16" s="60" t="s">
        <v>17</v>
      </c>
      <c r="BC16" s="26" t="s">
        <v>18</v>
      </c>
      <c r="BD16" s="26" t="s">
        <v>10</v>
      </c>
      <c r="BE16" s="1">
        <v>3.25</v>
      </c>
      <c r="BF16" s="1">
        <f t="shared" si="11"/>
        <v>0</v>
      </c>
      <c r="BG16" s="1">
        <f t="shared" si="14"/>
        <v>0</v>
      </c>
      <c r="BH16" s="1">
        <f t="shared" si="3"/>
        <v>1</v>
      </c>
      <c r="BI16" s="1">
        <f t="shared" si="4"/>
        <v>15</v>
      </c>
      <c r="BJ16" s="1">
        <f t="shared" si="5"/>
        <v>0</v>
      </c>
      <c r="BK16" s="95">
        <f>COUNTIF($G16:$BD16, "AM")</f>
        <v>0</v>
      </c>
      <c r="BL16" s="95">
        <f>COUNTIF($G16:$BD16, "AF")</f>
        <v>0</v>
      </c>
      <c r="BM16" s="1"/>
      <c r="BN16" s="1">
        <f t="shared" si="6"/>
        <v>28</v>
      </c>
      <c r="BO16" s="1">
        <f t="shared" si="7"/>
        <v>6</v>
      </c>
      <c r="BP16" s="1">
        <f t="shared" si="8"/>
        <v>0</v>
      </c>
      <c r="BQ16" s="1">
        <f t="shared" si="9"/>
        <v>0</v>
      </c>
      <c r="BR16" s="1">
        <f t="shared" si="10"/>
        <v>0</v>
      </c>
      <c r="BS16" s="95">
        <f>COUNTIF($G16:$BD16, "AM_D")</f>
        <v>0</v>
      </c>
      <c r="BT16" s="95">
        <f>COUNTIF($G16:$BD16, "AF_D")</f>
        <v>0</v>
      </c>
    </row>
    <row r="17" spans="1:72" x14ac:dyDescent="0.3">
      <c r="A17" s="56">
        <v>165</v>
      </c>
      <c r="B17" s="56">
        <v>4</v>
      </c>
      <c r="C17" s="106">
        <v>44726.9375</v>
      </c>
      <c r="D17" s="101">
        <f t="shared" si="0"/>
        <v>0.25</v>
      </c>
      <c r="E17" s="102">
        <f t="shared" si="17"/>
        <v>3.5</v>
      </c>
      <c r="F17" s="91">
        <f t="shared" si="2"/>
        <v>3.5</v>
      </c>
      <c r="G17" s="60" t="s">
        <v>17</v>
      </c>
      <c r="H17" s="60" t="s">
        <v>17</v>
      </c>
      <c r="I17" s="60" t="s">
        <v>17</v>
      </c>
      <c r="J17" s="26" t="s">
        <v>18</v>
      </c>
      <c r="K17" s="26" t="s">
        <v>10</v>
      </c>
      <c r="L17" s="60" t="s">
        <v>17</v>
      </c>
      <c r="M17" s="60" t="s">
        <v>17</v>
      </c>
      <c r="N17" s="60" t="s">
        <v>17</v>
      </c>
      <c r="O17" s="26" t="s">
        <v>10</v>
      </c>
      <c r="P17" s="26" t="s">
        <v>10</v>
      </c>
      <c r="Q17" s="60" t="s">
        <v>17</v>
      </c>
      <c r="R17" s="60" t="s">
        <v>17</v>
      </c>
      <c r="S17" s="60" t="s">
        <v>17</v>
      </c>
      <c r="T17" s="26" t="s">
        <v>18</v>
      </c>
      <c r="U17" s="26" t="s">
        <v>10</v>
      </c>
      <c r="V17" s="60" t="s">
        <v>17</v>
      </c>
      <c r="W17" s="60" t="s">
        <v>17</v>
      </c>
      <c r="X17" s="60" t="s">
        <v>17</v>
      </c>
      <c r="Y17" s="60" t="s">
        <v>17</v>
      </c>
      <c r="Z17" s="26" t="s">
        <v>10</v>
      </c>
      <c r="AA17" s="60" t="s">
        <v>17</v>
      </c>
      <c r="AB17" s="60" t="s">
        <v>17</v>
      </c>
      <c r="AC17" s="26" t="s">
        <v>10</v>
      </c>
      <c r="AD17" s="26" t="s">
        <v>10</v>
      </c>
      <c r="AE17" s="26" t="s">
        <v>10</v>
      </c>
      <c r="AF17" s="60" t="s">
        <v>17</v>
      </c>
      <c r="AG17" s="60" t="s">
        <v>17</v>
      </c>
      <c r="AH17" s="60" t="s">
        <v>17</v>
      </c>
      <c r="AI17" s="26" t="s">
        <v>18</v>
      </c>
      <c r="AJ17" s="26" t="s">
        <v>10</v>
      </c>
      <c r="AK17" s="60" t="s">
        <v>17</v>
      </c>
      <c r="AL17" s="60" t="s">
        <v>17</v>
      </c>
      <c r="AM17" s="26" t="s">
        <v>18</v>
      </c>
      <c r="AN17" s="26" t="s">
        <v>10</v>
      </c>
      <c r="AO17" s="26" t="s">
        <v>10</v>
      </c>
      <c r="AP17" s="60" t="s">
        <v>17</v>
      </c>
      <c r="AQ17" s="60" t="s">
        <v>17</v>
      </c>
      <c r="AR17" s="60" t="s">
        <v>17</v>
      </c>
      <c r="AS17" s="26" t="s">
        <v>10</v>
      </c>
      <c r="AT17" s="26" t="s">
        <v>10</v>
      </c>
      <c r="AU17" s="60" t="s">
        <v>17</v>
      </c>
      <c r="AV17" s="60" t="s">
        <v>17</v>
      </c>
      <c r="AW17" s="26" t="s">
        <v>18</v>
      </c>
      <c r="AX17" s="26" t="s">
        <v>10</v>
      </c>
      <c r="AY17" s="26" t="s">
        <v>10</v>
      </c>
      <c r="AZ17" s="60" t="s">
        <v>17</v>
      </c>
      <c r="BA17" s="60" t="s">
        <v>17</v>
      </c>
      <c r="BB17" s="60" t="s">
        <v>17</v>
      </c>
      <c r="BC17" s="26" t="s">
        <v>18</v>
      </c>
      <c r="BD17" s="26" t="s">
        <v>10</v>
      </c>
      <c r="BE17" s="1">
        <v>3.5</v>
      </c>
      <c r="BF17" s="1">
        <f t="shared" si="11"/>
        <v>0</v>
      </c>
      <c r="BG17" s="1">
        <f t="shared" si="14"/>
        <v>0</v>
      </c>
      <c r="BH17" s="1">
        <f t="shared" si="3"/>
        <v>0</v>
      </c>
      <c r="BI17" s="1">
        <f t="shared" si="4"/>
        <v>16</v>
      </c>
      <c r="BJ17" s="1">
        <f t="shared" si="5"/>
        <v>0</v>
      </c>
      <c r="BK17" s="95">
        <f>COUNTIF($G17:$BD17, "AM")</f>
        <v>0</v>
      </c>
      <c r="BL17" s="95">
        <f>COUNTIF($G17:$BD17, "AF")</f>
        <v>0</v>
      </c>
      <c r="BM17" s="1"/>
      <c r="BN17" s="1">
        <f t="shared" si="6"/>
        <v>28</v>
      </c>
      <c r="BO17" s="1">
        <f t="shared" si="7"/>
        <v>6</v>
      </c>
      <c r="BP17" s="1">
        <f t="shared" si="8"/>
        <v>0</v>
      </c>
      <c r="BQ17" s="1">
        <f t="shared" si="9"/>
        <v>0</v>
      </c>
      <c r="BR17" s="1">
        <f t="shared" si="10"/>
        <v>0</v>
      </c>
      <c r="BS17" s="95">
        <f>COUNTIF($G17:$BD17, "AM_D")</f>
        <v>0</v>
      </c>
      <c r="BT17" s="95">
        <f>COUNTIF($G17:$BD17, "AF_D")</f>
        <v>0</v>
      </c>
    </row>
    <row r="18" spans="1:72" x14ac:dyDescent="0.3">
      <c r="A18" s="56">
        <v>166</v>
      </c>
      <c r="B18" s="56">
        <v>5</v>
      </c>
      <c r="C18" s="106">
        <v>44727.1875</v>
      </c>
      <c r="D18" s="101">
        <f t="shared" si="0"/>
        <v>0.25</v>
      </c>
      <c r="E18" s="102">
        <f t="shared" si="17"/>
        <v>3.75</v>
      </c>
      <c r="F18" s="91">
        <f t="shared" si="2"/>
        <v>3.75</v>
      </c>
      <c r="G18" s="60" t="s">
        <v>17</v>
      </c>
      <c r="H18" s="60" t="s">
        <v>17</v>
      </c>
      <c r="I18" s="60" t="s">
        <v>17</v>
      </c>
      <c r="J18" s="26" t="s">
        <v>18</v>
      </c>
      <c r="K18" s="26" t="s">
        <v>10</v>
      </c>
      <c r="L18" s="60" t="s">
        <v>17</v>
      </c>
      <c r="M18" s="60" t="s">
        <v>17</v>
      </c>
      <c r="N18" s="60" t="s">
        <v>17</v>
      </c>
      <c r="O18" s="26" t="s">
        <v>10</v>
      </c>
      <c r="P18" s="26" t="s">
        <v>10</v>
      </c>
      <c r="Q18" s="60" t="s">
        <v>17</v>
      </c>
      <c r="R18" s="60" t="s">
        <v>17</v>
      </c>
      <c r="S18" s="60" t="s">
        <v>17</v>
      </c>
      <c r="T18" s="26" t="s">
        <v>18</v>
      </c>
      <c r="U18" s="26" t="s">
        <v>10</v>
      </c>
      <c r="V18" s="60" t="s">
        <v>17</v>
      </c>
      <c r="W18" s="60" t="s">
        <v>17</v>
      </c>
      <c r="X18" s="60" t="s">
        <v>17</v>
      </c>
      <c r="Y18" s="60" t="s">
        <v>17</v>
      </c>
      <c r="Z18" s="26" t="s">
        <v>10</v>
      </c>
      <c r="AA18" s="60" t="s">
        <v>17</v>
      </c>
      <c r="AB18" s="60" t="s">
        <v>17</v>
      </c>
      <c r="AC18" s="26" t="s">
        <v>10</v>
      </c>
      <c r="AD18" s="26" t="s">
        <v>10</v>
      </c>
      <c r="AE18" s="26" t="s">
        <v>10</v>
      </c>
      <c r="AF18" s="60" t="s">
        <v>17</v>
      </c>
      <c r="AG18" s="60" t="s">
        <v>17</v>
      </c>
      <c r="AH18" s="60" t="s">
        <v>17</v>
      </c>
      <c r="AI18" s="26" t="s">
        <v>18</v>
      </c>
      <c r="AJ18" s="26" t="s">
        <v>10</v>
      </c>
      <c r="AK18" s="60" t="s">
        <v>17</v>
      </c>
      <c r="AL18" s="60" t="s">
        <v>17</v>
      </c>
      <c r="AM18" s="26" t="s">
        <v>18</v>
      </c>
      <c r="AN18" s="26" t="s">
        <v>10</v>
      </c>
      <c r="AO18" s="26" t="s">
        <v>10</v>
      </c>
      <c r="AP18" s="60" t="s">
        <v>17</v>
      </c>
      <c r="AQ18" s="60" t="s">
        <v>17</v>
      </c>
      <c r="AR18" s="60" t="s">
        <v>17</v>
      </c>
      <c r="AS18" s="26" t="s">
        <v>10</v>
      </c>
      <c r="AT18" s="26" t="s">
        <v>10</v>
      </c>
      <c r="AU18" s="60" t="s">
        <v>17</v>
      </c>
      <c r="AV18" s="60" t="s">
        <v>17</v>
      </c>
      <c r="AW18" s="26" t="s">
        <v>18</v>
      </c>
      <c r="AX18" s="26" t="s">
        <v>10</v>
      </c>
      <c r="AY18" s="26" t="s">
        <v>10</v>
      </c>
      <c r="AZ18" s="60" t="s">
        <v>17</v>
      </c>
      <c r="BA18" s="60" t="s">
        <v>17</v>
      </c>
      <c r="BB18" s="60" t="s">
        <v>17</v>
      </c>
      <c r="BC18" s="26" t="s">
        <v>18</v>
      </c>
      <c r="BD18" s="26" t="s">
        <v>10</v>
      </c>
      <c r="BE18" s="1">
        <v>3.75</v>
      </c>
      <c r="BF18" s="1">
        <f t="shared" si="11"/>
        <v>0</v>
      </c>
      <c r="BG18" s="1">
        <f t="shared" si="14"/>
        <v>0</v>
      </c>
      <c r="BH18" s="1">
        <f t="shared" si="3"/>
        <v>0</v>
      </c>
      <c r="BI18" s="1">
        <f t="shared" si="4"/>
        <v>16</v>
      </c>
      <c r="BJ18" s="1">
        <f t="shared" si="5"/>
        <v>0</v>
      </c>
      <c r="BK18" s="95">
        <f>COUNTIF($G18:$BD18, "AM")</f>
        <v>0</v>
      </c>
      <c r="BL18" s="95">
        <f>COUNTIF($G18:$BD18, "AF")</f>
        <v>0</v>
      </c>
      <c r="BM18" s="1"/>
      <c r="BN18" s="1">
        <f t="shared" si="6"/>
        <v>28</v>
      </c>
      <c r="BO18" s="1">
        <f t="shared" si="7"/>
        <v>6</v>
      </c>
      <c r="BP18" s="1">
        <f t="shared" si="8"/>
        <v>0</v>
      </c>
      <c r="BQ18" s="1">
        <f t="shared" si="9"/>
        <v>0</v>
      </c>
      <c r="BR18" s="1">
        <f t="shared" si="10"/>
        <v>0</v>
      </c>
      <c r="BS18" s="95">
        <f>COUNTIF($G18:$BD18, "AM_D")</f>
        <v>0</v>
      </c>
      <c r="BT18" s="95">
        <f>COUNTIF($G18:$BD18, "AF_D")</f>
        <v>0</v>
      </c>
    </row>
    <row r="19" spans="1:72" x14ac:dyDescent="0.3">
      <c r="A19" s="56">
        <v>166</v>
      </c>
      <c r="B19" s="56">
        <v>5</v>
      </c>
      <c r="C19" s="106">
        <v>44727.4375</v>
      </c>
      <c r="D19" s="101">
        <f t="shared" ref="D19:D47" si="18">(C19-C18)</f>
        <v>0.25</v>
      </c>
      <c r="E19" s="102">
        <f t="shared" ref="E19:E25" si="19">E18+D19</f>
        <v>4</v>
      </c>
      <c r="F19" s="91">
        <f t="shared" si="2"/>
        <v>4</v>
      </c>
      <c r="G19" s="60" t="s">
        <v>17</v>
      </c>
      <c r="H19" s="60" t="s">
        <v>17</v>
      </c>
      <c r="I19" s="60" t="s">
        <v>17</v>
      </c>
      <c r="J19" s="26" t="s">
        <v>18</v>
      </c>
      <c r="K19" s="26" t="s">
        <v>10</v>
      </c>
      <c r="L19" s="60" t="s">
        <v>17</v>
      </c>
      <c r="M19" s="60" t="s">
        <v>17</v>
      </c>
      <c r="N19" s="60" t="s">
        <v>17</v>
      </c>
      <c r="O19" s="26" t="s">
        <v>10</v>
      </c>
      <c r="P19" s="26" t="s">
        <v>11</v>
      </c>
      <c r="Q19" s="60" t="s">
        <v>17</v>
      </c>
      <c r="R19" s="60" t="s">
        <v>17</v>
      </c>
      <c r="S19" s="60" t="s">
        <v>17</v>
      </c>
      <c r="T19" s="26" t="s">
        <v>18</v>
      </c>
      <c r="U19" s="26" t="s">
        <v>10</v>
      </c>
      <c r="V19" s="60" t="s">
        <v>17</v>
      </c>
      <c r="W19" s="60" t="s">
        <v>17</v>
      </c>
      <c r="X19" s="60" t="s">
        <v>17</v>
      </c>
      <c r="Y19" s="60" t="s">
        <v>17</v>
      </c>
      <c r="Z19" s="26" t="s">
        <v>10</v>
      </c>
      <c r="AA19" s="60" t="s">
        <v>17</v>
      </c>
      <c r="AB19" s="60" t="s">
        <v>17</v>
      </c>
      <c r="AC19" s="26" t="s">
        <v>10</v>
      </c>
      <c r="AD19" s="26" t="s">
        <v>10</v>
      </c>
      <c r="AE19" s="26" t="s">
        <v>10</v>
      </c>
      <c r="AF19" s="60" t="s">
        <v>17</v>
      </c>
      <c r="AG19" s="60" t="s">
        <v>17</v>
      </c>
      <c r="AH19" s="60" t="s">
        <v>17</v>
      </c>
      <c r="AI19" s="26" t="s">
        <v>18</v>
      </c>
      <c r="AJ19" s="26" t="s">
        <v>11</v>
      </c>
      <c r="AK19" s="60" t="s">
        <v>17</v>
      </c>
      <c r="AL19" s="60" t="s">
        <v>17</v>
      </c>
      <c r="AM19" s="26" t="s">
        <v>18</v>
      </c>
      <c r="AN19" s="26" t="s">
        <v>10</v>
      </c>
      <c r="AO19" s="26" t="s">
        <v>10</v>
      </c>
      <c r="AP19" s="60" t="s">
        <v>17</v>
      </c>
      <c r="AQ19" s="60" t="s">
        <v>17</v>
      </c>
      <c r="AR19" s="60" t="s">
        <v>17</v>
      </c>
      <c r="AS19" s="26" t="s">
        <v>10</v>
      </c>
      <c r="AT19" s="26" t="s">
        <v>10</v>
      </c>
      <c r="AU19" s="60" t="s">
        <v>17</v>
      </c>
      <c r="AV19" s="60" t="s">
        <v>17</v>
      </c>
      <c r="AW19" s="26" t="s">
        <v>18</v>
      </c>
      <c r="AX19" s="26" t="s">
        <v>10</v>
      </c>
      <c r="AY19" s="26" t="s">
        <v>10</v>
      </c>
      <c r="AZ19" s="60" t="s">
        <v>17</v>
      </c>
      <c r="BA19" s="60" t="s">
        <v>17</v>
      </c>
      <c r="BB19" s="60" t="s">
        <v>17</v>
      </c>
      <c r="BC19" s="26" t="s">
        <v>18</v>
      </c>
      <c r="BD19" s="26" t="s">
        <v>10</v>
      </c>
      <c r="BE19" s="1">
        <v>4</v>
      </c>
      <c r="BF19" s="1">
        <f t="shared" si="11"/>
        <v>0</v>
      </c>
      <c r="BG19" s="1">
        <f t="shared" si="14"/>
        <v>0</v>
      </c>
      <c r="BH19" s="1">
        <f t="shared" si="3"/>
        <v>0</v>
      </c>
      <c r="BI19" s="1">
        <f t="shared" si="4"/>
        <v>14</v>
      </c>
      <c r="BJ19" s="1">
        <f t="shared" si="5"/>
        <v>2</v>
      </c>
      <c r="BK19" s="95">
        <f>COUNTIF($G19:$BD19, "AM")</f>
        <v>0</v>
      </c>
      <c r="BL19" s="95">
        <f>COUNTIF($G19:$BD19, "AF")</f>
        <v>0</v>
      </c>
      <c r="BM19" s="1"/>
      <c r="BN19" s="1">
        <f t="shared" si="6"/>
        <v>28</v>
      </c>
      <c r="BO19" s="1">
        <f t="shared" si="7"/>
        <v>6</v>
      </c>
      <c r="BP19" s="1">
        <f t="shared" si="8"/>
        <v>0</v>
      </c>
      <c r="BQ19" s="1">
        <f t="shared" si="9"/>
        <v>0</v>
      </c>
      <c r="BR19" s="1">
        <f t="shared" si="10"/>
        <v>0</v>
      </c>
      <c r="BS19" s="95">
        <f>COUNTIF($G19:$BD19, "AM_D")</f>
        <v>0</v>
      </c>
      <c r="BT19" s="95">
        <f>COUNTIF($G19:$BD19, "AF_D")</f>
        <v>0</v>
      </c>
    </row>
    <row r="20" spans="1:72" x14ac:dyDescent="0.3">
      <c r="A20" s="56">
        <v>166</v>
      </c>
      <c r="B20" s="56">
        <v>5</v>
      </c>
      <c r="C20" s="106">
        <v>44727.6875</v>
      </c>
      <c r="D20" s="101">
        <f t="shared" si="18"/>
        <v>0.25</v>
      </c>
      <c r="E20" s="102">
        <f t="shared" si="19"/>
        <v>4.25</v>
      </c>
      <c r="F20" s="91">
        <f t="shared" si="2"/>
        <v>4.25</v>
      </c>
      <c r="G20" s="60" t="s">
        <v>17</v>
      </c>
      <c r="H20" s="60" t="s">
        <v>17</v>
      </c>
      <c r="I20" s="60" t="s">
        <v>17</v>
      </c>
      <c r="J20" s="26" t="s">
        <v>18</v>
      </c>
      <c r="K20" s="26" t="s">
        <v>10</v>
      </c>
      <c r="L20" s="60" t="s">
        <v>17</v>
      </c>
      <c r="M20" s="60" t="s">
        <v>17</v>
      </c>
      <c r="N20" s="60" t="s">
        <v>17</v>
      </c>
      <c r="O20" s="26" t="s">
        <v>11</v>
      </c>
      <c r="P20" s="26" t="s">
        <v>11</v>
      </c>
      <c r="Q20" s="60" t="s">
        <v>17</v>
      </c>
      <c r="R20" s="60" t="s">
        <v>17</v>
      </c>
      <c r="S20" s="60" t="s">
        <v>17</v>
      </c>
      <c r="T20" s="26" t="s">
        <v>18</v>
      </c>
      <c r="U20" s="26" t="s">
        <v>10</v>
      </c>
      <c r="V20" s="60" t="s">
        <v>17</v>
      </c>
      <c r="W20" s="60" t="s">
        <v>17</v>
      </c>
      <c r="X20" s="60" t="s">
        <v>17</v>
      </c>
      <c r="Y20" s="60" t="s">
        <v>17</v>
      </c>
      <c r="Z20" s="26" t="s">
        <v>11</v>
      </c>
      <c r="AA20" s="60" t="s">
        <v>17</v>
      </c>
      <c r="AB20" s="60" t="s">
        <v>17</v>
      </c>
      <c r="AC20" s="26" t="s">
        <v>10</v>
      </c>
      <c r="AD20" s="26" t="s">
        <v>10</v>
      </c>
      <c r="AE20" s="26" t="s">
        <v>10</v>
      </c>
      <c r="AF20" s="60" t="s">
        <v>17</v>
      </c>
      <c r="AG20" s="60" t="s">
        <v>17</v>
      </c>
      <c r="AH20" s="60" t="s">
        <v>17</v>
      </c>
      <c r="AI20" s="26" t="s">
        <v>18</v>
      </c>
      <c r="AJ20" s="26" t="s">
        <v>11</v>
      </c>
      <c r="AK20" s="60" t="s">
        <v>17</v>
      </c>
      <c r="AL20" s="60" t="s">
        <v>17</v>
      </c>
      <c r="AM20" s="26" t="s">
        <v>18</v>
      </c>
      <c r="AN20" s="26" t="s">
        <v>10</v>
      </c>
      <c r="AO20" s="26" t="s">
        <v>10</v>
      </c>
      <c r="AP20" s="60" t="s">
        <v>17</v>
      </c>
      <c r="AQ20" s="60" t="s">
        <v>17</v>
      </c>
      <c r="AR20" s="60" t="s">
        <v>17</v>
      </c>
      <c r="AS20" s="26" t="s">
        <v>10</v>
      </c>
      <c r="AT20" s="26" t="s">
        <v>10</v>
      </c>
      <c r="AU20" s="60" t="s">
        <v>17</v>
      </c>
      <c r="AV20" s="60" t="s">
        <v>17</v>
      </c>
      <c r="AW20" s="26" t="s">
        <v>18</v>
      </c>
      <c r="AX20" s="26" t="s">
        <v>10</v>
      </c>
      <c r="AY20" s="26" t="s">
        <v>10</v>
      </c>
      <c r="AZ20" s="60" t="s">
        <v>17</v>
      </c>
      <c r="BA20" s="60" t="s">
        <v>17</v>
      </c>
      <c r="BB20" s="60" t="s">
        <v>17</v>
      </c>
      <c r="BC20" s="26" t="s">
        <v>18</v>
      </c>
      <c r="BD20" s="26" t="s">
        <v>10</v>
      </c>
      <c r="BE20" s="1">
        <v>4.25</v>
      </c>
      <c r="BF20" s="1">
        <f t="shared" si="11"/>
        <v>0</v>
      </c>
      <c r="BG20" s="1">
        <f t="shared" si="14"/>
        <v>0</v>
      </c>
      <c r="BH20" s="1">
        <f t="shared" si="3"/>
        <v>0</v>
      </c>
      <c r="BI20" s="1">
        <f t="shared" si="4"/>
        <v>12</v>
      </c>
      <c r="BJ20" s="1">
        <f t="shared" si="5"/>
        <v>4</v>
      </c>
      <c r="BK20" s="95">
        <f>COUNTIF($G20:$BD20, "AM")</f>
        <v>0</v>
      </c>
      <c r="BL20" s="95">
        <f>COUNTIF($G20:$BD20, "AF")</f>
        <v>0</v>
      </c>
      <c r="BM20" s="1"/>
      <c r="BN20" s="1">
        <f t="shared" si="6"/>
        <v>28</v>
      </c>
      <c r="BO20" s="1">
        <f t="shared" si="7"/>
        <v>6</v>
      </c>
      <c r="BP20" s="1">
        <f t="shared" si="8"/>
        <v>0</v>
      </c>
      <c r="BQ20" s="1">
        <f t="shared" si="9"/>
        <v>0</v>
      </c>
      <c r="BR20" s="1">
        <f t="shared" si="10"/>
        <v>0</v>
      </c>
      <c r="BS20" s="95">
        <f>COUNTIF($G20:$BD20, "AM_D")</f>
        <v>0</v>
      </c>
      <c r="BT20" s="95">
        <f>COUNTIF($G20:$BD20, "AF_D")</f>
        <v>0</v>
      </c>
    </row>
    <row r="21" spans="1:72" x14ac:dyDescent="0.3">
      <c r="A21" s="56">
        <v>166</v>
      </c>
      <c r="B21" s="56">
        <v>5</v>
      </c>
      <c r="C21" s="106">
        <v>44727.9375</v>
      </c>
      <c r="D21" s="101">
        <f t="shared" si="18"/>
        <v>0.25</v>
      </c>
      <c r="E21" s="102">
        <f t="shared" si="19"/>
        <v>4.5</v>
      </c>
      <c r="F21" s="91">
        <f t="shared" si="2"/>
        <v>4.5</v>
      </c>
      <c r="G21" s="60" t="s">
        <v>17</v>
      </c>
      <c r="H21" s="60" t="s">
        <v>17</v>
      </c>
      <c r="I21" s="60" t="s">
        <v>17</v>
      </c>
      <c r="J21" s="26" t="s">
        <v>18</v>
      </c>
      <c r="K21" s="26" t="s">
        <v>10</v>
      </c>
      <c r="L21" s="60" t="s">
        <v>17</v>
      </c>
      <c r="M21" s="60" t="s">
        <v>17</v>
      </c>
      <c r="N21" s="60" t="s">
        <v>17</v>
      </c>
      <c r="O21" s="26" t="s">
        <v>11</v>
      </c>
      <c r="P21" s="26" t="s">
        <v>11</v>
      </c>
      <c r="Q21" s="60" t="s">
        <v>17</v>
      </c>
      <c r="R21" s="60" t="s">
        <v>17</v>
      </c>
      <c r="S21" s="60" t="s">
        <v>17</v>
      </c>
      <c r="T21" s="26" t="s">
        <v>18</v>
      </c>
      <c r="U21" s="26" t="s">
        <v>11</v>
      </c>
      <c r="V21" s="60" t="s">
        <v>17</v>
      </c>
      <c r="W21" s="60" t="s">
        <v>17</v>
      </c>
      <c r="X21" s="60" t="s">
        <v>17</v>
      </c>
      <c r="Y21" s="60" t="s">
        <v>17</v>
      </c>
      <c r="Z21" s="26" t="s">
        <v>11</v>
      </c>
      <c r="AA21" s="60" t="s">
        <v>17</v>
      </c>
      <c r="AB21" s="60" t="s">
        <v>17</v>
      </c>
      <c r="AC21" s="26" t="s">
        <v>10</v>
      </c>
      <c r="AD21" s="26" t="s">
        <v>10</v>
      </c>
      <c r="AE21" s="26" t="s">
        <v>11</v>
      </c>
      <c r="AF21" s="60" t="s">
        <v>17</v>
      </c>
      <c r="AG21" s="60" t="s">
        <v>17</v>
      </c>
      <c r="AH21" s="60" t="s">
        <v>17</v>
      </c>
      <c r="AI21" s="26" t="s">
        <v>18</v>
      </c>
      <c r="AJ21" s="26" t="s">
        <v>11</v>
      </c>
      <c r="AK21" s="60" t="s">
        <v>17</v>
      </c>
      <c r="AL21" s="60" t="s">
        <v>17</v>
      </c>
      <c r="AM21" s="26" t="s">
        <v>18</v>
      </c>
      <c r="AN21" s="26" t="s">
        <v>11</v>
      </c>
      <c r="AO21" s="26" t="s">
        <v>10</v>
      </c>
      <c r="AP21" s="60" t="s">
        <v>17</v>
      </c>
      <c r="AQ21" s="60" t="s">
        <v>17</v>
      </c>
      <c r="AR21" s="60" t="s">
        <v>17</v>
      </c>
      <c r="AS21" s="26" t="s">
        <v>10</v>
      </c>
      <c r="AT21" s="26" t="s">
        <v>11</v>
      </c>
      <c r="AU21" s="60" t="s">
        <v>17</v>
      </c>
      <c r="AV21" s="60" t="s">
        <v>17</v>
      </c>
      <c r="AW21" s="26" t="s">
        <v>18</v>
      </c>
      <c r="AX21" s="26" t="s">
        <v>10</v>
      </c>
      <c r="AY21" s="26" t="s">
        <v>10</v>
      </c>
      <c r="AZ21" s="60" t="s">
        <v>17</v>
      </c>
      <c r="BA21" s="60" t="s">
        <v>17</v>
      </c>
      <c r="BB21" s="60" t="s">
        <v>17</v>
      </c>
      <c r="BC21" s="26" t="s">
        <v>18</v>
      </c>
      <c r="BD21" s="26" t="s">
        <v>10</v>
      </c>
      <c r="BE21" s="1">
        <v>4.5</v>
      </c>
      <c r="BF21" s="1">
        <f t="shared" si="11"/>
        <v>0</v>
      </c>
      <c r="BG21" s="1">
        <f t="shared" si="14"/>
        <v>0</v>
      </c>
      <c r="BH21" s="1">
        <f t="shared" si="3"/>
        <v>0</v>
      </c>
      <c r="BI21" s="1">
        <f t="shared" si="4"/>
        <v>8</v>
      </c>
      <c r="BJ21" s="1">
        <f t="shared" si="5"/>
        <v>8</v>
      </c>
      <c r="BK21" s="95">
        <f>COUNTIF($G21:$BD21, "AM")</f>
        <v>0</v>
      </c>
      <c r="BL21" s="95">
        <f>COUNTIF($G21:$BD21, "AF")</f>
        <v>0</v>
      </c>
      <c r="BM21" s="1"/>
      <c r="BN21" s="1">
        <f t="shared" si="6"/>
        <v>28</v>
      </c>
      <c r="BO21" s="1">
        <f t="shared" si="7"/>
        <v>6</v>
      </c>
      <c r="BP21" s="1">
        <f t="shared" si="8"/>
        <v>0</v>
      </c>
      <c r="BQ21" s="1">
        <f t="shared" si="9"/>
        <v>0</v>
      </c>
      <c r="BR21" s="1">
        <f t="shared" si="10"/>
        <v>0</v>
      </c>
      <c r="BS21" s="95">
        <f>COUNTIF($G21:$BD21, "AM_D")</f>
        <v>0</v>
      </c>
      <c r="BT21" s="95">
        <f>COUNTIF($G21:$BD21, "AF_D")</f>
        <v>0</v>
      </c>
    </row>
    <row r="22" spans="1:72" x14ac:dyDescent="0.3">
      <c r="A22" s="56">
        <v>167</v>
      </c>
      <c r="B22" s="56">
        <v>6</v>
      </c>
      <c r="C22" s="106">
        <v>44728.1875</v>
      </c>
      <c r="D22" s="101">
        <f t="shared" si="18"/>
        <v>0.25</v>
      </c>
      <c r="E22" s="102">
        <f t="shared" si="19"/>
        <v>4.75</v>
      </c>
      <c r="F22" s="91">
        <f t="shared" ref="F22:F25" si="20">F21+D22</f>
        <v>4.75</v>
      </c>
      <c r="G22" s="60" t="s">
        <v>17</v>
      </c>
      <c r="H22" s="60" t="s">
        <v>17</v>
      </c>
      <c r="I22" s="60" t="s">
        <v>17</v>
      </c>
      <c r="J22" s="26" t="s">
        <v>18</v>
      </c>
      <c r="K22" s="26" t="s">
        <v>10</v>
      </c>
      <c r="L22" s="60" t="s">
        <v>17</v>
      </c>
      <c r="M22" s="60" t="s">
        <v>17</v>
      </c>
      <c r="N22" s="60" t="s">
        <v>17</v>
      </c>
      <c r="O22" s="26" t="s">
        <v>11</v>
      </c>
      <c r="P22" s="26" t="s">
        <v>11</v>
      </c>
      <c r="Q22" s="60" t="s">
        <v>17</v>
      </c>
      <c r="R22" s="60" t="s">
        <v>17</v>
      </c>
      <c r="S22" s="60" t="s">
        <v>17</v>
      </c>
      <c r="T22" s="26" t="s">
        <v>18</v>
      </c>
      <c r="U22" s="26" t="s">
        <v>11</v>
      </c>
      <c r="V22" s="60" t="s">
        <v>17</v>
      </c>
      <c r="W22" s="60" t="s">
        <v>17</v>
      </c>
      <c r="X22" s="60" t="s">
        <v>17</v>
      </c>
      <c r="Y22" s="60" t="s">
        <v>17</v>
      </c>
      <c r="Z22" s="26" t="s">
        <v>11</v>
      </c>
      <c r="AA22" s="60" t="s">
        <v>17</v>
      </c>
      <c r="AB22" s="60" t="s">
        <v>17</v>
      </c>
      <c r="AC22" s="26" t="s">
        <v>10</v>
      </c>
      <c r="AD22" s="26" t="s">
        <v>10</v>
      </c>
      <c r="AE22" s="26" t="s">
        <v>11</v>
      </c>
      <c r="AF22" s="60" t="s">
        <v>17</v>
      </c>
      <c r="AG22" s="60" t="s">
        <v>17</v>
      </c>
      <c r="AH22" s="60" t="s">
        <v>17</v>
      </c>
      <c r="AI22" s="26" t="s">
        <v>18</v>
      </c>
      <c r="AJ22" s="26" t="s">
        <v>11</v>
      </c>
      <c r="AK22" s="60" t="s">
        <v>17</v>
      </c>
      <c r="AL22" s="60" t="s">
        <v>17</v>
      </c>
      <c r="AM22" s="26" t="s">
        <v>18</v>
      </c>
      <c r="AN22" s="26" t="s">
        <v>11</v>
      </c>
      <c r="AO22" s="26" t="s">
        <v>10</v>
      </c>
      <c r="AP22" s="60" t="s">
        <v>17</v>
      </c>
      <c r="AQ22" s="60" t="s">
        <v>17</v>
      </c>
      <c r="AR22" s="60" t="s">
        <v>17</v>
      </c>
      <c r="AS22" s="26" t="s">
        <v>10</v>
      </c>
      <c r="AT22" s="26" t="s">
        <v>11</v>
      </c>
      <c r="AU22" s="60" t="s">
        <v>17</v>
      </c>
      <c r="AV22" s="60" t="s">
        <v>17</v>
      </c>
      <c r="AW22" s="26" t="s">
        <v>18</v>
      </c>
      <c r="AX22" s="26" t="s">
        <v>10</v>
      </c>
      <c r="AY22" s="26" t="s">
        <v>10</v>
      </c>
      <c r="AZ22" s="60" t="s">
        <v>17</v>
      </c>
      <c r="BA22" s="60" t="s">
        <v>17</v>
      </c>
      <c r="BB22" s="60" t="s">
        <v>17</v>
      </c>
      <c r="BC22" s="26" t="s">
        <v>18</v>
      </c>
      <c r="BD22" s="26" t="s">
        <v>10</v>
      </c>
      <c r="BE22" s="1">
        <v>4.75</v>
      </c>
      <c r="BF22" s="1">
        <f>COUNTIF($G22:$BD22, "E")</f>
        <v>0</v>
      </c>
      <c r="BG22" s="1">
        <f t="shared" si="14"/>
        <v>0</v>
      </c>
      <c r="BH22" s="1">
        <f t="shared" si="3"/>
        <v>0</v>
      </c>
      <c r="BI22" s="1">
        <f t="shared" si="4"/>
        <v>8</v>
      </c>
      <c r="BJ22" s="1">
        <f t="shared" si="5"/>
        <v>8</v>
      </c>
      <c r="BK22" s="95">
        <f>COUNTIF($G22:$BD22, "AM")</f>
        <v>0</v>
      </c>
      <c r="BL22" s="95">
        <f>COUNTIF($G22:$BD22, "AF")</f>
        <v>0</v>
      </c>
      <c r="BM22" s="1"/>
      <c r="BN22" s="1">
        <f t="shared" si="6"/>
        <v>28</v>
      </c>
      <c r="BO22" s="1">
        <f t="shared" si="7"/>
        <v>6</v>
      </c>
      <c r="BP22" s="1">
        <f t="shared" si="8"/>
        <v>0</v>
      </c>
      <c r="BQ22" s="1">
        <f t="shared" si="9"/>
        <v>0</v>
      </c>
      <c r="BR22" s="1">
        <f t="shared" si="10"/>
        <v>0</v>
      </c>
      <c r="BS22" s="95">
        <f>COUNTIF($G22:$BD22, "AM_D")</f>
        <v>0</v>
      </c>
      <c r="BT22" s="95">
        <f>COUNTIF($G22:$BD22, "AF_D")</f>
        <v>0</v>
      </c>
    </row>
    <row r="23" spans="1:72" x14ac:dyDescent="0.3">
      <c r="A23" s="56">
        <v>167</v>
      </c>
      <c r="B23" s="56">
        <v>6</v>
      </c>
      <c r="C23" s="106">
        <v>44728.4375</v>
      </c>
      <c r="D23" s="101">
        <f t="shared" si="18"/>
        <v>0.25</v>
      </c>
      <c r="E23" s="102">
        <f t="shared" si="19"/>
        <v>5</v>
      </c>
      <c r="F23" s="91">
        <f t="shared" si="20"/>
        <v>5</v>
      </c>
      <c r="G23" s="60" t="s">
        <v>17</v>
      </c>
      <c r="H23" s="60" t="s">
        <v>17</v>
      </c>
      <c r="I23" s="60" t="s">
        <v>17</v>
      </c>
      <c r="J23" s="26" t="s">
        <v>18</v>
      </c>
      <c r="K23" s="26" t="s">
        <v>11</v>
      </c>
      <c r="L23" s="60" t="s">
        <v>17</v>
      </c>
      <c r="M23" s="60" t="s">
        <v>17</v>
      </c>
      <c r="N23" s="60" t="s">
        <v>17</v>
      </c>
      <c r="O23" s="26" t="s">
        <v>11</v>
      </c>
      <c r="P23" s="26" t="s">
        <v>11</v>
      </c>
      <c r="Q23" s="60" t="s">
        <v>17</v>
      </c>
      <c r="R23" s="60" t="s">
        <v>17</v>
      </c>
      <c r="S23" s="60" t="s">
        <v>17</v>
      </c>
      <c r="T23" s="26" t="s">
        <v>18</v>
      </c>
      <c r="U23" s="26" t="s">
        <v>11</v>
      </c>
      <c r="V23" s="60" t="s">
        <v>17</v>
      </c>
      <c r="W23" s="60" t="s">
        <v>17</v>
      </c>
      <c r="X23" s="60" t="s">
        <v>17</v>
      </c>
      <c r="Y23" s="60" t="s">
        <v>17</v>
      </c>
      <c r="Z23" s="26" t="s">
        <v>11</v>
      </c>
      <c r="AA23" s="60" t="s">
        <v>17</v>
      </c>
      <c r="AB23" s="60" t="s">
        <v>17</v>
      </c>
      <c r="AC23" s="26" t="s">
        <v>10</v>
      </c>
      <c r="AD23" s="26" t="s">
        <v>11</v>
      </c>
      <c r="AE23" s="26" t="s">
        <v>11</v>
      </c>
      <c r="AF23" s="60" t="s">
        <v>17</v>
      </c>
      <c r="AG23" s="60" t="s">
        <v>17</v>
      </c>
      <c r="AH23" s="60" t="s">
        <v>17</v>
      </c>
      <c r="AI23" s="26" t="s">
        <v>18</v>
      </c>
      <c r="AJ23" s="26" t="s">
        <v>11</v>
      </c>
      <c r="AK23" s="60" t="s">
        <v>17</v>
      </c>
      <c r="AL23" s="60" t="s">
        <v>17</v>
      </c>
      <c r="AM23" s="26" t="s">
        <v>18</v>
      </c>
      <c r="AN23" s="26" t="s">
        <v>11</v>
      </c>
      <c r="AO23" s="26" t="s">
        <v>11</v>
      </c>
      <c r="AP23" s="60" t="s">
        <v>17</v>
      </c>
      <c r="AQ23" s="60" t="s">
        <v>17</v>
      </c>
      <c r="AR23" s="60" t="s">
        <v>17</v>
      </c>
      <c r="AS23" s="26" t="s">
        <v>10</v>
      </c>
      <c r="AT23" s="26" t="s">
        <v>11</v>
      </c>
      <c r="AU23" s="60" t="s">
        <v>17</v>
      </c>
      <c r="AV23" s="60" t="s">
        <v>17</v>
      </c>
      <c r="AW23" s="26" t="s">
        <v>18</v>
      </c>
      <c r="AX23" s="26" t="s">
        <v>10</v>
      </c>
      <c r="AY23" s="26" t="s">
        <v>10</v>
      </c>
      <c r="AZ23" s="60" t="s">
        <v>17</v>
      </c>
      <c r="BA23" s="60" t="s">
        <v>17</v>
      </c>
      <c r="BB23" s="60" t="s">
        <v>17</v>
      </c>
      <c r="BC23" s="26" t="s">
        <v>18</v>
      </c>
      <c r="BD23" s="26" t="s">
        <v>11</v>
      </c>
      <c r="BE23" s="1">
        <v>5</v>
      </c>
      <c r="BF23" s="1">
        <f t="shared" si="11"/>
        <v>0</v>
      </c>
      <c r="BG23" s="1">
        <f t="shared" si="14"/>
        <v>0</v>
      </c>
      <c r="BH23" s="1">
        <f t="shared" si="3"/>
        <v>0</v>
      </c>
      <c r="BI23" s="1">
        <f t="shared" si="4"/>
        <v>4</v>
      </c>
      <c r="BJ23" s="1">
        <f t="shared" si="5"/>
        <v>12</v>
      </c>
      <c r="BK23" s="95">
        <f>COUNTIF($G23:$BD23, "AM")</f>
        <v>0</v>
      </c>
      <c r="BL23" s="95">
        <f>COUNTIF($G23:$BD23, "AF")</f>
        <v>0</v>
      </c>
      <c r="BM23" s="1"/>
      <c r="BN23" s="1">
        <f>COUNTIF($G23:$BD23, "E_D")</f>
        <v>28</v>
      </c>
      <c r="BO23" s="1">
        <f t="shared" si="7"/>
        <v>6</v>
      </c>
      <c r="BP23" s="1">
        <f t="shared" si="8"/>
        <v>0</v>
      </c>
      <c r="BQ23" s="1">
        <f t="shared" si="9"/>
        <v>0</v>
      </c>
      <c r="BR23" s="1">
        <f t="shared" si="10"/>
        <v>0</v>
      </c>
      <c r="BS23" s="95">
        <f>COUNTIF($G23:$BD23, "AM_D")</f>
        <v>0</v>
      </c>
      <c r="BT23" s="95">
        <f>COUNTIF($G23:$BD23, "AF_D")</f>
        <v>0</v>
      </c>
    </row>
    <row r="24" spans="1:72" x14ac:dyDescent="0.3">
      <c r="A24" s="56">
        <v>167</v>
      </c>
      <c r="B24" s="56">
        <v>6</v>
      </c>
      <c r="C24" s="106">
        <v>44728.6875</v>
      </c>
      <c r="D24" s="101">
        <f t="shared" si="18"/>
        <v>0.25</v>
      </c>
      <c r="E24" s="102">
        <f t="shared" si="19"/>
        <v>5.25</v>
      </c>
      <c r="F24" s="91">
        <f t="shared" si="20"/>
        <v>5.25</v>
      </c>
      <c r="G24" s="26" t="s">
        <v>17</v>
      </c>
      <c r="H24" s="26" t="s">
        <v>17</v>
      </c>
      <c r="I24" s="26" t="s">
        <v>17</v>
      </c>
      <c r="J24" s="26" t="s">
        <v>18</v>
      </c>
      <c r="K24" s="26" t="s">
        <v>11</v>
      </c>
      <c r="L24" s="26" t="s">
        <v>17</v>
      </c>
      <c r="M24" s="26" t="s">
        <v>17</v>
      </c>
      <c r="N24" s="26" t="s">
        <v>17</v>
      </c>
      <c r="O24" s="26" t="s">
        <v>11</v>
      </c>
      <c r="P24" s="26" t="s">
        <v>11</v>
      </c>
      <c r="Q24" s="26" t="s">
        <v>17</v>
      </c>
      <c r="R24" s="26" t="s">
        <v>17</v>
      </c>
      <c r="S24" s="26" t="s">
        <v>17</v>
      </c>
      <c r="T24" s="26" t="s">
        <v>18</v>
      </c>
      <c r="U24" s="26" t="s">
        <v>11</v>
      </c>
      <c r="V24" s="26" t="s">
        <v>17</v>
      </c>
      <c r="W24" s="26" t="s">
        <v>17</v>
      </c>
      <c r="X24" s="26" t="s">
        <v>17</v>
      </c>
      <c r="Y24" s="26" t="s">
        <v>17</v>
      </c>
      <c r="Z24" s="26" t="s">
        <v>11</v>
      </c>
      <c r="AA24" s="26" t="s">
        <v>17</v>
      </c>
      <c r="AB24" s="26" t="s">
        <v>17</v>
      </c>
      <c r="AC24" s="26" t="s">
        <v>11</v>
      </c>
      <c r="AD24" s="26" t="s">
        <v>11</v>
      </c>
      <c r="AE24" s="26" t="s">
        <v>11</v>
      </c>
      <c r="AF24" s="26" t="s">
        <v>17</v>
      </c>
      <c r="AG24" s="26" t="s">
        <v>17</v>
      </c>
      <c r="AH24" s="26" t="s">
        <v>17</v>
      </c>
      <c r="AI24" s="26" t="s">
        <v>18</v>
      </c>
      <c r="AJ24" s="26" t="s">
        <v>11</v>
      </c>
      <c r="AK24" s="26" t="s">
        <v>17</v>
      </c>
      <c r="AL24" s="26" t="s">
        <v>17</v>
      </c>
      <c r="AM24" s="26" t="s">
        <v>18</v>
      </c>
      <c r="AN24" s="26" t="s">
        <v>11</v>
      </c>
      <c r="AO24" s="26" t="s">
        <v>11</v>
      </c>
      <c r="AP24" s="26" t="s">
        <v>17</v>
      </c>
      <c r="AQ24" s="26" t="s">
        <v>17</v>
      </c>
      <c r="AR24" s="26" t="s">
        <v>17</v>
      </c>
      <c r="AS24" s="26" t="s">
        <v>11</v>
      </c>
      <c r="AT24" s="26" t="s">
        <v>11</v>
      </c>
      <c r="AU24" s="26" t="s">
        <v>17</v>
      </c>
      <c r="AV24" s="26" t="s">
        <v>17</v>
      </c>
      <c r="AW24" s="26" t="s">
        <v>18</v>
      </c>
      <c r="AX24" s="26" t="s">
        <v>11</v>
      </c>
      <c r="AY24" s="26" t="s">
        <v>11</v>
      </c>
      <c r="AZ24" s="26" t="s">
        <v>17</v>
      </c>
      <c r="BA24" s="26" t="s">
        <v>17</v>
      </c>
      <c r="BB24" s="26" t="s">
        <v>17</v>
      </c>
      <c r="BC24" s="26" t="s">
        <v>18</v>
      </c>
      <c r="BD24" s="26" t="s">
        <v>11</v>
      </c>
      <c r="BE24" s="1">
        <v>5.25</v>
      </c>
      <c r="BF24" s="1">
        <f t="shared" si="11"/>
        <v>0</v>
      </c>
      <c r="BG24" s="1">
        <f t="shared" si="14"/>
        <v>0</v>
      </c>
      <c r="BH24" s="1">
        <f t="shared" si="3"/>
        <v>0</v>
      </c>
      <c r="BI24" s="1">
        <f t="shared" si="4"/>
        <v>0</v>
      </c>
      <c r="BJ24" s="1">
        <f t="shared" si="5"/>
        <v>16</v>
      </c>
      <c r="BK24" s="95">
        <f>COUNTIF($G24:$BD24, "AM")</f>
        <v>0</v>
      </c>
      <c r="BL24" s="95">
        <f>COUNTIF($G24:$BD24, "AF")</f>
        <v>0</v>
      </c>
      <c r="BM24" s="1"/>
      <c r="BN24" s="1">
        <f t="shared" si="6"/>
        <v>28</v>
      </c>
      <c r="BO24" s="1">
        <f t="shared" si="7"/>
        <v>6</v>
      </c>
      <c r="BP24" s="1">
        <f t="shared" si="8"/>
        <v>0</v>
      </c>
      <c r="BQ24" s="1">
        <f t="shared" si="9"/>
        <v>0</v>
      </c>
      <c r="BR24" s="1">
        <f t="shared" si="10"/>
        <v>0</v>
      </c>
      <c r="BS24" s="95">
        <f>COUNTIF($G24:$BD24, "AM_D")</f>
        <v>0</v>
      </c>
      <c r="BT24" s="95">
        <f>COUNTIF($G24:$BD24, "AF_D")</f>
        <v>0</v>
      </c>
    </row>
    <row r="25" spans="1:72" x14ac:dyDescent="0.3">
      <c r="A25" s="56">
        <v>167</v>
      </c>
      <c r="B25" s="56">
        <v>6</v>
      </c>
      <c r="C25" s="106">
        <v>44728.9375</v>
      </c>
      <c r="D25" s="101">
        <f t="shared" si="18"/>
        <v>0.25</v>
      </c>
      <c r="E25" s="102">
        <f t="shared" si="19"/>
        <v>5.5</v>
      </c>
      <c r="F25" s="91">
        <f t="shared" si="20"/>
        <v>5.5</v>
      </c>
      <c r="G25" s="26" t="s">
        <v>17</v>
      </c>
      <c r="H25" s="26" t="s">
        <v>17</v>
      </c>
      <c r="I25" s="26" t="s">
        <v>17</v>
      </c>
      <c r="J25" s="26" t="s">
        <v>18</v>
      </c>
      <c r="K25" s="26" t="s">
        <v>11</v>
      </c>
      <c r="L25" s="26" t="s">
        <v>17</v>
      </c>
      <c r="M25" s="26" t="s">
        <v>17</v>
      </c>
      <c r="N25" s="26" t="s">
        <v>17</v>
      </c>
      <c r="O25" s="26" t="s">
        <v>11</v>
      </c>
      <c r="P25" s="26" t="s">
        <v>11</v>
      </c>
      <c r="Q25" s="26" t="s">
        <v>17</v>
      </c>
      <c r="R25" s="26" t="s">
        <v>17</v>
      </c>
      <c r="S25" s="26" t="s">
        <v>17</v>
      </c>
      <c r="T25" s="26" t="s">
        <v>18</v>
      </c>
      <c r="U25" s="26" t="s">
        <v>11</v>
      </c>
      <c r="V25" s="26" t="s">
        <v>17</v>
      </c>
      <c r="W25" s="26" t="s">
        <v>17</v>
      </c>
      <c r="X25" s="26" t="s">
        <v>17</v>
      </c>
      <c r="Y25" s="26" t="s">
        <v>17</v>
      </c>
      <c r="Z25" s="26" t="s">
        <v>11</v>
      </c>
      <c r="AA25" s="26" t="s">
        <v>17</v>
      </c>
      <c r="AB25" s="26" t="s">
        <v>17</v>
      </c>
      <c r="AC25" s="26" t="s">
        <v>11</v>
      </c>
      <c r="AD25" s="26" t="s">
        <v>11</v>
      </c>
      <c r="AE25" s="26" t="s">
        <v>11</v>
      </c>
      <c r="AF25" s="26" t="s">
        <v>17</v>
      </c>
      <c r="AG25" s="26" t="s">
        <v>17</v>
      </c>
      <c r="AH25" s="26" t="s">
        <v>17</v>
      </c>
      <c r="AI25" s="26" t="s">
        <v>18</v>
      </c>
      <c r="AJ25" s="26" t="s">
        <v>11</v>
      </c>
      <c r="AK25" s="26" t="s">
        <v>17</v>
      </c>
      <c r="AL25" s="26" t="s">
        <v>17</v>
      </c>
      <c r="AM25" s="26" t="s">
        <v>18</v>
      </c>
      <c r="AN25" s="26" t="s">
        <v>11</v>
      </c>
      <c r="AO25" s="26" t="s">
        <v>11</v>
      </c>
      <c r="AP25" s="26" t="s">
        <v>17</v>
      </c>
      <c r="AQ25" s="26" t="s">
        <v>17</v>
      </c>
      <c r="AR25" s="26" t="s">
        <v>17</v>
      </c>
      <c r="AS25" s="26" t="s">
        <v>11</v>
      </c>
      <c r="AT25" s="26" t="s">
        <v>11</v>
      </c>
      <c r="AU25" s="26" t="s">
        <v>17</v>
      </c>
      <c r="AV25" s="26" t="s">
        <v>17</v>
      </c>
      <c r="AW25" s="26" t="s">
        <v>18</v>
      </c>
      <c r="AX25" s="26" t="s">
        <v>11</v>
      </c>
      <c r="AY25" s="26" t="s">
        <v>11</v>
      </c>
      <c r="AZ25" s="26" t="s">
        <v>17</v>
      </c>
      <c r="BA25" s="26" t="s">
        <v>17</v>
      </c>
      <c r="BB25" s="26" t="s">
        <v>17</v>
      </c>
      <c r="BC25" s="26" t="s">
        <v>18</v>
      </c>
      <c r="BD25" s="26" t="s">
        <v>11</v>
      </c>
      <c r="BE25" s="1">
        <v>5.5</v>
      </c>
      <c r="BF25" s="1">
        <f t="shared" si="11"/>
        <v>0</v>
      </c>
      <c r="BG25" s="1">
        <f t="shared" si="14"/>
        <v>0</v>
      </c>
      <c r="BH25" s="1">
        <f t="shared" si="3"/>
        <v>0</v>
      </c>
      <c r="BI25" s="1">
        <f t="shared" si="4"/>
        <v>0</v>
      </c>
      <c r="BJ25" s="1">
        <f t="shared" si="5"/>
        <v>16</v>
      </c>
      <c r="BK25" s="95">
        <f>COUNTIF($G25:$BD25, "AM")</f>
        <v>0</v>
      </c>
      <c r="BL25" s="95">
        <f>COUNTIF($G25:$BD25, "AF")</f>
        <v>0</v>
      </c>
      <c r="BM25" s="1"/>
      <c r="BN25" s="1">
        <f t="shared" si="6"/>
        <v>28</v>
      </c>
      <c r="BO25" s="1">
        <f t="shared" si="7"/>
        <v>6</v>
      </c>
      <c r="BP25" s="1">
        <f t="shared" si="8"/>
        <v>0</v>
      </c>
      <c r="BQ25" s="1">
        <f t="shared" si="9"/>
        <v>0</v>
      </c>
      <c r="BR25" s="1">
        <f t="shared" si="10"/>
        <v>0</v>
      </c>
      <c r="BS25" s="95">
        <f>COUNTIF($G25:$BD25, "AM_D")</f>
        <v>0</v>
      </c>
      <c r="BT25" s="95">
        <f>COUNTIF($G25:$BD25, "AF_D")</f>
        <v>0</v>
      </c>
    </row>
    <row r="26" spans="1:72" x14ac:dyDescent="0.3">
      <c r="A26" s="56">
        <v>168</v>
      </c>
      <c r="B26" s="56">
        <v>7</v>
      </c>
      <c r="C26" s="106">
        <v>44729.1875</v>
      </c>
      <c r="D26" s="101">
        <f t="shared" si="18"/>
        <v>0.25</v>
      </c>
      <c r="E26" s="102">
        <f t="shared" ref="E26:E33" si="21">E25+D26</f>
        <v>5.75</v>
      </c>
      <c r="F26" s="91">
        <f t="shared" ref="F26:F33" si="22">F25+D26</f>
        <v>5.75</v>
      </c>
      <c r="G26" s="26" t="s">
        <v>17</v>
      </c>
      <c r="H26" s="26" t="s">
        <v>17</v>
      </c>
      <c r="I26" s="26" t="s">
        <v>17</v>
      </c>
      <c r="J26" s="26" t="s">
        <v>18</v>
      </c>
      <c r="K26" s="26" t="s">
        <v>11</v>
      </c>
      <c r="L26" s="26" t="s">
        <v>17</v>
      </c>
      <c r="M26" s="26" t="s">
        <v>17</v>
      </c>
      <c r="N26" s="26" t="s">
        <v>17</v>
      </c>
      <c r="O26" s="26" t="s">
        <v>11</v>
      </c>
      <c r="P26" s="26" t="s">
        <v>11</v>
      </c>
      <c r="Q26" s="26" t="s">
        <v>17</v>
      </c>
      <c r="R26" s="26" t="s">
        <v>17</v>
      </c>
      <c r="S26" s="26" t="s">
        <v>17</v>
      </c>
      <c r="T26" s="26" t="s">
        <v>18</v>
      </c>
      <c r="U26" s="26" t="s">
        <v>11</v>
      </c>
      <c r="V26" s="26" t="s">
        <v>17</v>
      </c>
      <c r="W26" s="26" t="s">
        <v>17</v>
      </c>
      <c r="X26" s="26" t="s">
        <v>17</v>
      </c>
      <c r="Y26" s="26" t="s">
        <v>17</v>
      </c>
      <c r="Z26" s="26" t="s">
        <v>11</v>
      </c>
      <c r="AA26" s="26" t="s">
        <v>17</v>
      </c>
      <c r="AB26" s="26" t="s">
        <v>17</v>
      </c>
      <c r="AC26" s="26" t="s">
        <v>11</v>
      </c>
      <c r="AD26" s="26" t="s">
        <v>11</v>
      </c>
      <c r="AE26" s="26" t="s">
        <v>11</v>
      </c>
      <c r="AF26" s="26" t="s">
        <v>17</v>
      </c>
      <c r="AG26" s="26" t="s">
        <v>17</v>
      </c>
      <c r="AH26" s="26" t="s">
        <v>17</v>
      </c>
      <c r="AI26" s="26" t="s">
        <v>18</v>
      </c>
      <c r="AJ26" s="26" t="s">
        <v>11</v>
      </c>
      <c r="AK26" s="26" t="s">
        <v>17</v>
      </c>
      <c r="AL26" s="26" t="s">
        <v>17</v>
      </c>
      <c r="AM26" s="26" t="s">
        <v>18</v>
      </c>
      <c r="AN26" s="26" t="s">
        <v>11</v>
      </c>
      <c r="AO26" s="26" t="s">
        <v>11</v>
      </c>
      <c r="AP26" s="26" t="s">
        <v>17</v>
      </c>
      <c r="AQ26" s="26" t="s">
        <v>17</v>
      </c>
      <c r="AR26" s="26" t="s">
        <v>17</v>
      </c>
      <c r="AS26" s="26" t="s">
        <v>11</v>
      </c>
      <c r="AT26" s="26" t="s">
        <v>11</v>
      </c>
      <c r="AU26" s="26" t="s">
        <v>17</v>
      </c>
      <c r="AV26" s="26" t="s">
        <v>17</v>
      </c>
      <c r="AW26" s="26" t="s">
        <v>18</v>
      </c>
      <c r="AX26" s="26" t="s">
        <v>11</v>
      </c>
      <c r="AY26" s="26" t="s">
        <v>11</v>
      </c>
      <c r="AZ26" s="26" t="s">
        <v>17</v>
      </c>
      <c r="BA26" s="26" t="s">
        <v>17</v>
      </c>
      <c r="BB26" s="26" t="s">
        <v>17</v>
      </c>
      <c r="BC26" s="26" t="s">
        <v>18</v>
      </c>
      <c r="BD26" s="26" t="s">
        <v>11</v>
      </c>
      <c r="BE26" s="1">
        <v>5.75</v>
      </c>
      <c r="BF26" s="1">
        <f t="shared" si="11"/>
        <v>0</v>
      </c>
      <c r="BG26" s="1">
        <f t="shared" si="14"/>
        <v>0</v>
      </c>
      <c r="BH26" s="1">
        <f t="shared" si="3"/>
        <v>0</v>
      </c>
      <c r="BI26" s="1">
        <f t="shared" si="4"/>
        <v>0</v>
      </c>
      <c r="BJ26" s="1">
        <f t="shared" si="5"/>
        <v>16</v>
      </c>
      <c r="BK26" s="95">
        <f>COUNTIF($G26:$BD26, "AM")</f>
        <v>0</v>
      </c>
      <c r="BL26" s="95">
        <f>COUNTIF($G26:$BD26, "AF")</f>
        <v>0</v>
      </c>
      <c r="BM26" s="1"/>
      <c r="BN26" s="1">
        <f t="shared" si="6"/>
        <v>28</v>
      </c>
      <c r="BO26" s="1">
        <f t="shared" si="7"/>
        <v>6</v>
      </c>
      <c r="BP26" s="1">
        <f t="shared" si="8"/>
        <v>0</v>
      </c>
      <c r="BQ26" s="1">
        <f t="shared" si="9"/>
        <v>0</v>
      </c>
      <c r="BR26" s="1">
        <f t="shared" si="10"/>
        <v>0</v>
      </c>
      <c r="BS26" s="95">
        <f>COUNTIF($G26:$BD26, "AM_D")</f>
        <v>0</v>
      </c>
      <c r="BT26" s="95">
        <f>COUNTIF($G26:$BD26, "AF_D")</f>
        <v>0</v>
      </c>
    </row>
    <row r="27" spans="1:72" x14ac:dyDescent="0.3">
      <c r="A27" s="56">
        <v>168</v>
      </c>
      <c r="B27" s="56">
        <v>7</v>
      </c>
      <c r="C27" s="106">
        <v>44729.4375</v>
      </c>
      <c r="D27" s="101">
        <f t="shared" si="18"/>
        <v>0.25</v>
      </c>
      <c r="E27" s="102">
        <f t="shared" si="21"/>
        <v>6</v>
      </c>
      <c r="F27" s="91">
        <f t="shared" si="22"/>
        <v>6</v>
      </c>
      <c r="G27" s="26" t="s">
        <v>17</v>
      </c>
      <c r="H27" s="26" t="s">
        <v>17</v>
      </c>
      <c r="I27" s="26" t="s">
        <v>17</v>
      </c>
      <c r="J27" s="26" t="s">
        <v>18</v>
      </c>
      <c r="K27" s="26" t="s">
        <v>11</v>
      </c>
      <c r="L27" s="26" t="s">
        <v>17</v>
      </c>
      <c r="M27" s="26" t="s">
        <v>17</v>
      </c>
      <c r="N27" s="26" t="s">
        <v>17</v>
      </c>
      <c r="O27" s="26" t="s">
        <v>11</v>
      </c>
      <c r="P27" s="26" t="s">
        <v>11</v>
      </c>
      <c r="Q27" s="26" t="s">
        <v>17</v>
      </c>
      <c r="R27" s="26" t="s">
        <v>17</v>
      </c>
      <c r="S27" s="26" t="s">
        <v>17</v>
      </c>
      <c r="T27" s="26" t="s">
        <v>18</v>
      </c>
      <c r="U27" s="26" t="s">
        <v>11</v>
      </c>
      <c r="V27" s="26" t="s">
        <v>17</v>
      </c>
      <c r="W27" s="26" t="s">
        <v>17</v>
      </c>
      <c r="X27" s="26" t="s">
        <v>17</v>
      </c>
      <c r="Y27" s="26" t="s">
        <v>17</v>
      </c>
      <c r="Z27" s="26" t="s">
        <v>11</v>
      </c>
      <c r="AA27" s="26" t="s">
        <v>17</v>
      </c>
      <c r="AB27" s="26" t="s">
        <v>17</v>
      </c>
      <c r="AC27" s="26" t="s">
        <v>11</v>
      </c>
      <c r="AD27" s="26" t="s">
        <v>11</v>
      </c>
      <c r="AE27" s="26" t="s">
        <v>11</v>
      </c>
      <c r="AF27" s="26" t="s">
        <v>17</v>
      </c>
      <c r="AG27" s="26" t="s">
        <v>17</v>
      </c>
      <c r="AH27" s="26" t="s">
        <v>17</v>
      </c>
      <c r="AI27" s="26" t="s">
        <v>18</v>
      </c>
      <c r="AJ27" s="26" t="s">
        <v>11</v>
      </c>
      <c r="AK27" s="26" t="s">
        <v>17</v>
      </c>
      <c r="AL27" s="26" t="s">
        <v>17</v>
      </c>
      <c r="AM27" s="26" t="s">
        <v>18</v>
      </c>
      <c r="AN27" s="26" t="s">
        <v>11</v>
      </c>
      <c r="AO27" s="26" t="s">
        <v>11</v>
      </c>
      <c r="AP27" s="26" t="s">
        <v>17</v>
      </c>
      <c r="AQ27" s="26" t="s">
        <v>17</v>
      </c>
      <c r="AR27" s="26" t="s">
        <v>17</v>
      </c>
      <c r="AS27" s="26" t="s">
        <v>11</v>
      </c>
      <c r="AT27" s="26" t="s">
        <v>11</v>
      </c>
      <c r="AU27" s="26" t="s">
        <v>17</v>
      </c>
      <c r="AV27" s="26" t="s">
        <v>17</v>
      </c>
      <c r="AW27" s="26" t="s">
        <v>18</v>
      </c>
      <c r="AX27" s="26" t="s">
        <v>11</v>
      </c>
      <c r="AY27" s="26" t="s">
        <v>11</v>
      </c>
      <c r="AZ27" s="26" t="s">
        <v>17</v>
      </c>
      <c r="BA27" s="26" t="s">
        <v>17</v>
      </c>
      <c r="BB27" s="26" t="s">
        <v>17</v>
      </c>
      <c r="BC27" s="26" t="s">
        <v>18</v>
      </c>
      <c r="BD27" s="26" t="s">
        <v>11</v>
      </c>
      <c r="BE27" s="1">
        <v>6</v>
      </c>
      <c r="BF27" s="1">
        <f t="shared" si="11"/>
        <v>0</v>
      </c>
      <c r="BG27" s="1">
        <f t="shared" si="14"/>
        <v>0</v>
      </c>
      <c r="BH27" s="1">
        <f t="shared" si="3"/>
        <v>0</v>
      </c>
      <c r="BI27" s="1">
        <f t="shared" si="4"/>
        <v>0</v>
      </c>
      <c r="BJ27" s="1">
        <f t="shared" si="5"/>
        <v>16</v>
      </c>
      <c r="BK27" s="95">
        <f>COUNTIF($G27:$BD27, "AM")</f>
        <v>0</v>
      </c>
      <c r="BL27" s="95">
        <f>COUNTIF($G27:$BD27, "AF")</f>
        <v>0</v>
      </c>
      <c r="BM27" s="1"/>
      <c r="BN27" s="1">
        <f t="shared" si="6"/>
        <v>28</v>
      </c>
      <c r="BO27" s="1">
        <f t="shared" si="7"/>
        <v>6</v>
      </c>
      <c r="BP27" s="1">
        <f t="shared" si="8"/>
        <v>0</v>
      </c>
      <c r="BQ27" s="1">
        <f t="shared" si="9"/>
        <v>0</v>
      </c>
      <c r="BR27" s="1">
        <f t="shared" si="10"/>
        <v>0</v>
      </c>
      <c r="BS27" s="95">
        <f>COUNTIF($G27:$BD27, "AM_D")</f>
        <v>0</v>
      </c>
      <c r="BT27" s="95">
        <f>COUNTIF($G27:$BD27, "AF_D")</f>
        <v>0</v>
      </c>
    </row>
    <row r="28" spans="1:72" x14ac:dyDescent="0.3">
      <c r="A28" s="56">
        <v>168</v>
      </c>
      <c r="B28" s="56">
        <v>7</v>
      </c>
      <c r="C28" s="106">
        <v>44729.6875</v>
      </c>
      <c r="D28" s="101">
        <f t="shared" si="18"/>
        <v>0.25</v>
      </c>
      <c r="E28" s="102">
        <f t="shared" si="21"/>
        <v>6.25</v>
      </c>
      <c r="F28" s="91">
        <f t="shared" si="22"/>
        <v>6.25</v>
      </c>
      <c r="G28" s="26" t="s">
        <v>17</v>
      </c>
      <c r="H28" s="26" t="s">
        <v>17</v>
      </c>
      <c r="I28" s="26" t="s">
        <v>17</v>
      </c>
      <c r="J28" s="26" t="s">
        <v>18</v>
      </c>
      <c r="K28" s="26" t="s">
        <v>11</v>
      </c>
      <c r="L28" s="26" t="s">
        <v>17</v>
      </c>
      <c r="M28" s="26" t="s">
        <v>17</v>
      </c>
      <c r="N28" s="26" t="s">
        <v>17</v>
      </c>
      <c r="O28" s="26" t="s">
        <v>11</v>
      </c>
      <c r="P28" s="26" t="s">
        <v>11</v>
      </c>
      <c r="Q28" s="26" t="s">
        <v>17</v>
      </c>
      <c r="R28" s="26" t="s">
        <v>17</v>
      </c>
      <c r="S28" s="26" t="s">
        <v>17</v>
      </c>
      <c r="T28" s="26" t="s">
        <v>18</v>
      </c>
      <c r="U28" s="26" t="s">
        <v>11</v>
      </c>
      <c r="V28" s="26" t="s">
        <v>17</v>
      </c>
      <c r="W28" s="26" t="s">
        <v>17</v>
      </c>
      <c r="X28" s="26" t="s">
        <v>17</v>
      </c>
      <c r="Y28" s="26" t="s">
        <v>17</v>
      </c>
      <c r="Z28" s="26" t="s">
        <v>11</v>
      </c>
      <c r="AA28" s="26" t="s">
        <v>17</v>
      </c>
      <c r="AB28" s="26" t="s">
        <v>17</v>
      </c>
      <c r="AC28" s="26" t="s">
        <v>11</v>
      </c>
      <c r="AD28" s="26" t="s">
        <v>11</v>
      </c>
      <c r="AE28" s="26" t="s">
        <v>11</v>
      </c>
      <c r="AF28" s="26" t="s">
        <v>17</v>
      </c>
      <c r="AG28" s="26" t="s">
        <v>17</v>
      </c>
      <c r="AH28" s="26" t="s">
        <v>17</v>
      </c>
      <c r="AI28" s="26" t="s">
        <v>18</v>
      </c>
      <c r="AJ28" s="26" t="s">
        <v>11</v>
      </c>
      <c r="AK28" s="26" t="s">
        <v>17</v>
      </c>
      <c r="AL28" s="26" t="s">
        <v>17</v>
      </c>
      <c r="AM28" s="26" t="s">
        <v>18</v>
      </c>
      <c r="AN28" s="26" t="s">
        <v>11</v>
      </c>
      <c r="AO28" s="26" t="s">
        <v>11</v>
      </c>
      <c r="AP28" s="26" t="s">
        <v>17</v>
      </c>
      <c r="AQ28" s="26" t="s">
        <v>17</v>
      </c>
      <c r="AR28" s="26" t="s">
        <v>17</v>
      </c>
      <c r="AS28" s="26" t="s">
        <v>11</v>
      </c>
      <c r="AT28" s="26" t="s">
        <v>11</v>
      </c>
      <c r="AU28" s="26" t="s">
        <v>17</v>
      </c>
      <c r="AV28" s="26" t="s">
        <v>17</v>
      </c>
      <c r="AW28" s="26" t="s">
        <v>18</v>
      </c>
      <c r="AX28" s="26" t="s">
        <v>11</v>
      </c>
      <c r="AY28" s="26" t="s">
        <v>11</v>
      </c>
      <c r="AZ28" s="26" t="s">
        <v>17</v>
      </c>
      <c r="BA28" s="26" t="s">
        <v>17</v>
      </c>
      <c r="BB28" s="26" t="s">
        <v>17</v>
      </c>
      <c r="BC28" s="26" t="s">
        <v>18</v>
      </c>
      <c r="BD28" s="26" t="s">
        <v>11</v>
      </c>
      <c r="BE28" s="1">
        <v>6.25</v>
      </c>
      <c r="BF28" s="1">
        <f t="shared" si="11"/>
        <v>0</v>
      </c>
      <c r="BG28" s="1">
        <f t="shared" si="14"/>
        <v>0</v>
      </c>
      <c r="BH28" s="1">
        <f t="shared" si="3"/>
        <v>0</v>
      </c>
      <c r="BI28" s="1">
        <f t="shared" si="4"/>
        <v>0</v>
      </c>
      <c r="BJ28" s="1">
        <f t="shared" si="5"/>
        <v>16</v>
      </c>
      <c r="BK28" s="95">
        <f>COUNTIF($G28:$BD28, "AM")</f>
        <v>0</v>
      </c>
      <c r="BL28" s="95">
        <f>COUNTIF($G28:$BD28, "AF")</f>
        <v>0</v>
      </c>
      <c r="BM28" s="1"/>
      <c r="BN28" s="1">
        <f t="shared" si="6"/>
        <v>28</v>
      </c>
      <c r="BO28" s="1">
        <f t="shared" si="7"/>
        <v>6</v>
      </c>
      <c r="BP28" s="1">
        <f t="shared" si="8"/>
        <v>0</v>
      </c>
      <c r="BQ28" s="1">
        <f t="shared" si="9"/>
        <v>0</v>
      </c>
      <c r="BR28" s="1">
        <f t="shared" si="10"/>
        <v>0</v>
      </c>
      <c r="BS28" s="95">
        <f>COUNTIF($G28:$BD28, "AM_D")</f>
        <v>0</v>
      </c>
      <c r="BT28" s="95">
        <f>COUNTIF($G28:$BD28, "AF_D")</f>
        <v>0</v>
      </c>
    </row>
    <row r="29" spans="1:72" x14ac:dyDescent="0.3">
      <c r="A29" s="56">
        <v>168</v>
      </c>
      <c r="B29" s="56">
        <v>7</v>
      </c>
      <c r="C29" s="106">
        <v>44729.9375</v>
      </c>
      <c r="D29" s="101">
        <f t="shared" si="18"/>
        <v>0.25</v>
      </c>
      <c r="E29" s="102">
        <f t="shared" si="21"/>
        <v>6.5</v>
      </c>
      <c r="F29" s="91">
        <f t="shared" si="22"/>
        <v>6.5</v>
      </c>
      <c r="G29" s="26" t="s">
        <v>17</v>
      </c>
      <c r="H29" s="26" t="s">
        <v>17</v>
      </c>
      <c r="I29" s="26" t="s">
        <v>17</v>
      </c>
      <c r="J29" s="26" t="s">
        <v>18</v>
      </c>
      <c r="K29" s="26" t="s">
        <v>11</v>
      </c>
      <c r="L29" s="26" t="s">
        <v>17</v>
      </c>
      <c r="M29" s="26" t="s">
        <v>17</v>
      </c>
      <c r="N29" s="26" t="s">
        <v>17</v>
      </c>
      <c r="O29" s="26" t="s">
        <v>11</v>
      </c>
      <c r="P29" s="26" t="s">
        <v>11</v>
      </c>
      <c r="Q29" s="26" t="s">
        <v>17</v>
      </c>
      <c r="R29" s="26" t="s">
        <v>17</v>
      </c>
      <c r="S29" s="26" t="s">
        <v>17</v>
      </c>
      <c r="T29" s="26" t="s">
        <v>18</v>
      </c>
      <c r="U29" s="26" t="s">
        <v>11</v>
      </c>
      <c r="V29" s="26" t="s">
        <v>17</v>
      </c>
      <c r="W29" s="26" t="s">
        <v>17</v>
      </c>
      <c r="X29" s="26" t="s">
        <v>17</v>
      </c>
      <c r="Y29" s="26" t="s">
        <v>17</v>
      </c>
      <c r="Z29" s="26" t="s">
        <v>11</v>
      </c>
      <c r="AA29" s="26" t="s">
        <v>17</v>
      </c>
      <c r="AB29" s="26" t="s">
        <v>17</v>
      </c>
      <c r="AC29" s="26" t="s">
        <v>11</v>
      </c>
      <c r="AD29" s="26" t="s">
        <v>11</v>
      </c>
      <c r="AE29" s="26" t="s">
        <v>11</v>
      </c>
      <c r="AF29" s="26" t="s">
        <v>17</v>
      </c>
      <c r="AG29" s="26" t="s">
        <v>17</v>
      </c>
      <c r="AH29" s="26" t="s">
        <v>17</v>
      </c>
      <c r="AI29" s="26" t="s">
        <v>18</v>
      </c>
      <c r="AJ29" s="26" t="s">
        <v>11</v>
      </c>
      <c r="AK29" s="26" t="s">
        <v>17</v>
      </c>
      <c r="AL29" s="26" t="s">
        <v>17</v>
      </c>
      <c r="AM29" s="26" t="s">
        <v>18</v>
      </c>
      <c r="AN29" s="26" t="s">
        <v>11</v>
      </c>
      <c r="AO29" s="26" t="s">
        <v>11</v>
      </c>
      <c r="AP29" s="26" t="s">
        <v>17</v>
      </c>
      <c r="AQ29" s="26" t="s">
        <v>17</v>
      </c>
      <c r="AR29" s="26" t="s">
        <v>17</v>
      </c>
      <c r="AS29" s="26" t="s">
        <v>11</v>
      </c>
      <c r="AT29" s="26" t="s">
        <v>11</v>
      </c>
      <c r="AU29" s="26" t="s">
        <v>17</v>
      </c>
      <c r="AV29" s="26" t="s">
        <v>17</v>
      </c>
      <c r="AW29" s="26" t="s">
        <v>18</v>
      </c>
      <c r="AX29" s="26" t="s">
        <v>11</v>
      </c>
      <c r="AY29" s="26" t="s">
        <v>11</v>
      </c>
      <c r="AZ29" s="26" t="s">
        <v>17</v>
      </c>
      <c r="BA29" s="26" t="s">
        <v>17</v>
      </c>
      <c r="BB29" s="26" t="s">
        <v>17</v>
      </c>
      <c r="BC29" s="26" t="s">
        <v>18</v>
      </c>
      <c r="BD29" s="26" t="s">
        <v>11</v>
      </c>
      <c r="BE29" s="1">
        <v>6.5</v>
      </c>
      <c r="BF29" s="1">
        <f t="shared" si="11"/>
        <v>0</v>
      </c>
      <c r="BG29" s="1">
        <f t="shared" si="14"/>
        <v>0</v>
      </c>
      <c r="BH29" s="1">
        <f t="shared" si="3"/>
        <v>0</v>
      </c>
      <c r="BI29" s="1">
        <f t="shared" si="4"/>
        <v>0</v>
      </c>
      <c r="BJ29" s="1">
        <f t="shared" si="5"/>
        <v>16</v>
      </c>
      <c r="BK29" s="95">
        <f>COUNTIF($G29:$BD29, "AM")</f>
        <v>0</v>
      </c>
      <c r="BL29" s="95">
        <f>COUNTIF($G29:$BD29, "AF")</f>
        <v>0</v>
      </c>
      <c r="BM29" s="1"/>
      <c r="BN29" s="1">
        <f t="shared" si="6"/>
        <v>28</v>
      </c>
      <c r="BO29" s="1">
        <f t="shared" si="7"/>
        <v>6</v>
      </c>
      <c r="BP29" s="1">
        <f t="shared" si="8"/>
        <v>0</v>
      </c>
      <c r="BQ29" s="1">
        <f t="shared" si="9"/>
        <v>0</v>
      </c>
      <c r="BR29" s="1">
        <f t="shared" si="10"/>
        <v>0</v>
      </c>
      <c r="BS29" s="95">
        <f>COUNTIF($G29:$BD29, "AM_D")</f>
        <v>0</v>
      </c>
      <c r="BT29" s="95">
        <f>COUNTIF($G29:$BD29, "AF_D")</f>
        <v>0</v>
      </c>
    </row>
    <row r="30" spans="1:72" x14ac:dyDescent="0.3">
      <c r="A30" s="56">
        <v>169</v>
      </c>
      <c r="B30" s="56">
        <v>8</v>
      </c>
      <c r="C30" s="106">
        <v>44730.1875</v>
      </c>
      <c r="D30" s="101">
        <f t="shared" si="18"/>
        <v>0.25</v>
      </c>
      <c r="E30" s="102">
        <f t="shared" si="21"/>
        <v>6.75</v>
      </c>
      <c r="F30" s="91">
        <f t="shared" si="22"/>
        <v>6.75</v>
      </c>
      <c r="G30" s="26" t="s">
        <v>17</v>
      </c>
      <c r="H30" s="26" t="s">
        <v>17</v>
      </c>
      <c r="I30" s="26" t="s">
        <v>17</v>
      </c>
      <c r="J30" s="26" t="s">
        <v>18</v>
      </c>
      <c r="K30" s="26" t="s">
        <v>11</v>
      </c>
      <c r="L30" s="26" t="s">
        <v>17</v>
      </c>
      <c r="M30" s="26" t="s">
        <v>17</v>
      </c>
      <c r="N30" s="26" t="s">
        <v>17</v>
      </c>
      <c r="O30" s="26" t="s">
        <v>11</v>
      </c>
      <c r="P30" s="26" t="s">
        <v>11</v>
      </c>
      <c r="Q30" s="26" t="s">
        <v>17</v>
      </c>
      <c r="R30" s="26" t="s">
        <v>17</v>
      </c>
      <c r="S30" s="26" t="s">
        <v>17</v>
      </c>
      <c r="T30" s="26" t="s">
        <v>18</v>
      </c>
      <c r="U30" s="26" t="s">
        <v>11</v>
      </c>
      <c r="V30" s="26" t="s">
        <v>17</v>
      </c>
      <c r="W30" s="26" t="s">
        <v>17</v>
      </c>
      <c r="X30" s="26" t="s">
        <v>17</v>
      </c>
      <c r="Y30" s="26" t="s">
        <v>17</v>
      </c>
      <c r="Z30" s="26" t="s">
        <v>11</v>
      </c>
      <c r="AA30" s="26" t="s">
        <v>17</v>
      </c>
      <c r="AB30" s="26" t="s">
        <v>17</v>
      </c>
      <c r="AC30" s="26" t="s">
        <v>11</v>
      </c>
      <c r="AD30" s="26" t="s">
        <v>11</v>
      </c>
      <c r="AE30" s="26" t="s">
        <v>11</v>
      </c>
      <c r="AF30" s="26" t="s">
        <v>17</v>
      </c>
      <c r="AG30" s="26" t="s">
        <v>17</v>
      </c>
      <c r="AH30" s="26" t="s">
        <v>17</v>
      </c>
      <c r="AI30" s="26" t="s">
        <v>18</v>
      </c>
      <c r="AJ30" s="26" t="s">
        <v>11</v>
      </c>
      <c r="AK30" s="26" t="s">
        <v>17</v>
      </c>
      <c r="AL30" s="26" t="s">
        <v>17</v>
      </c>
      <c r="AM30" s="26" t="s">
        <v>18</v>
      </c>
      <c r="AN30" s="26" t="s">
        <v>11</v>
      </c>
      <c r="AO30" s="26" t="s">
        <v>11</v>
      </c>
      <c r="AP30" s="26" t="s">
        <v>17</v>
      </c>
      <c r="AQ30" s="26" t="s">
        <v>17</v>
      </c>
      <c r="AR30" s="26" t="s">
        <v>17</v>
      </c>
      <c r="AS30" s="26" t="s">
        <v>11</v>
      </c>
      <c r="AT30" s="26" t="s">
        <v>11</v>
      </c>
      <c r="AU30" s="26" t="s">
        <v>17</v>
      </c>
      <c r="AV30" s="26" t="s">
        <v>17</v>
      </c>
      <c r="AW30" s="26" t="s">
        <v>18</v>
      </c>
      <c r="AX30" s="26" t="s">
        <v>11</v>
      </c>
      <c r="AY30" s="26" t="s">
        <v>11</v>
      </c>
      <c r="AZ30" s="26" t="s">
        <v>17</v>
      </c>
      <c r="BA30" s="26" t="s">
        <v>17</v>
      </c>
      <c r="BB30" s="26" t="s">
        <v>17</v>
      </c>
      <c r="BC30" s="26" t="s">
        <v>18</v>
      </c>
      <c r="BD30" s="26" t="s">
        <v>11</v>
      </c>
      <c r="BE30" s="1">
        <v>6.75</v>
      </c>
      <c r="BF30" s="1">
        <f t="shared" si="11"/>
        <v>0</v>
      </c>
      <c r="BG30" s="1">
        <f t="shared" si="14"/>
        <v>0</v>
      </c>
      <c r="BH30" s="1">
        <f t="shared" si="3"/>
        <v>0</v>
      </c>
      <c r="BI30" s="1">
        <f t="shared" si="4"/>
        <v>0</v>
      </c>
      <c r="BJ30" s="1">
        <f t="shared" si="5"/>
        <v>16</v>
      </c>
      <c r="BK30" s="95">
        <f>COUNTIF($G30:$BD30, "AM")</f>
        <v>0</v>
      </c>
      <c r="BL30" s="95">
        <f>COUNTIF($G30:$BD30, "AF")</f>
        <v>0</v>
      </c>
      <c r="BM30" s="1"/>
      <c r="BN30" s="1">
        <f t="shared" si="6"/>
        <v>28</v>
      </c>
      <c r="BO30" s="1">
        <f t="shared" si="7"/>
        <v>6</v>
      </c>
      <c r="BP30" s="1">
        <f t="shared" si="8"/>
        <v>0</v>
      </c>
      <c r="BQ30" s="1">
        <f t="shared" si="9"/>
        <v>0</v>
      </c>
      <c r="BR30" s="1">
        <f t="shared" si="10"/>
        <v>0</v>
      </c>
      <c r="BS30" s="95">
        <f>COUNTIF($G30:$BD30, "AM_D")</f>
        <v>0</v>
      </c>
      <c r="BT30" s="95">
        <f>COUNTIF($G30:$BD30, "AF_D")</f>
        <v>0</v>
      </c>
    </row>
    <row r="31" spans="1:72" x14ac:dyDescent="0.3">
      <c r="A31" s="56">
        <v>169</v>
      </c>
      <c r="B31" s="56">
        <v>8</v>
      </c>
      <c r="C31" s="106">
        <v>44730.4375</v>
      </c>
      <c r="D31" s="101">
        <f t="shared" si="18"/>
        <v>0.25</v>
      </c>
      <c r="E31" s="102">
        <f t="shared" si="21"/>
        <v>7</v>
      </c>
      <c r="F31" s="91">
        <f t="shared" si="22"/>
        <v>7</v>
      </c>
      <c r="G31" s="26" t="s">
        <v>17</v>
      </c>
      <c r="H31" s="26" t="s">
        <v>17</v>
      </c>
      <c r="I31" s="26" t="s">
        <v>17</v>
      </c>
      <c r="J31" s="26" t="s">
        <v>18</v>
      </c>
      <c r="K31" s="26" t="s">
        <v>11</v>
      </c>
      <c r="L31" s="26" t="s">
        <v>17</v>
      </c>
      <c r="M31" s="26" t="s">
        <v>17</v>
      </c>
      <c r="N31" s="26" t="s">
        <v>17</v>
      </c>
      <c r="O31" s="26" t="s">
        <v>11</v>
      </c>
      <c r="P31" s="26" t="s">
        <v>11</v>
      </c>
      <c r="Q31" s="26" t="s">
        <v>17</v>
      </c>
      <c r="R31" s="26" t="s">
        <v>17</v>
      </c>
      <c r="S31" s="26" t="s">
        <v>17</v>
      </c>
      <c r="T31" s="26" t="s">
        <v>18</v>
      </c>
      <c r="U31" s="26" t="s">
        <v>11</v>
      </c>
      <c r="V31" s="26" t="s">
        <v>17</v>
      </c>
      <c r="W31" s="26" t="s">
        <v>17</v>
      </c>
      <c r="X31" s="26" t="s">
        <v>17</v>
      </c>
      <c r="Y31" s="26" t="s">
        <v>17</v>
      </c>
      <c r="Z31" s="26" t="s">
        <v>11</v>
      </c>
      <c r="AA31" s="26" t="s">
        <v>17</v>
      </c>
      <c r="AB31" s="26" t="s">
        <v>17</v>
      </c>
      <c r="AC31" s="26" t="s">
        <v>11</v>
      </c>
      <c r="AD31" s="26" t="s">
        <v>11</v>
      </c>
      <c r="AE31" s="26" t="s">
        <v>11</v>
      </c>
      <c r="AF31" s="26" t="s">
        <v>17</v>
      </c>
      <c r="AG31" s="26" t="s">
        <v>17</v>
      </c>
      <c r="AH31" s="26" t="s">
        <v>17</v>
      </c>
      <c r="AI31" s="26" t="s">
        <v>18</v>
      </c>
      <c r="AJ31" s="26" t="s">
        <v>11</v>
      </c>
      <c r="AK31" s="26" t="s">
        <v>17</v>
      </c>
      <c r="AL31" s="26" t="s">
        <v>17</v>
      </c>
      <c r="AM31" s="26" t="s">
        <v>18</v>
      </c>
      <c r="AN31" s="26" t="s">
        <v>11</v>
      </c>
      <c r="AO31" s="26" t="s">
        <v>11</v>
      </c>
      <c r="AP31" s="26" t="s">
        <v>17</v>
      </c>
      <c r="AQ31" s="26" t="s">
        <v>17</v>
      </c>
      <c r="AR31" s="26" t="s">
        <v>17</v>
      </c>
      <c r="AS31" s="26" t="s">
        <v>11</v>
      </c>
      <c r="AT31" s="26" t="s">
        <v>11</v>
      </c>
      <c r="AU31" s="26" t="s">
        <v>17</v>
      </c>
      <c r="AV31" s="26" t="s">
        <v>17</v>
      </c>
      <c r="AW31" s="26" t="s">
        <v>18</v>
      </c>
      <c r="AX31" s="26" t="s">
        <v>11</v>
      </c>
      <c r="AY31" s="26" t="s">
        <v>11</v>
      </c>
      <c r="AZ31" s="26" t="s">
        <v>17</v>
      </c>
      <c r="BA31" s="26" t="s">
        <v>17</v>
      </c>
      <c r="BB31" s="26" t="s">
        <v>17</v>
      </c>
      <c r="BC31" s="26" t="s">
        <v>18</v>
      </c>
      <c r="BD31" s="26" t="s">
        <v>11</v>
      </c>
      <c r="BE31" s="1">
        <v>7</v>
      </c>
      <c r="BF31" s="1">
        <f t="shared" si="11"/>
        <v>0</v>
      </c>
      <c r="BG31" s="1">
        <f t="shared" si="14"/>
        <v>0</v>
      </c>
      <c r="BH31" s="1">
        <f t="shared" si="3"/>
        <v>0</v>
      </c>
      <c r="BI31" s="1">
        <f t="shared" si="4"/>
        <v>0</v>
      </c>
      <c r="BJ31" s="1">
        <f t="shared" si="5"/>
        <v>16</v>
      </c>
      <c r="BK31" s="95">
        <f>COUNTIF($G31:$BD31, "AM")</f>
        <v>0</v>
      </c>
      <c r="BL31" s="95">
        <f>COUNTIF($G31:$BD31, "AF")</f>
        <v>0</v>
      </c>
      <c r="BM31" s="1"/>
      <c r="BN31" s="1">
        <f t="shared" si="6"/>
        <v>28</v>
      </c>
      <c r="BO31" s="1">
        <f t="shared" si="7"/>
        <v>6</v>
      </c>
      <c r="BP31" s="1">
        <f t="shared" si="8"/>
        <v>0</v>
      </c>
      <c r="BQ31" s="1">
        <f t="shared" si="9"/>
        <v>0</v>
      </c>
      <c r="BR31" s="1">
        <f t="shared" si="10"/>
        <v>0</v>
      </c>
      <c r="BS31" s="95">
        <f>COUNTIF($G31:$BD31, "AM_D")</f>
        <v>0</v>
      </c>
      <c r="BT31" s="95">
        <f>COUNTIF($G31:$BD31, "AF_D")</f>
        <v>0</v>
      </c>
    </row>
    <row r="32" spans="1:72" x14ac:dyDescent="0.3">
      <c r="A32" s="56">
        <v>169</v>
      </c>
      <c r="B32" s="56">
        <v>8</v>
      </c>
      <c r="C32" s="106">
        <v>44730.6875</v>
      </c>
      <c r="D32" s="101">
        <f t="shared" si="18"/>
        <v>0.25</v>
      </c>
      <c r="E32" s="102">
        <f t="shared" si="21"/>
        <v>7.25</v>
      </c>
      <c r="F32" s="91">
        <f t="shared" si="22"/>
        <v>7.25</v>
      </c>
      <c r="G32" s="26" t="s">
        <v>17</v>
      </c>
      <c r="H32" s="26" t="s">
        <v>17</v>
      </c>
      <c r="I32" s="26" t="s">
        <v>17</v>
      </c>
      <c r="J32" s="26" t="s">
        <v>18</v>
      </c>
      <c r="K32" s="26" t="s">
        <v>11</v>
      </c>
      <c r="L32" s="26" t="s">
        <v>17</v>
      </c>
      <c r="M32" s="26" t="s">
        <v>17</v>
      </c>
      <c r="N32" s="26" t="s">
        <v>17</v>
      </c>
      <c r="O32" s="26" t="s">
        <v>11</v>
      </c>
      <c r="P32" s="26" t="s">
        <v>11</v>
      </c>
      <c r="Q32" s="26" t="s">
        <v>17</v>
      </c>
      <c r="R32" s="26" t="s">
        <v>17</v>
      </c>
      <c r="S32" s="26" t="s">
        <v>17</v>
      </c>
      <c r="T32" s="26" t="s">
        <v>18</v>
      </c>
      <c r="U32" s="26" t="s">
        <v>11</v>
      </c>
      <c r="V32" s="26" t="s">
        <v>17</v>
      </c>
      <c r="W32" s="26" t="s">
        <v>17</v>
      </c>
      <c r="X32" s="26" t="s">
        <v>17</v>
      </c>
      <c r="Y32" s="26" t="s">
        <v>17</v>
      </c>
      <c r="Z32" s="26" t="s">
        <v>11</v>
      </c>
      <c r="AA32" s="26" t="s">
        <v>17</v>
      </c>
      <c r="AB32" s="26" t="s">
        <v>17</v>
      </c>
      <c r="AC32" s="26" t="s">
        <v>11</v>
      </c>
      <c r="AD32" s="26" t="s">
        <v>11</v>
      </c>
      <c r="AE32" s="26" t="s">
        <v>11</v>
      </c>
      <c r="AF32" s="26" t="s">
        <v>17</v>
      </c>
      <c r="AG32" s="26" t="s">
        <v>17</v>
      </c>
      <c r="AH32" s="26" t="s">
        <v>17</v>
      </c>
      <c r="AI32" s="26" t="s">
        <v>18</v>
      </c>
      <c r="AJ32" s="26" t="s">
        <v>11</v>
      </c>
      <c r="AK32" s="26" t="s">
        <v>17</v>
      </c>
      <c r="AL32" s="26" t="s">
        <v>17</v>
      </c>
      <c r="AM32" s="26" t="s">
        <v>18</v>
      </c>
      <c r="AN32" s="26" t="s">
        <v>11</v>
      </c>
      <c r="AO32" s="26" t="s">
        <v>11</v>
      </c>
      <c r="AP32" s="26" t="s">
        <v>17</v>
      </c>
      <c r="AQ32" s="26" t="s">
        <v>17</v>
      </c>
      <c r="AR32" s="26" t="s">
        <v>17</v>
      </c>
      <c r="AS32" s="26" t="s">
        <v>11</v>
      </c>
      <c r="AT32" s="26" t="s">
        <v>11</v>
      </c>
      <c r="AU32" s="26" t="s">
        <v>17</v>
      </c>
      <c r="AV32" s="26" t="s">
        <v>17</v>
      </c>
      <c r="AW32" s="26" t="s">
        <v>18</v>
      </c>
      <c r="AX32" s="26" t="s">
        <v>11</v>
      </c>
      <c r="AY32" s="26" t="s">
        <v>11</v>
      </c>
      <c r="AZ32" s="26" t="s">
        <v>17</v>
      </c>
      <c r="BA32" s="26" t="s">
        <v>17</v>
      </c>
      <c r="BB32" s="26" t="s">
        <v>17</v>
      </c>
      <c r="BC32" s="26" t="s">
        <v>18</v>
      </c>
      <c r="BD32" s="26" t="s">
        <v>11</v>
      </c>
      <c r="BE32" s="1">
        <v>7.25</v>
      </c>
      <c r="BF32" s="1">
        <f t="shared" si="11"/>
        <v>0</v>
      </c>
      <c r="BG32" s="1">
        <f t="shared" si="14"/>
        <v>0</v>
      </c>
      <c r="BH32" s="1">
        <f t="shared" si="3"/>
        <v>0</v>
      </c>
      <c r="BI32" s="1">
        <f t="shared" si="4"/>
        <v>0</v>
      </c>
      <c r="BJ32" s="1">
        <f t="shared" si="5"/>
        <v>16</v>
      </c>
      <c r="BK32" s="95">
        <f>COUNTIF($G32:$BD32, "AM")</f>
        <v>0</v>
      </c>
      <c r="BL32" s="95">
        <f>COUNTIF($G32:$BD32, "AF")</f>
        <v>0</v>
      </c>
      <c r="BM32" s="1"/>
      <c r="BN32" s="1">
        <f t="shared" si="6"/>
        <v>28</v>
      </c>
      <c r="BO32" s="1">
        <f t="shared" si="7"/>
        <v>6</v>
      </c>
      <c r="BP32" s="1">
        <f t="shared" si="8"/>
        <v>0</v>
      </c>
      <c r="BQ32" s="1">
        <f t="shared" si="9"/>
        <v>0</v>
      </c>
      <c r="BR32" s="1">
        <f t="shared" si="10"/>
        <v>0</v>
      </c>
      <c r="BS32" s="95">
        <f>COUNTIF($G32:$BD32, "AM_D")</f>
        <v>0</v>
      </c>
      <c r="BT32" s="95">
        <f>COUNTIF($G32:$BD32, "AF_D")</f>
        <v>0</v>
      </c>
    </row>
    <row r="33" spans="1:72" x14ac:dyDescent="0.3">
      <c r="A33" s="56">
        <v>169</v>
      </c>
      <c r="B33" s="56">
        <v>8</v>
      </c>
      <c r="C33" s="106">
        <v>44730.9375</v>
      </c>
      <c r="D33" s="101">
        <f t="shared" si="18"/>
        <v>0.25</v>
      </c>
      <c r="E33" s="102">
        <f t="shared" si="21"/>
        <v>7.5</v>
      </c>
      <c r="F33" s="91">
        <f t="shared" si="22"/>
        <v>7.5</v>
      </c>
      <c r="G33" s="26" t="s">
        <v>17</v>
      </c>
      <c r="H33" s="26" t="s">
        <v>17</v>
      </c>
      <c r="I33" s="26" t="s">
        <v>17</v>
      </c>
      <c r="J33" s="26" t="s">
        <v>18</v>
      </c>
      <c r="K33" s="26" t="s">
        <v>11</v>
      </c>
      <c r="L33" s="26" t="s">
        <v>17</v>
      </c>
      <c r="M33" s="26" t="s">
        <v>17</v>
      </c>
      <c r="N33" s="26" t="s">
        <v>17</v>
      </c>
      <c r="O33" s="26" t="s">
        <v>11</v>
      </c>
      <c r="P33" s="26" t="s">
        <v>11</v>
      </c>
      <c r="Q33" s="26" t="s">
        <v>17</v>
      </c>
      <c r="R33" s="26" t="s">
        <v>17</v>
      </c>
      <c r="S33" s="26" t="s">
        <v>17</v>
      </c>
      <c r="T33" s="26" t="s">
        <v>18</v>
      </c>
      <c r="U33" s="26" t="s">
        <v>11</v>
      </c>
      <c r="V33" s="26" t="s">
        <v>17</v>
      </c>
      <c r="W33" s="26" t="s">
        <v>17</v>
      </c>
      <c r="X33" s="26" t="s">
        <v>17</v>
      </c>
      <c r="Y33" s="26" t="s">
        <v>17</v>
      </c>
      <c r="Z33" s="26" t="s">
        <v>11</v>
      </c>
      <c r="AA33" s="26" t="s">
        <v>17</v>
      </c>
      <c r="AB33" s="26" t="s">
        <v>17</v>
      </c>
      <c r="AC33" s="26" t="s">
        <v>11</v>
      </c>
      <c r="AD33" s="26" t="s">
        <v>11</v>
      </c>
      <c r="AE33" s="26" t="s">
        <v>11</v>
      </c>
      <c r="AF33" s="26" t="s">
        <v>17</v>
      </c>
      <c r="AG33" s="26" t="s">
        <v>17</v>
      </c>
      <c r="AH33" s="26" t="s">
        <v>17</v>
      </c>
      <c r="AI33" s="26" t="s">
        <v>18</v>
      </c>
      <c r="AJ33" s="26" t="s">
        <v>11</v>
      </c>
      <c r="AK33" s="26" t="s">
        <v>17</v>
      </c>
      <c r="AL33" s="26" t="s">
        <v>17</v>
      </c>
      <c r="AM33" s="26" t="s">
        <v>18</v>
      </c>
      <c r="AN33" s="26" t="s">
        <v>11</v>
      </c>
      <c r="AO33" s="26" t="s">
        <v>11</v>
      </c>
      <c r="AP33" s="26" t="s">
        <v>17</v>
      </c>
      <c r="AQ33" s="26" t="s">
        <v>17</v>
      </c>
      <c r="AR33" s="26" t="s">
        <v>17</v>
      </c>
      <c r="AS33" s="26" t="s">
        <v>11</v>
      </c>
      <c r="AT33" s="26" t="s">
        <v>11</v>
      </c>
      <c r="AU33" s="26" t="s">
        <v>17</v>
      </c>
      <c r="AV33" s="26" t="s">
        <v>17</v>
      </c>
      <c r="AW33" s="26" t="s">
        <v>18</v>
      </c>
      <c r="AX33" s="26" t="s">
        <v>11</v>
      </c>
      <c r="AY33" s="26" t="s">
        <v>11</v>
      </c>
      <c r="AZ33" s="26" t="s">
        <v>17</v>
      </c>
      <c r="BA33" s="26" t="s">
        <v>17</v>
      </c>
      <c r="BB33" s="26" t="s">
        <v>17</v>
      </c>
      <c r="BC33" s="26" t="s">
        <v>18</v>
      </c>
      <c r="BD33" s="26" t="s">
        <v>11</v>
      </c>
      <c r="BE33" s="1">
        <v>7.5</v>
      </c>
      <c r="BF33" s="1">
        <f t="shared" si="11"/>
        <v>0</v>
      </c>
      <c r="BG33" s="1">
        <f t="shared" si="14"/>
        <v>0</v>
      </c>
      <c r="BH33" s="1">
        <f t="shared" si="3"/>
        <v>0</v>
      </c>
      <c r="BI33" s="1">
        <f t="shared" si="4"/>
        <v>0</v>
      </c>
      <c r="BJ33" s="1">
        <f t="shared" si="5"/>
        <v>16</v>
      </c>
      <c r="BK33" s="95">
        <f>COUNTIF($G33:$BD33, "AM")</f>
        <v>0</v>
      </c>
      <c r="BL33" s="95">
        <f>COUNTIF($G33:$BD33, "AF")</f>
        <v>0</v>
      </c>
      <c r="BM33" s="1"/>
      <c r="BN33" s="1">
        <f t="shared" si="6"/>
        <v>28</v>
      </c>
      <c r="BO33" s="1">
        <f t="shared" si="7"/>
        <v>6</v>
      </c>
      <c r="BP33" s="1">
        <f t="shared" si="8"/>
        <v>0</v>
      </c>
      <c r="BQ33" s="1">
        <f t="shared" si="9"/>
        <v>0</v>
      </c>
      <c r="BR33" s="1">
        <f t="shared" si="10"/>
        <v>0</v>
      </c>
      <c r="BS33" s="95">
        <f>COUNTIF($G33:$BD33, "AM_D")</f>
        <v>0</v>
      </c>
      <c r="BT33" s="95">
        <f>COUNTIF($G33:$BD33, "AF_D")</f>
        <v>0</v>
      </c>
    </row>
    <row r="34" spans="1:72" x14ac:dyDescent="0.3">
      <c r="A34" s="56">
        <v>170</v>
      </c>
      <c r="B34" s="56">
        <v>9</v>
      </c>
      <c r="C34" s="106">
        <v>44731.1875</v>
      </c>
      <c r="D34" s="101">
        <f t="shared" si="18"/>
        <v>0.25</v>
      </c>
      <c r="E34" s="102">
        <f t="shared" ref="E34:E41" si="23">E33+D34</f>
        <v>7.75</v>
      </c>
      <c r="F34" s="91">
        <f t="shared" ref="F34:F41" si="24">F33+D34</f>
        <v>7.75</v>
      </c>
      <c r="G34" s="26" t="s">
        <v>17</v>
      </c>
      <c r="H34" s="26" t="s">
        <v>17</v>
      </c>
      <c r="I34" s="26" t="s">
        <v>17</v>
      </c>
      <c r="J34" s="26" t="s">
        <v>18</v>
      </c>
      <c r="K34" s="26" t="s">
        <v>11</v>
      </c>
      <c r="L34" s="26" t="s">
        <v>17</v>
      </c>
      <c r="M34" s="26" t="s">
        <v>17</v>
      </c>
      <c r="N34" s="26" t="s">
        <v>17</v>
      </c>
      <c r="O34" s="26" t="s">
        <v>11</v>
      </c>
      <c r="P34" s="26" t="s">
        <v>11</v>
      </c>
      <c r="Q34" s="26" t="s">
        <v>17</v>
      </c>
      <c r="R34" s="26" t="s">
        <v>17</v>
      </c>
      <c r="S34" s="26" t="s">
        <v>17</v>
      </c>
      <c r="T34" s="26" t="s">
        <v>18</v>
      </c>
      <c r="U34" s="26" t="s">
        <v>11</v>
      </c>
      <c r="V34" s="26" t="s">
        <v>17</v>
      </c>
      <c r="W34" s="26" t="s">
        <v>17</v>
      </c>
      <c r="X34" s="26" t="s">
        <v>17</v>
      </c>
      <c r="Y34" s="26" t="s">
        <v>17</v>
      </c>
      <c r="Z34" s="26" t="s">
        <v>11</v>
      </c>
      <c r="AA34" s="26" t="s">
        <v>17</v>
      </c>
      <c r="AB34" s="26" t="s">
        <v>17</v>
      </c>
      <c r="AC34" s="26" t="s">
        <v>11</v>
      </c>
      <c r="AD34" s="26" t="s">
        <v>11</v>
      </c>
      <c r="AE34" s="26" t="s">
        <v>11</v>
      </c>
      <c r="AF34" s="26" t="s">
        <v>17</v>
      </c>
      <c r="AG34" s="26" t="s">
        <v>17</v>
      </c>
      <c r="AH34" s="26" t="s">
        <v>17</v>
      </c>
      <c r="AI34" s="26" t="s">
        <v>18</v>
      </c>
      <c r="AJ34" s="26" t="s">
        <v>11</v>
      </c>
      <c r="AK34" s="26" t="s">
        <v>17</v>
      </c>
      <c r="AL34" s="26" t="s">
        <v>17</v>
      </c>
      <c r="AM34" s="26" t="s">
        <v>18</v>
      </c>
      <c r="AN34" s="26" t="s">
        <v>11</v>
      </c>
      <c r="AO34" s="26" t="s">
        <v>11</v>
      </c>
      <c r="AP34" s="26" t="s">
        <v>17</v>
      </c>
      <c r="AQ34" s="26" t="s">
        <v>17</v>
      </c>
      <c r="AR34" s="26" t="s">
        <v>17</v>
      </c>
      <c r="AS34" s="26" t="s">
        <v>11</v>
      </c>
      <c r="AT34" s="26" t="s">
        <v>11</v>
      </c>
      <c r="AU34" s="26" t="s">
        <v>17</v>
      </c>
      <c r="AV34" s="26" t="s">
        <v>17</v>
      </c>
      <c r="AW34" s="26" t="s">
        <v>18</v>
      </c>
      <c r="AX34" s="26" t="s">
        <v>11</v>
      </c>
      <c r="AY34" s="26" t="s">
        <v>11</v>
      </c>
      <c r="AZ34" s="26" t="s">
        <v>17</v>
      </c>
      <c r="BA34" s="26" t="s">
        <v>17</v>
      </c>
      <c r="BB34" s="26" t="s">
        <v>17</v>
      </c>
      <c r="BC34" s="26" t="s">
        <v>18</v>
      </c>
      <c r="BD34" s="26" t="s">
        <v>11</v>
      </c>
      <c r="BE34" s="1">
        <v>7.75</v>
      </c>
      <c r="BF34" s="1">
        <f t="shared" si="11"/>
        <v>0</v>
      </c>
      <c r="BG34" s="1">
        <f t="shared" si="14"/>
        <v>0</v>
      </c>
      <c r="BH34" s="1">
        <f t="shared" si="3"/>
        <v>0</v>
      </c>
      <c r="BI34" s="1">
        <f t="shared" si="4"/>
        <v>0</v>
      </c>
      <c r="BJ34" s="1">
        <f t="shared" si="5"/>
        <v>16</v>
      </c>
      <c r="BK34" s="95">
        <f>COUNTIF($G34:$BD34, "AM")</f>
        <v>0</v>
      </c>
      <c r="BL34" s="95">
        <f>COUNTIF($G34:$BD34, "AF")</f>
        <v>0</v>
      </c>
      <c r="BM34" s="1"/>
      <c r="BN34" s="1">
        <f t="shared" si="6"/>
        <v>28</v>
      </c>
      <c r="BO34" s="1">
        <f t="shared" si="7"/>
        <v>6</v>
      </c>
      <c r="BP34" s="1">
        <f t="shared" si="8"/>
        <v>0</v>
      </c>
      <c r="BQ34" s="1">
        <f t="shared" si="9"/>
        <v>0</v>
      </c>
      <c r="BR34" s="1">
        <f t="shared" si="10"/>
        <v>0</v>
      </c>
      <c r="BS34" s="95">
        <f>COUNTIF($G34:$BD34, "AM_D")</f>
        <v>0</v>
      </c>
      <c r="BT34" s="95">
        <f>COUNTIF($G34:$BD34, "AF_D")</f>
        <v>0</v>
      </c>
    </row>
    <row r="35" spans="1:72" x14ac:dyDescent="0.3">
      <c r="A35" s="56">
        <v>170</v>
      </c>
      <c r="B35" s="56">
        <v>9</v>
      </c>
      <c r="C35" s="106">
        <v>44731.4375</v>
      </c>
      <c r="D35" s="101">
        <f t="shared" si="18"/>
        <v>0.25</v>
      </c>
      <c r="E35" s="102">
        <f t="shared" si="23"/>
        <v>8</v>
      </c>
      <c r="F35" s="91">
        <f t="shared" si="24"/>
        <v>8</v>
      </c>
      <c r="G35" s="26" t="s">
        <v>17</v>
      </c>
      <c r="H35" s="26" t="s">
        <v>17</v>
      </c>
      <c r="I35" s="26" t="s">
        <v>17</v>
      </c>
      <c r="J35" s="26" t="s">
        <v>18</v>
      </c>
      <c r="K35" s="26" t="s">
        <v>11</v>
      </c>
      <c r="L35" s="26" t="s">
        <v>17</v>
      </c>
      <c r="M35" s="26" t="s">
        <v>17</v>
      </c>
      <c r="N35" s="26" t="s">
        <v>17</v>
      </c>
      <c r="O35" s="26" t="s">
        <v>11</v>
      </c>
      <c r="P35" s="97" t="s">
        <v>14</v>
      </c>
      <c r="Q35" s="26" t="s">
        <v>17</v>
      </c>
      <c r="R35" s="26" t="s">
        <v>17</v>
      </c>
      <c r="S35" s="26" t="s">
        <v>17</v>
      </c>
      <c r="T35" s="26" t="s">
        <v>18</v>
      </c>
      <c r="U35" s="26" t="s">
        <v>11</v>
      </c>
      <c r="V35" s="26" t="s">
        <v>17</v>
      </c>
      <c r="W35" s="26" t="s">
        <v>17</v>
      </c>
      <c r="X35" s="26" t="s">
        <v>17</v>
      </c>
      <c r="Y35" s="26" t="s">
        <v>17</v>
      </c>
      <c r="Z35" s="26" t="s">
        <v>11</v>
      </c>
      <c r="AA35" s="26" t="s">
        <v>17</v>
      </c>
      <c r="AB35" s="26" t="s">
        <v>17</v>
      </c>
      <c r="AC35" s="26" t="s">
        <v>11</v>
      </c>
      <c r="AD35" s="26" t="s">
        <v>11</v>
      </c>
      <c r="AE35" s="26" t="s">
        <v>11</v>
      </c>
      <c r="AF35" s="26" t="s">
        <v>17</v>
      </c>
      <c r="AG35" s="26" t="s">
        <v>17</v>
      </c>
      <c r="AH35" s="26" t="s">
        <v>17</v>
      </c>
      <c r="AI35" s="26" t="s">
        <v>18</v>
      </c>
      <c r="AJ35" s="26" t="s">
        <v>11</v>
      </c>
      <c r="AK35" s="26" t="s">
        <v>17</v>
      </c>
      <c r="AL35" s="26" t="s">
        <v>17</v>
      </c>
      <c r="AM35" s="26" t="s">
        <v>18</v>
      </c>
      <c r="AN35" s="26" t="s">
        <v>11</v>
      </c>
      <c r="AO35" s="108" t="s">
        <v>13</v>
      </c>
      <c r="AP35" s="26" t="s">
        <v>17</v>
      </c>
      <c r="AQ35" s="26" t="s">
        <v>17</v>
      </c>
      <c r="AR35" s="26" t="s">
        <v>17</v>
      </c>
      <c r="AS35" s="26" t="s">
        <v>11</v>
      </c>
      <c r="AT35" s="26" t="s">
        <v>11</v>
      </c>
      <c r="AU35" s="26" t="s">
        <v>17</v>
      </c>
      <c r="AV35" s="26" t="s">
        <v>17</v>
      </c>
      <c r="AW35" s="26" t="s">
        <v>18</v>
      </c>
      <c r="AX35" s="26" t="s">
        <v>11</v>
      </c>
      <c r="AY35" s="26" t="s">
        <v>11</v>
      </c>
      <c r="AZ35" s="26" t="s">
        <v>17</v>
      </c>
      <c r="BA35" s="26" t="s">
        <v>17</v>
      </c>
      <c r="BB35" s="26" t="s">
        <v>17</v>
      </c>
      <c r="BC35" s="26" t="s">
        <v>18</v>
      </c>
      <c r="BD35" s="26" t="s">
        <v>11</v>
      </c>
      <c r="BE35" s="1">
        <v>8</v>
      </c>
      <c r="BF35" s="1">
        <f t="shared" si="11"/>
        <v>0</v>
      </c>
      <c r="BG35" s="1">
        <f t="shared" si="14"/>
        <v>0</v>
      </c>
      <c r="BH35" s="1">
        <f t="shared" si="3"/>
        <v>0</v>
      </c>
      <c r="BI35" s="1">
        <f t="shared" si="4"/>
        <v>0</v>
      </c>
      <c r="BJ35" s="1">
        <f t="shared" si="5"/>
        <v>14</v>
      </c>
      <c r="BK35" s="95">
        <f>COUNTIF($G35:$BD35, "AM")</f>
        <v>1</v>
      </c>
      <c r="BL35" s="95">
        <f>COUNTIF($G35:$BD35, "AF")</f>
        <v>1</v>
      </c>
      <c r="BM35" s="1"/>
      <c r="BN35" s="1">
        <f t="shared" si="6"/>
        <v>28</v>
      </c>
      <c r="BO35" s="1">
        <f t="shared" si="7"/>
        <v>6</v>
      </c>
      <c r="BP35" s="1">
        <f t="shared" si="8"/>
        <v>0</v>
      </c>
      <c r="BQ35" s="1">
        <f t="shared" si="9"/>
        <v>0</v>
      </c>
      <c r="BR35" s="1">
        <f t="shared" si="10"/>
        <v>0</v>
      </c>
      <c r="BS35" s="95">
        <f>COUNTIF($G35:$BD35, "AM_D")</f>
        <v>0</v>
      </c>
      <c r="BT35" s="95">
        <f>COUNTIF($G35:$BD35, "AF_D")</f>
        <v>0</v>
      </c>
    </row>
    <row r="36" spans="1:72" x14ac:dyDescent="0.3">
      <c r="A36" s="56">
        <v>170</v>
      </c>
      <c r="B36" s="56">
        <v>9</v>
      </c>
      <c r="C36" s="106">
        <v>44731.6875</v>
      </c>
      <c r="D36" s="101">
        <f t="shared" si="18"/>
        <v>0.25</v>
      </c>
      <c r="E36" s="102">
        <f t="shared" si="23"/>
        <v>8.25</v>
      </c>
      <c r="F36" s="91">
        <f t="shared" si="24"/>
        <v>8.25</v>
      </c>
      <c r="G36" s="26" t="s">
        <v>17</v>
      </c>
      <c r="H36" s="26" t="s">
        <v>17</v>
      </c>
      <c r="I36" s="26" t="s">
        <v>17</v>
      </c>
      <c r="J36" s="26" t="s">
        <v>18</v>
      </c>
      <c r="K36" s="26" t="s">
        <v>11</v>
      </c>
      <c r="L36" s="26" t="s">
        <v>17</v>
      </c>
      <c r="M36" s="26" t="s">
        <v>17</v>
      </c>
      <c r="N36" s="26" t="s">
        <v>17</v>
      </c>
      <c r="O36" s="26" t="s">
        <v>11</v>
      </c>
      <c r="P36" s="97" t="s">
        <v>14</v>
      </c>
      <c r="Q36" s="26" t="s">
        <v>17</v>
      </c>
      <c r="R36" s="26" t="s">
        <v>17</v>
      </c>
      <c r="S36" s="26" t="s">
        <v>17</v>
      </c>
      <c r="T36" s="26" t="s">
        <v>18</v>
      </c>
      <c r="U36" s="26" t="s">
        <v>11</v>
      </c>
      <c r="V36" s="26" t="s">
        <v>17</v>
      </c>
      <c r="W36" s="26" t="s">
        <v>17</v>
      </c>
      <c r="X36" s="26" t="s">
        <v>17</v>
      </c>
      <c r="Y36" s="26" t="s">
        <v>17</v>
      </c>
      <c r="Z36" s="26" t="s">
        <v>11</v>
      </c>
      <c r="AA36" s="26" t="s">
        <v>17</v>
      </c>
      <c r="AB36" s="26" t="s">
        <v>17</v>
      </c>
      <c r="AC36" s="26" t="s">
        <v>11</v>
      </c>
      <c r="AD36" s="26" t="s">
        <v>11</v>
      </c>
      <c r="AE36" s="26" t="s">
        <v>11</v>
      </c>
      <c r="AF36" s="26" t="s">
        <v>17</v>
      </c>
      <c r="AG36" s="26" t="s">
        <v>17</v>
      </c>
      <c r="AH36" s="26" t="s">
        <v>17</v>
      </c>
      <c r="AI36" s="26" t="s">
        <v>18</v>
      </c>
      <c r="AJ36" s="26" t="s">
        <v>11</v>
      </c>
      <c r="AK36" s="26" t="s">
        <v>17</v>
      </c>
      <c r="AL36" s="26" t="s">
        <v>17</v>
      </c>
      <c r="AM36" s="26" t="s">
        <v>18</v>
      </c>
      <c r="AN36" s="26" t="s">
        <v>11</v>
      </c>
      <c r="AO36" s="108" t="s">
        <v>13</v>
      </c>
      <c r="AP36" s="26" t="s">
        <v>17</v>
      </c>
      <c r="AQ36" s="26" t="s">
        <v>17</v>
      </c>
      <c r="AR36" s="26" t="s">
        <v>17</v>
      </c>
      <c r="AS36" s="26" t="s">
        <v>11</v>
      </c>
      <c r="AT36" s="26" t="s">
        <v>11</v>
      </c>
      <c r="AU36" s="26" t="s">
        <v>17</v>
      </c>
      <c r="AV36" s="26" t="s">
        <v>17</v>
      </c>
      <c r="AW36" s="26" t="s">
        <v>18</v>
      </c>
      <c r="AX36" s="26" t="s">
        <v>11</v>
      </c>
      <c r="AY36" s="26" t="s">
        <v>11</v>
      </c>
      <c r="AZ36" s="26" t="s">
        <v>17</v>
      </c>
      <c r="BA36" s="26" t="s">
        <v>17</v>
      </c>
      <c r="BB36" s="26" t="s">
        <v>17</v>
      </c>
      <c r="BC36" s="26" t="s">
        <v>18</v>
      </c>
      <c r="BD36" s="26" t="s">
        <v>11</v>
      </c>
      <c r="BE36" s="1">
        <v>8.25</v>
      </c>
      <c r="BF36" s="1">
        <f t="shared" si="11"/>
        <v>0</v>
      </c>
      <c r="BG36" s="1">
        <f t="shared" si="14"/>
        <v>0</v>
      </c>
      <c r="BH36" s="1">
        <f t="shared" si="3"/>
        <v>0</v>
      </c>
      <c r="BI36" s="1">
        <f t="shared" si="4"/>
        <v>0</v>
      </c>
      <c r="BJ36" s="1">
        <f t="shared" si="5"/>
        <v>14</v>
      </c>
      <c r="BK36" s="95">
        <f>COUNTIF($G36:$BD36, "AM")</f>
        <v>1</v>
      </c>
      <c r="BL36" s="95">
        <f>COUNTIF($G36:$BD36, "AF")</f>
        <v>1</v>
      </c>
      <c r="BM36" s="1"/>
      <c r="BN36" s="1">
        <f t="shared" si="6"/>
        <v>28</v>
      </c>
      <c r="BO36" s="1">
        <f t="shared" si="7"/>
        <v>6</v>
      </c>
      <c r="BP36" s="1">
        <f t="shared" si="8"/>
        <v>0</v>
      </c>
      <c r="BQ36" s="1">
        <f t="shared" si="9"/>
        <v>0</v>
      </c>
      <c r="BR36" s="1">
        <f t="shared" si="10"/>
        <v>0</v>
      </c>
      <c r="BS36" s="95">
        <f>COUNTIF($G36:$BD36, "AM_D")</f>
        <v>0</v>
      </c>
      <c r="BT36" s="95">
        <f>COUNTIF($G36:$BD36, "AF_D")</f>
        <v>0</v>
      </c>
    </row>
    <row r="37" spans="1:72" x14ac:dyDescent="0.3">
      <c r="A37" s="56">
        <v>170</v>
      </c>
      <c r="B37" s="56">
        <v>9</v>
      </c>
      <c r="C37" s="106">
        <v>44731.9375</v>
      </c>
      <c r="D37" s="101">
        <f t="shared" si="18"/>
        <v>0.25</v>
      </c>
      <c r="E37" s="102">
        <f t="shared" si="23"/>
        <v>8.5</v>
      </c>
      <c r="F37" s="91">
        <f t="shared" si="24"/>
        <v>8.5</v>
      </c>
      <c r="G37" s="26" t="s">
        <v>17</v>
      </c>
      <c r="H37" s="26" t="s">
        <v>17</v>
      </c>
      <c r="I37" s="26" t="s">
        <v>17</v>
      </c>
      <c r="J37" s="26" t="s">
        <v>18</v>
      </c>
      <c r="K37" s="26" t="s">
        <v>11</v>
      </c>
      <c r="L37" s="26" t="s">
        <v>17</v>
      </c>
      <c r="M37" s="26" t="s">
        <v>17</v>
      </c>
      <c r="N37" s="26" t="s">
        <v>17</v>
      </c>
      <c r="O37" s="26" t="s">
        <v>11</v>
      </c>
      <c r="P37" s="97" t="s">
        <v>14</v>
      </c>
      <c r="Q37" s="26" t="s">
        <v>17</v>
      </c>
      <c r="R37" s="26" t="s">
        <v>17</v>
      </c>
      <c r="S37" s="26" t="s">
        <v>17</v>
      </c>
      <c r="T37" s="26" t="s">
        <v>18</v>
      </c>
      <c r="U37" s="26" t="s">
        <v>11</v>
      </c>
      <c r="V37" s="26" t="s">
        <v>17</v>
      </c>
      <c r="W37" s="26" t="s">
        <v>17</v>
      </c>
      <c r="X37" s="26" t="s">
        <v>17</v>
      </c>
      <c r="Y37" s="26" t="s">
        <v>17</v>
      </c>
      <c r="Z37" s="26" t="s">
        <v>11</v>
      </c>
      <c r="AA37" s="26" t="s">
        <v>17</v>
      </c>
      <c r="AB37" s="26" t="s">
        <v>17</v>
      </c>
      <c r="AC37" s="26" t="s">
        <v>11</v>
      </c>
      <c r="AD37" s="26" t="s">
        <v>11</v>
      </c>
      <c r="AE37" s="26" t="s">
        <v>11</v>
      </c>
      <c r="AF37" s="26" t="s">
        <v>17</v>
      </c>
      <c r="AG37" s="26" t="s">
        <v>17</v>
      </c>
      <c r="AH37" s="26" t="s">
        <v>17</v>
      </c>
      <c r="AI37" s="26" t="s">
        <v>18</v>
      </c>
      <c r="AJ37" s="26" t="s">
        <v>11</v>
      </c>
      <c r="AK37" s="26" t="s">
        <v>17</v>
      </c>
      <c r="AL37" s="26" t="s">
        <v>17</v>
      </c>
      <c r="AM37" s="26" t="s">
        <v>18</v>
      </c>
      <c r="AN37" s="26" t="s">
        <v>11</v>
      </c>
      <c r="AO37" s="108" t="s">
        <v>13</v>
      </c>
      <c r="AP37" s="26" t="s">
        <v>17</v>
      </c>
      <c r="AQ37" s="26" t="s">
        <v>17</v>
      </c>
      <c r="AR37" s="26" t="s">
        <v>17</v>
      </c>
      <c r="AS37" s="26" t="s">
        <v>11</v>
      </c>
      <c r="AT37" s="26" t="s">
        <v>11</v>
      </c>
      <c r="AU37" s="26" t="s">
        <v>17</v>
      </c>
      <c r="AV37" s="26" t="s">
        <v>17</v>
      </c>
      <c r="AW37" s="26" t="s">
        <v>18</v>
      </c>
      <c r="AX37" s="26" t="s">
        <v>11</v>
      </c>
      <c r="AY37" s="26" t="s">
        <v>11</v>
      </c>
      <c r="AZ37" s="26" t="s">
        <v>17</v>
      </c>
      <c r="BA37" s="26" t="s">
        <v>17</v>
      </c>
      <c r="BB37" s="26" t="s">
        <v>17</v>
      </c>
      <c r="BC37" s="26" t="s">
        <v>18</v>
      </c>
      <c r="BD37" s="26" t="s">
        <v>11</v>
      </c>
      <c r="BE37" s="1">
        <v>8.5</v>
      </c>
      <c r="BF37" s="1">
        <f t="shared" si="11"/>
        <v>0</v>
      </c>
      <c r="BG37" s="1">
        <f t="shared" si="14"/>
        <v>0</v>
      </c>
      <c r="BH37" s="1">
        <f t="shared" si="3"/>
        <v>0</v>
      </c>
      <c r="BI37" s="1">
        <f t="shared" si="4"/>
        <v>0</v>
      </c>
      <c r="BJ37" s="1">
        <f t="shared" si="5"/>
        <v>14</v>
      </c>
      <c r="BK37" s="95">
        <f>COUNTIF($G37:$BD37, "AM")</f>
        <v>1</v>
      </c>
      <c r="BL37" s="95">
        <f>COUNTIF($G37:$BD37, "AF")</f>
        <v>1</v>
      </c>
      <c r="BM37" s="1"/>
      <c r="BN37" s="1">
        <f t="shared" si="6"/>
        <v>28</v>
      </c>
      <c r="BO37" s="1">
        <f t="shared" si="7"/>
        <v>6</v>
      </c>
      <c r="BP37" s="1">
        <f t="shared" si="8"/>
        <v>0</v>
      </c>
      <c r="BQ37" s="1">
        <f t="shared" si="9"/>
        <v>0</v>
      </c>
      <c r="BR37" s="1">
        <f t="shared" si="10"/>
        <v>0</v>
      </c>
      <c r="BS37" s="95">
        <f>COUNTIF($G37:$BD37, "AM_D")</f>
        <v>0</v>
      </c>
      <c r="BT37" s="95">
        <f>COUNTIF($G37:$BD37, "AF_D")</f>
        <v>0</v>
      </c>
    </row>
    <row r="38" spans="1:72" x14ac:dyDescent="0.3">
      <c r="A38" s="56">
        <v>171</v>
      </c>
      <c r="B38" s="56">
        <v>10</v>
      </c>
      <c r="C38" s="106">
        <v>44732.1875</v>
      </c>
      <c r="D38" s="101">
        <f t="shared" si="18"/>
        <v>0.25</v>
      </c>
      <c r="E38" s="102">
        <f t="shared" si="23"/>
        <v>8.75</v>
      </c>
      <c r="F38" s="91">
        <f t="shared" si="24"/>
        <v>8.75</v>
      </c>
      <c r="G38" s="26" t="s">
        <v>17</v>
      </c>
      <c r="H38" s="26" t="s">
        <v>17</v>
      </c>
      <c r="I38" s="26" t="s">
        <v>17</v>
      </c>
      <c r="J38" s="26" t="s">
        <v>18</v>
      </c>
      <c r="K38" s="26" t="s">
        <v>11</v>
      </c>
      <c r="L38" s="26" t="s">
        <v>17</v>
      </c>
      <c r="M38" s="26" t="s">
        <v>17</v>
      </c>
      <c r="N38" s="26" t="s">
        <v>17</v>
      </c>
      <c r="O38" s="26" t="s">
        <v>11</v>
      </c>
      <c r="P38" s="97" t="s">
        <v>14</v>
      </c>
      <c r="Q38" s="26" t="s">
        <v>17</v>
      </c>
      <c r="R38" s="26" t="s">
        <v>17</v>
      </c>
      <c r="S38" s="26" t="s">
        <v>17</v>
      </c>
      <c r="T38" s="26" t="s">
        <v>18</v>
      </c>
      <c r="U38" s="26" t="s">
        <v>11</v>
      </c>
      <c r="V38" s="26" t="s">
        <v>17</v>
      </c>
      <c r="W38" s="26" t="s">
        <v>17</v>
      </c>
      <c r="X38" s="26" t="s">
        <v>17</v>
      </c>
      <c r="Y38" s="26" t="s">
        <v>17</v>
      </c>
      <c r="Z38" s="26" t="s">
        <v>11</v>
      </c>
      <c r="AA38" s="26" t="s">
        <v>17</v>
      </c>
      <c r="AB38" s="26" t="s">
        <v>17</v>
      </c>
      <c r="AC38" s="26" t="s">
        <v>11</v>
      </c>
      <c r="AD38" s="26" t="s">
        <v>11</v>
      </c>
      <c r="AE38" s="26" t="s">
        <v>11</v>
      </c>
      <c r="AF38" s="26" t="s">
        <v>17</v>
      </c>
      <c r="AG38" s="26" t="s">
        <v>17</v>
      </c>
      <c r="AH38" s="26" t="s">
        <v>17</v>
      </c>
      <c r="AI38" s="26" t="s">
        <v>18</v>
      </c>
      <c r="AJ38" s="26" t="s">
        <v>11</v>
      </c>
      <c r="AK38" s="26" t="s">
        <v>17</v>
      </c>
      <c r="AL38" s="26" t="s">
        <v>17</v>
      </c>
      <c r="AM38" s="26" t="s">
        <v>18</v>
      </c>
      <c r="AN38" s="26" t="s">
        <v>11</v>
      </c>
      <c r="AO38" s="108" t="s">
        <v>13</v>
      </c>
      <c r="AP38" s="26" t="s">
        <v>17</v>
      </c>
      <c r="AQ38" s="26" t="s">
        <v>17</v>
      </c>
      <c r="AR38" s="26" t="s">
        <v>17</v>
      </c>
      <c r="AS38" s="26" t="s">
        <v>11</v>
      </c>
      <c r="AT38" s="26" t="s">
        <v>11</v>
      </c>
      <c r="AU38" s="26" t="s">
        <v>17</v>
      </c>
      <c r="AV38" s="26" t="s">
        <v>17</v>
      </c>
      <c r="AW38" s="26" t="s">
        <v>18</v>
      </c>
      <c r="AX38" s="26" t="s">
        <v>11</v>
      </c>
      <c r="AY38" s="26" t="s">
        <v>11</v>
      </c>
      <c r="AZ38" s="26" t="s">
        <v>17</v>
      </c>
      <c r="BA38" s="26" t="s">
        <v>17</v>
      </c>
      <c r="BB38" s="26" t="s">
        <v>17</v>
      </c>
      <c r="BC38" s="26" t="s">
        <v>18</v>
      </c>
      <c r="BD38" s="26" t="s">
        <v>11</v>
      </c>
      <c r="BE38" s="1">
        <v>8.75</v>
      </c>
      <c r="BF38" s="1">
        <f t="shared" si="11"/>
        <v>0</v>
      </c>
      <c r="BG38" s="1">
        <f t="shared" si="14"/>
        <v>0</v>
      </c>
      <c r="BH38" s="1">
        <f>COUNTIF($G38:$BD38, "L2")</f>
        <v>0</v>
      </c>
      <c r="BI38" s="1">
        <f t="shared" si="4"/>
        <v>0</v>
      </c>
      <c r="BJ38" s="1">
        <f t="shared" si="5"/>
        <v>14</v>
      </c>
      <c r="BK38" s="95">
        <f>COUNTIF($G38:$BD38, "AM")</f>
        <v>1</v>
      </c>
      <c r="BL38" s="95">
        <f>COUNTIF($G38:$BD38, "AF")</f>
        <v>1</v>
      </c>
      <c r="BM38" s="1"/>
      <c r="BN38" s="1">
        <f t="shared" si="6"/>
        <v>28</v>
      </c>
      <c r="BO38" s="1">
        <f t="shared" si="7"/>
        <v>6</v>
      </c>
      <c r="BP38" s="1">
        <f t="shared" si="8"/>
        <v>0</v>
      </c>
      <c r="BQ38" s="1">
        <f t="shared" si="9"/>
        <v>0</v>
      </c>
      <c r="BR38" s="1">
        <f t="shared" si="10"/>
        <v>0</v>
      </c>
      <c r="BS38" s="95">
        <f>COUNTIF($G38:$BD38, "AM_D")</f>
        <v>0</v>
      </c>
      <c r="BT38" s="95">
        <f>COUNTIF($G38:$BD38, "AF_D")</f>
        <v>0</v>
      </c>
    </row>
    <row r="39" spans="1:72" x14ac:dyDescent="0.3">
      <c r="A39" s="56">
        <v>171</v>
      </c>
      <c r="B39" s="56">
        <v>10</v>
      </c>
      <c r="C39" s="106">
        <v>44732.4375</v>
      </c>
      <c r="D39" s="101">
        <f t="shared" si="18"/>
        <v>0.25</v>
      </c>
      <c r="E39" s="102">
        <f t="shared" si="23"/>
        <v>9</v>
      </c>
      <c r="F39" s="91">
        <f t="shared" si="24"/>
        <v>9</v>
      </c>
      <c r="G39" s="26" t="s">
        <v>17</v>
      </c>
      <c r="H39" s="26" t="s">
        <v>17</v>
      </c>
      <c r="I39" s="26" t="s">
        <v>17</v>
      </c>
      <c r="J39" s="26" t="s">
        <v>18</v>
      </c>
      <c r="K39" s="26" t="s">
        <v>11</v>
      </c>
      <c r="L39" s="26" t="s">
        <v>17</v>
      </c>
      <c r="M39" s="26" t="s">
        <v>17</v>
      </c>
      <c r="N39" s="26" t="s">
        <v>17</v>
      </c>
      <c r="O39" s="108" t="s">
        <v>13</v>
      </c>
      <c r="P39" s="97" t="s">
        <v>14</v>
      </c>
      <c r="Q39" s="26" t="s">
        <v>17</v>
      </c>
      <c r="R39" s="26" t="s">
        <v>17</v>
      </c>
      <c r="S39" s="26" t="s">
        <v>17</v>
      </c>
      <c r="T39" s="26" t="s">
        <v>18</v>
      </c>
      <c r="U39" s="97" t="s">
        <v>14</v>
      </c>
      <c r="V39" s="26" t="s">
        <v>17</v>
      </c>
      <c r="W39" s="26" t="s">
        <v>17</v>
      </c>
      <c r="X39" s="26" t="s">
        <v>17</v>
      </c>
      <c r="Y39" s="26" t="s">
        <v>17</v>
      </c>
      <c r="Z39" s="97" t="s">
        <v>14</v>
      </c>
      <c r="AA39" s="26" t="s">
        <v>17</v>
      </c>
      <c r="AB39" s="26" t="s">
        <v>17</v>
      </c>
      <c r="AC39" s="97" t="s">
        <v>14</v>
      </c>
      <c r="AD39" s="108" t="s">
        <v>13</v>
      </c>
      <c r="AE39" s="97" t="s">
        <v>14</v>
      </c>
      <c r="AF39" s="26" t="s">
        <v>17</v>
      </c>
      <c r="AG39" s="26" t="s">
        <v>17</v>
      </c>
      <c r="AH39" s="26" t="s">
        <v>17</v>
      </c>
      <c r="AI39" s="26" t="s">
        <v>18</v>
      </c>
      <c r="AJ39" s="108" t="s">
        <v>13</v>
      </c>
      <c r="AK39" s="26" t="s">
        <v>17</v>
      </c>
      <c r="AL39" s="26" t="s">
        <v>17</v>
      </c>
      <c r="AM39" s="26" t="s">
        <v>18</v>
      </c>
      <c r="AN39" s="108" t="s">
        <v>13</v>
      </c>
      <c r="AO39" s="108" t="s">
        <v>13</v>
      </c>
      <c r="AP39" s="26" t="s">
        <v>17</v>
      </c>
      <c r="AQ39" s="26" t="s">
        <v>17</v>
      </c>
      <c r="AR39" s="26" t="s">
        <v>17</v>
      </c>
      <c r="AS39" s="26" t="s">
        <v>11</v>
      </c>
      <c r="AT39" s="108" t="s">
        <v>13</v>
      </c>
      <c r="AU39" s="26" t="s">
        <v>17</v>
      </c>
      <c r="AV39" s="26" t="s">
        <v>17</v>
      </c>
      <c r="AW39" s="26" t="s">
        <v>18</v>
      </c>
      <c r="AX39" s="26" t="s">
        <v>11</v>
      </c>
      <c r="AY39" s="97" t="s">
        <v>14</v>
      </c>
      <c r="AZ39" s="26" t="s">
        <v>17</v>
      </c>
      <c r="BA39" s="26" t="s">
        <v>17</v>
      </c>
      <c r="BB39" s="26" t="s">
        <v>17</v>
      </c>
      <c r="BC39" s="26" t="s">
        <v>18</v>
      </c>
      <c r="BD39" s="108" t="s">
        <v>13</v>
      </c>
      <c r="BE39" s="1">
        <v>9</v>
      </c>
      <c r="BF39" s="1">
        <f t="shared" si="11"/>
        <v>0</v>
      </c>
      <c r="BG39" s="1">
        <f t="shared" si="14"/>
        <v>0</v>
      </c>
      <c r="BH39" s="1">
        <f t="shared" si="3"/>
        <v>0</v>
      </c>
      <c r="BI39" s="1">
        <f t="shared" si="4"/>
        <v>0</v>
      </c>
      <c r="BJ39" s="1">
        <f t="shared" si="5"/>
        <v>3</v>
      </c>
      <c r="BK39" s="95">
        <f>COUNTIF($G39:$BD39, "AM")</f>
        <v>7</v>
      </c>
      <c r="BL39" s="95">
        <f>COUNTIF($G39:$BD39, "AF")</f>
        <v>6</v>
      </c>
      <c r="BM39" s="1"/>
      <c r="BN39" s="1">
        <f t="shared" si="6"/>
        <v>28</v>
      </c>
      <c r="BO39" s="1">
        <f t="shared" si="7"/>
        <v>6</v>
      </c>
      <c r="BP39" s="1">
        <f t="shared" si="8"/>
        <v>0</v>
      </c>
      <c r="BQ39" s="1">
        <f t="shared" si="9"/>
        <v>0</v>
      </c>
      <c r="BR39" s="1">
        <f t="shared" si="10"/>
        <v>0</v>
      </c>
      <c r="BS39" s="95">
        <f>COUNTIF($G39:$BD39, "AM_D")</f>
        <v>0</v>
      </c>
      <c r="BT39" s="95">
        <f>COUNTIF($G39:$BD39, "AF_D")</f>
        <v>0</v>
      </c>
    </row>
    <row r="40" spans="1:72" x14ac:dyDescent="0.3">
      <c r="A40" s="56">
        <v>171</v>
      </c>
      <c r="B40" s="56">
        <v>10</v>
      </c>
      <c r="C40" s="106">
        <v>44732.6875</v>
      </c>
      <c r="D40" s="101">
        <f t="shared" si="18"/>
        <v>0.25</v>
      </c>
      <c r="E40" s="102">
        <f t="shared" si="23"/>
        <v>9.25</v>
      </c>
      <c r="F40" s="91">
        <f t="shared" si="24"/>
        <v>9.25</v>
      </c>
      <c r="G40" s="26" t="s">
        <v>17</v>
      </c>
      <c r="H40" s="26" t="s">
        <v>17</v>
      </c>
      <c r="I40" s="26" t="s">
        <v>17</v>
      </c>
      <c r="J40" s="26" t="s">
        <v>18</v>
      </c>
      <c r="K40" s="26" t="s">
        <v>11</v>
      </c>
      <c r="L40" s="26" t="s">
        <v>17</v>
      </c>
      <c r="M40" s="26" t="s">
        <v>17</v>
      </c>
      <c r="N40" s="26" t="s">
        <v>17</v>
      </c>
      <c r="O40" s="108" t="s">
        <v>13</v>
      </c>
      <c r="P40" s="97" t="s">
        <v>14</v>
      </c>
      <c r="Q40" s="26" t="s">
        <v>17</v>
      </c>
      <c r="R40" s="26" t="s">
        <v>17</v>
      </c>
      <c r="S40" s="26" t="s">
        <v>17</v>
      </c>
      <c r="T40" s="26" t="s">
        <v>18</v>
      </c>
      <c r="U40" s="97" t="s">
        <v>14</v>
      </c>
      <c r="V40" s="26" t="s">
        <v>17</v>
      </c>
      <c r="W40" s="26" t="s">
        <v>17</v>
      </c>
      <c r="X40" s="26" t="s">
        <v>17</v>
      </c>
      <c r="Y40" s="26" t="s">
        <v>17</v>
      </c>
      <c r="Z40" s="97" t="s">
        <v>14</v>
      </c>
      <c r="AA40" s="26" t="s">
        <v>17</v>
      </c>
      <c r="AB40" s="26" t="s">
        <v>17</v>
      </c>
      <c r="AC40" s="97" t="s">
        <v>14</v>
      </c>
      <c r="AD40" s="108" t="s">
        <v>13</v>
      </c>
      <c r="AE40" s="97" t="s">
        <v>14</v>
      </c>
      <c r="AF40" s="26" t="s">
        <v>17</v>
      </c>
      <c r="AG40" s="26" t="s">
        <v>17</v>
      </c>
      <c r="AH40" s="26" t="s">
        <v>17</v>
      </c>
      <c r="AI40" s="26" t="s">
        <v>18</v>
      </c>
      <c r="AJ40" s="108" t="s">
        <v>13</v>
      </c>
      <c r="AK40" s="26" t="s">
        <v>17</v>
      </c>
      <c r="AL40" s="26" t="s">
        <v>17</v>
      </c>
      <c r="AM40" s="26" t="s">
        <v>18</v>
      </c>
      <c r="AN40" s="108" t="s">
        <v>13</v>
      </c>
      <c r="AO40" s="108" t="s">
        <v>13</v>
      </c>
      <c r="AP40" s="26" t="s">
        <v>17</v>
      </c>
      <c r="AQ40" s="26" t="s">
        <v>17</v>
      </c>
      <c r="AR40" s="26" t="s">
        <v>17</v>
      </c>
      <c r="AS40" s="97" t="s">
        <v>14</v>
      </c>
      <c r="AT40" s="108" t="s">
        <v>13</v>
      </c>
      <c r="AU40" s="26" t="s">
        <v>17</v>
      </c>
      <c r="AV40" s="26" t="s">
        <v>17</v>
      </c>
      <c r="AW40" s="26" t="s">
        <v>18</v>
      </c>
      <c r="AX40" s="26" t="s">
        <v>11</v>
      </c>
      <c r="AY40" s="97" t="s">
        <v>14</v>
      </c>
      <c r="AZ40" s="26" t="s">
        <v>17</v>
      </c>
      <c r="BA40" s="26" t="s">
        <v>17</v>
      </c>
      <c r="BB40" s="26" t="s">
        <v>17</v>
      </c>
      <c r="BC40" s="26" t="s">
        <v>18</v>
      </c>
      <c r="BD40" s="108" t="s">
        <v>13</v>
      </c>
      <c r="BE40" s="1">
        <v>9.25</v>
      </c>
      <c r="BF40" s="1">
        <f t="shared" si="11"/>
        <v>0</v>
      </c>
      <c r="BG40" s="1">
        <f t="shared" si="14"/>
        <v>0</v>
      </c>
      <c r="BH40" s="1">
        <f t="shared" si="3"/>
        <v>0</v>
      </c>
      <c r="BI40" s="1">
        <f t="shared" si="4"/>
        <v>0</v>
      </c>
      <c r="BJ40" s="1">
        <f t="shared" si="5"/>
        <v>2</v>
      </c>
      <c r="BK40" s="95">
        <f>COUNTIF($G40:$BD40, "AM")</f>
        <v>7</v>
      </c>
      <c r="BL40" s="95">
        <f>COUNTIF($G40:$BD40, "AF")</f>
        <v>7</v>
      </c>
      <c r="BM40" s="1"/>
      <c r="BN40" s="1">
        <f t="shared" si="6"/>
        <v>28</v>
      </c>
      <c r="BO40" s="1">
        <f t="shared" si="7"/>
        <v>6</v>
      </c>
      <c r="BP40" s="1">
        <f t="shared" si="8"/>
        <v>0</v>
      </c>
      <c r="BQ40" s="1">
        <f t="shared" si="9"/>
        <v>0</v>
      </c>
      <c r="BR40" s="1">
        <f t="shared" si="10"/>
        <v>0</v>
      </c>
      <c r="BS40" s="95">
        <f>COUNTIF($G40:$BD40, "AM_D")</f>
        <v>0</v>
      </c>
      <c r="BT40" s="95">
        <f>COUNTIF($G40:$BD40, "AF_D")</f>
        <v>0</v>
      </c>
    </row>
    <row r="41" spans="1:72" x14ac:dyDescent="0.3">
      <c r="A41" s="56">
        <v>171</v>
      </c>
      <c r="B41" s="56">
        <v>10</v>
      </c>
      <c r="C41" s="106">
        <v>44732.9375</v>
      </c>
      <c r="D41" s="101">
        <f t="shared" si="18"/>
        <v>0.25</v>
      </c>
      <c r="E41" s="102">
        <f t="shared" si="23"/>
        <v>9.5</v>
      </c>
      <c r="F41" s="91">
        <f t="shared" si="24"/>
        <v>9.5</v>
      </c>
      <c r="G41" s="26" t="s">
        <v>17</v>
      </c>
      <c r="H41" s="26" t="s">
        <v>17</v>
      </c>
      <c r="I41" s="26" t="s">
        <v>17</v>
      </c>
      <c r="J41" s="26" t="s">
        <v>18</v>
      </c>
      <c r="K41" s="26" t="s">
        <v>11</v>
      </c>
      <c r="L41" s="26" t="s">
        <v>17</v>
      </c>
      <c r="M41" s="26" t="s">
        <v>17</v>
      </c>
      <c r="N41" s="26" t="s">
        <v>17</v>
      </c>
      <c r="O41" s="108" t="s">
        <v>13</v>
      </c>
      <c r="P41" s="97" t="s">
        <v>14</v>
      </c>
      <c r="Q41" s="26" t="s">
        <v>17</v>
      </c>
      <c r="R41" s="26" t="s">
        <v>17</v>
      </c>
      <c r="S41" s="26" t="s">
        <v>17</v>
      </c>
      <c r="T41" s="26" t="s">
        <v>18</v>
      </c>
      <c r="U41" s="97" t="s">
        <v>14</v>
      </c>
      <c r="V41" s="26" t="s">
        <v>17</v>
      </c>
      <c r="W41" s="26" t="s">
        <v>17</v>
      </c>
      <c r="X41" s="26" t="s">
        <v>17</v>
      </c>
      <c r="Y41" s="26" t="s">
        <v>17</v>
      </c>
      <c r="Z41" s="97" t="s">
        <v>14</v>
      </c>
      <c r="AA41" s="26" t="s">
        <v>17</v>
      </c>
      <c r="AB41" s="26" t="s">
        <v>17</v>
      </c>
      <c r="AC41" s="97" t="s">
        <v>14</v>
      </c>
      <c r="AD41" s="108" t="s">
        <v>13</v>
      </c>
      <c r="AE41" s="97" t="s">
        <v>14</v>
      </c>
      <c r="AF41" s="26" t="s">
        <v>17</v>
      </c>
      <c r="AG41" s="26" t="s">
        <v>17</v>
      </c>
      <c r="AH41" s="26" t="s">
        <v>17</v>
      </c>
      <c r="AI41" s="26" t="s">
        <v>18</v>
      </c>
      <c r="AJ41" s="108" t="s">
        <v>13</v>
      </c>
      <c r="AK41" s="26" t="s">
        <v>17</v>
      </c>
      <c r="AL41" s="26" t="s">
        <v>17</v>
      </c>
      <c r="AM41" s="26" t="s">
        <v>18</v>
      </c>
      <c r="AN41" s="108" t="s">
        <v>13</v>
      </c>
      <c r="AO41" s="108" t="s">
        <v>13</v>
      </c>
      <c r="AP41" s="26" t="s">
        <v>17</v>
      </c>
      <c r="AQ41" s="26" t="s">
        <v>17</v>
      </c>
      <c r="AR41" s="26" t="s">
        <v>17</v>
      </c>
      <c r="AS41" s="97" t="s">
        <v>14</v>
      </c>
      <c r="AT41" s="108" t="s">
        <v>13</v>
      </c>
      <c r="AU41" s="26" t="s">
        <v>17</v>
      </c>
      <c r="AV41" s="26" t="s">
        <v>17</v>
      </c>
      <c r="AW41" s="26" t="s">
        <v>18</v>
      </c>
      <c r="AX41" s="26" t="s">
        <v>11</v>
      </c>
      <c r="AY41" s="97" t="s">
        <v>14</v>
      </c>
      <c r="AZ41" s="26" t="s">
        <v>17</v>
      </c>
      <c r="BA41" s="26" t="s">
        <v>17</v>
      </c>
      <c r="BB41" s="26" t="s">
        <v>17</v>
      </c>
      <c r="BC41" s="26" t="s">
        <v>18</v>
      </c>
      <c r="BD41" s="108" t="s">
        <v>13</v>
      </c>
      <c r="BE41" s="1">
        <v>9.5</v>
      </c>
      <c r="BF41" s="1">
        <f t="shared" si="11"/>
        <v>0</v>
      </c>
      <c r="BG41" s="1">
        <f t="shared" si="14"/>
        <v>0</v>
      </c>
      <c r="BH41" s="1">
        <f t="shared" si="3"/>
        <v>0</v>
      </c>
      <c r="BI41" s="1">
        <f t="shared" si="4"/>
        <v>0</v>
      </c>
      <c r="BJ41" s="1">
        <f t="shared" si="5"/>
        <v>2</v>
      </c>
      <c r="BK41" s="95">
        <f>COUNTIF($G41:$BD41, "AM")</f>
        <v>7</v>
      </c>
      <c r="BL41" s="95">
        <f>COUNTIF($G41:$BD41, "AF")</f>
        <v>7</v>
      </c>
      <c r="BM41" s="1"/>
      <c r="BN41" s="1">
        <f t="shared" si="6"/>
        <v>28</v>
      </c>
      <c r="BO41" s="1">
        <f>COUNTIF($G41:$BD41, "L1_D")</f>
        <v>6</v>
      </c>
      <c r="BP41" s="1">
        <f t="shared" si="8"/>
        <v>0</v>
      </c>
      <c r="BQ41" s="1">
        <f t="shared" si="9"/>
        <v>0</v>
      </c>
      <c r="BR41" s="1">
        <f t="shared" si="10"/>
        <v>0</v>
      </c>
      <c r="BS41" s="95">
        <f>COUNTIF($G41:$BD41, "AM_D")</f>
        <v>0</v>
      </c>
      <c r="BT41" s="95">
        <f>COUNTIF($G41:$BD41, "AF_D")</f>
        <v>0</v>
      </c>
    </row>
    <row r="42" spans="1:72" x14ac:dyDescent="0.3">
      <c r="A42" s="56">
        <v>172</v>
      </c>
      <c r="B42" s="56">
        <v>11</v>
      </c>
      <c r="C42" s="106">
        <v>44733.1875</v>
      </c>
      <c r="D42" s="101">
        <f t="shared" si="18"/>
        <v>0.25</v>
      </c>
      <c r="E42" s="102">
        <f t="shared" ref="E42:E45" si="25">E41+D42</f>
        <v>9.75</v>
      </c>
      <c r="F42" s="91">
        <f t="shared" ref="F42:F45" si="26">F41+D42</f>
        <v>9.75</v>
      </c>
      <c r="G42" s="26" t="s">
        <v>17</v>
      </c>
      <c r="H42" s="26" t="s">
        <v>17</v>
      </c>
      <c r="I42" s="26" t="s">
        <v>17</v>
      </c>
      <c r="J42" s="26" t="s">
        <v>18</v>
      </c>
      <c r="K42" s="26" t="s">
        <v>11</v>
      </c>
      <c r="L42" s="26" t="s">
        <v>17</v>
      </c>
      <c r="M42" s="26" t="s">
        <v>17</v>
      </c>
      <c r="N42" s="26" t="s">
        <v>17</v>
      </c>
      <c r="O42" s="108" t="s">
        <v>13</v>
      </c>
      <c r="P42" s="97" t="s">
        <v>14</v>
      </c>
      <c r="Q42" s="26" t="s">
        <v>17</v>
      </c>
      <c r="R42" s="26" t="s">
        <v>17</v>
      </c>
      <c r="S42" s="26" t="s">
        <v>17</v>
      </c>
      <c r="T42" s="26" t="s">
        <v>18</v>
      </c>
      <c r="U42" s="97" t="s">
        <v>14</v>
      </c>
      <c r="V42" s="26" t="s">
        <v>17</v>
      </c>
      <c r="W42" s="26" t="s">
        <v>17</v>
      </c>
      <c r="X42" s="26" t="s">
        <v>17</v>
      </c>
      <c r="Y42" s="26" t="s">
        <v>17</v>
      </c>
      <c r="Z42" s="97" t="s">
        <v>14</v>
      </c>
      <c r="AA42" s="26" t="s">
        <v>17</v>
      </c>
      <c r="AB42" s="26" t="s">
        <v>17</v>
      </c>
      <c r="AC42" s="97" t="s">
        <v>14</v>
      </c>
      <c r="AD42" s="108" t="s">
        <v>13</v>
      </c>
      <c r="AE42" s="97" t="s">
        <v>14</v>
      </c>
      <c r="AF42" s="26" t="s">
        <v>17</v>
      </c>
      <c r="AG42" s="26" t="s">
        <v>17</v>
      </c>
      <c r="AH42" s="26" t="s">
        <v>17</v>
      </c>
      <c r="AI42" s="26" t="s">
        <v>18</v>
      </c>
      <c r="AJ42" s="108" t="s">
        <v>13</v>
      </c>
      <c r="AK42" s="26" t="s">
        <v>17</v>
      </c>
      <c r="AL42" s="26" t="s">
        <v>17</v>
      </c>
      <c r="AM42" s="26" t="s">
        <v>18</v>
      </c>
      <c r="AN42" s="108" t="s">
        <v>13</v>
      </c>
      <c r="AO42" s="108" t="s">
        <v>13</v>
      </c>
      <c r="AP42" s="26" t="s">
        <v>17</v>
      </c>
      <c r="AQ42" s="26" t="s">
        <v>17</v>
      </c>
      <c r="AR42" s="26" t="s">
        <v>17</v>
      </c>
      <c r="AS42" s="97" t="s">
        <v>14</v>
      </c>
      <c r="AT42" s="108" t="s">
        <v>13</v>
      </c>
      <c r="AU42" s="26" t="s">
        <v>17</v>
      </c>
      <c r="AV42" s="26" t="s">
        <v>17</v>
      </c>
      <c r="AW42" s="26" t="s">
        <v>18</v>
      </c>
      <c r="AX42" s="26" t="s">
        <v>11</v>
      </c>
      <c r="AY42" s="97" t="s">
        <v>14</v>
      </c>
      <c r="AZ42" s="26" t="s">
        <v>17</v>
      </c>
      <c r="BA42" s="26" t="s">
        <v>17</v>
      </c>
      <c r="BB42" s="26" t="s">
        <v>17</v>
      </c>
      <c r="BC42" s="26" t="s">
        <v>18</v>
      </c>
      <c r="BD42" s="108" t="s">
        <v>13</v>
      </c>
      <c r="BE42" s="1">
        <v>9.75</v>
      </c>
      <c r="BF42" s="1">
        <f t="shared" si="11"/>
        <v>0</v>
      </c>
      <c r="BG42" s="1">
        <f t="shared" si="14"/>
        <v>0</v>
      </c>
      <c r="BH42" s="1">
        <f t="shared" si="3"/>
        <v>0</v>
      </c>
      <c r="BI42" s="1">
        <f t="shared" si="4"/>
        <v>0</v>
      </c>
      <c r="BJ42" s="1">
        <f t="shared" si="5"/>
        <v>2</v>
      </c>
      <c r="BK42" s="95">
        <f>COUNTIF($G42:$BD42, "AM")</f>
        <v>7</v>
      </c>
      <c r="BL42" s="95">
        <f>COUNTIF($G42:$BD42, "AF")</f>
        <v>7</v>
      </c>
      <c r="BM42" s="1"/>
      <c r="BN42" s="1">
        <f t="shared" si="6"/>
        <v>28</v>
      </c>
      <c r="BO42" s="1">
        <f t="shared" si="7"/>
        <v>6</v>
      </c>
      <c r="BP42" s="1">
        <f t="shared" si="8"/>
        <v>0</v>
      </c>
      <c r="BQ42" s="1">
        <f t="shared" si="9"/>
        <v>0</v>
      </c>
      <c r="BR42" s="1">
        <f t="shared" si="10"/>
        <v>0</v>
      </c>
      <c r="BS42" s="95">
        <f>COUNTIF($G42:$BD42, "AM_D")</f>
        <v>0</v>
      </c>
      <c r="BT42" s="95">
        <f>COUNTIF($G42:$BD42, "AF_D")</f>
        <v>0</v>
      </c>
    </row>
    <row r="43" spans="1:72" x14ac:dyDescent="0.3">
      <c r="A43" s="56">
        <v>172</v>
      </c>
      <c r="B43" s="56">
        <v>11</v>
      </c>
      <c r="C43" s="106">
        <v>44733.4375</v>
      </c>
      <c r="D43" s="101">
        <f t="shared" si="18"/>
        <v>0.25</v>
      </c>
      <c r="E43" s="102">
        <f t="shared" si="25"/>
        <v>10</v>
      </c>
      <c r="F43" s="91">
        <f t="shared" si="26"/>
        <v>10</v>
      </c>
      <c r="G43" s="26" t="s">
        <v>17</v>
      </c>
      <c r="H43" s="26" t="s">
        <v>17</v>
      </c>
      <c r="I43" s="26" t="s">
        <v>17</v>
      </c>
      <c r="J43" s="26" t="s">
        <v>18</v>
      </c>
      <c r="K43" s="26" t="s">
        <v>11</v>
      </c>
      <c r="L43" s="26" t="s">
        <v>17</v>
      </c>
      <c r="M43" s="26" t="s">
        <v>17</v>
      </c>
      <c r="N43" s="26" t="s">
        <v>17</v>
      </c>
      <c r="O43" s="108" t="s">
        <v>13</v>
      </c>
      <c r="P43" s="97" t="s">
        <v>14</v>
      </c>
      <c r="Q43" s="26" t="s">
        <v>17</v>
      </c>
      <c r="R43" s="26" t="s">
        <v>17</v>
      </c>
      <c r="S43" s="26" t="s">
        <v>17</v>
      </c>
      <c r="T43" s="26" t="s">
        <v>18</v>
      </c>
      <c r="U43" s="97" t="s">
        <v>14</v>
      </c>
      <c r="V43" s="26" t="s">
        <v>17</v>
      </c>
      <c r="W43" s="26" t="s">
        <v>17</v>
      </c>
      <c r="X43" s="26" t="s">
        <v>17</v>
      </c>
      <c r="Y43" s="26" t="s">
        <v>17</v>
      </c>
      <c r="Z43" s="97" t="s">
        <v>14</v>
      </c>
      <c r="AA43" s="26" t="s">
        <v>17</v>
      </c>
      <c r="AB43" s="26" t="s">
        <v>17</v>
      </c>
      <c r="AC43" s="97" t="s">
        <v>14</v>
      </c>
      <c r="AD43" s="108" t="s">
        <v>13</v>
      </c>
      <c r="AE43" s="97" t="s">
        <v>14</v>
      </c>
      <c r="AF43" s="26" t="s">
        <v>17</v>
      </c>
      <c r="AG43" s="26" t="s">
        <v>17</v>
      </c>
      <c r="AH43" s="26" t="s">
        <v>17</v>
      </c>
      <c r="AI43" s="26" t="s">
        <v>18</v>
      </c>
      <c r="AJ43" s="108" t="s">
        <v>13</v>
      </c>
      <c r="AK43" s="26" t="s">
        <v>17</v>
      </c>
      <c r="AL43" s="26" t="s">
        <v>17</v>
      </c>
      <c r="AM43" s="26" t="s">
        <v>18</v>
      </c>
      <c r="AN43" s="108" t="s">
        <v>13</v>
      </c>
      <c r="AO43" s="108" t="s">
        <v>13</v>
      </c>
      <c r="AP43" s="26" t="s">
        <v>17</v>
      </c>
      <c r="AQ43" s="26" t="s">
        <v>17</v>
      </c>
      <c r="AR43" s="26" t="s">
        <v>17</v>
      </c>
      <c r="AS43" s="97" t="s">
        <v>14</v>
      </c>
      <c r="AT43" s="108" t="s">
        <v>13</v>
      </c>
      <c r="AU43" s="26" t="s">
        <v>17</v>
      </c>
      <c r="AV43" s="26" t="s">
        <v>17</v>
      </c>
      <c r="AW43" s="26" t="s">
        <v>18</v>
      </c>
      <c r="AX43" s="26" t="s">
        <v>11</v>
      </c>
      <c r="AY43" s="97" t="s">
        <v>14</v>
      </c>
      <c r="AZ43" s="26" t="s">
        <v>17</v>
      </c>
      <c r="BA43" s="26" t="s">
        <v>17</v>
      </c>
      <c r="BB43" s="26" t="s">
        <v>17</v>
      </c>
      <c r="BC43" s="26" t="s">
        <v>18</v>
      </c>
      <c r="BD43" s="108" t="s">
        <v>13</v>
      </c>
      <c r="BE43" s="1">
        <v>10</v>
      </c>
      <c r="BF43" s="1">
        <f t="shared" si="11"/>
        <v>0</v>
      </c>
      <c r="BG43" s="1">
        <f t="shared" si="14"/>
        <v>0</v>
      </c>
      <c r="BH43" s="1">
        <f t="shared" si="3"/>
        <v>0</v>
      </c>
      <c r="BI43" s="1">
        <f t="shared" si="4"/>
        <v>0</v>
      </c>
      <c r="BJ43" s="1">
        <f t="shared" si="5"/>
        <v>2</v>
      </c>
      <c r="BK43" s="95">
        <f>COUNTIF($G43:$BD43, "AM")</f>
        <v>7</v>
      </c>
      <c r="BL43" s="95">
        <f>COUNTIF($G43:$BD43, "AF")</f>
        <v>7</v>
      </c>
      <c r="BM43" s="1"/>
      <c r="BN43" s="1">
        <f t="shared" si="6"/>
        <v>28</v>
      </c>
      <c r="BO43" s="1">
        <f t="shared" si="7"/>
        <v>6</v>
      </c>
      <c r="BP43" s="1">
        <f t="shared" si="8"/>
        <v>0</v>
      </c>
      <c r="BQ43" s="1">
        <f t="shared" si="9"/>
        <v>0</v>
      </c>
      <c r="BR43" s="1">
        <f t="shared" si="10"/>
        <v>0</v>
      </c>
      <c r="BS43" s="95">
        <f>COUNTIF($G43:$BD43, "AM_D")</f>
        <v>0</v>
      </c>
      <c r="BT43" s="95">
        <f>COUNTIF($G43:$BD43, "AF_D")</f>
        <v>0</v>
      </c>
    </row>
    <row r="44" spans="1:72" x14ac:dyDescent="0.3">
      <c r="A44" s="56">
        <v>172</v>
      </c>
      <c r="B44" s="56">
        <v>11</v>
      </c>
      <c r="C44" s="106">
        <v>44733.6875</v>
      </c>
      <c r="D44" s="101">
        <f t="shared" si="18"/>
        <v>0.25</v>
      </c>
      <c r="E44" s="102">
        <f t="shared" si="25"/>
        <v>10.25</v>
      </c>
      <c r="F44" s="91">
        <f t="shared" si="26"/>
        <v>10.25</v>
      </c>
      <c r="G44" s="26" t="s">
        <v>17</v>
      </c>
      <c r="H44" s="26" t="s">
        <v>17</v>
      </c>
      <c r="I44" s="26" t="s">
        <v>17</v>
      </c>
      <c r="J44" s="26" t="s">
        <v>18</v>
      </c>
      <c r="K44" s="26" t="s">
        <v>11</v>
      </c>
      <c r="L44" s="26" t="s">
        <v>17</v>
      </c>
      <c r="M44" s="26" t="s">
        <v>17</v>
      </c>
      <c r="N44" s="26" t="s">
        <v>17</v>
      </c>
      <c r="O44" s="108" t="s">
        <v>13</v>
      </c>
      <c r="P44" s="97" t="s">
        <v>14</v>
      </c>
      <c r="Q44" s="26" t="s">
        <v>17</v>
      </c>
      <c r="R44" s="26" t="s">
        <v>17</v>
      </c>
      <c r="S44" s="26" t="s">
        <v>17</v>
      </c>
      <c r="T44" s="26" t="s">
        <v>18</v>
      </c>
      <c r="U44" s="97" t="s">
        <v>14</v>
      </c>
      <c r="V44" s="26" t="s">
        <v>17</v>
      </c>
      <c r="W44" s="26" t="s">
        <v>17</v>
      </c>
      <c r="X44" s="26" t="s">
        <v>17</v>
      </c>
      <c r="Y44" s="26" t="s">
        <v>17</v>
      </c>
      <c r="Z44" s="97" t="s">
        <v>14</v>
      </c>
      <c r="AA44" s="26" t="s">
        <v>17</v>
      </c>
      <c r="AB44" s="26" t="s">
        <v>17</v>
      </c>
      <c r="AC44" s="97" t="s">
        <v>14</v>
      </c>
      <c r="AD44" s="108" t="s">
        <v>13</v>
      </c>
      <c r="AE44" s="97" t="s">
        <v>14</v>
      </c>
      <c r="AF44" s="26" t="s">
        <v>17</v>
      </c>
      <c r="AG44" s="26" t="s">
        <v>17</v>
      </c>
      <c r="AH44" s="26" t="s">
        <v>17</v>
      </c>
      <c r="AI44" s="26" t="s">
        <v>18</v>
      </c>
      <c r="AJ44" s="108" t="s">
        <v>13</v>
      </c>
      <c r="AK44" s="26" t="s">
        <v>17</v>
      </c>
      <c r="AL44" s="26" t="s">
        <v>17</v>
      </c>
      <c r="AM44" s="26" t="s">
        <v>18</v>
      </c>
      <c r="AN44" s="108" t="s">
        <v>13</v>
      </c>
      <c r="AO44" s="108" t="s">
        <v>13</v>
      </c>
      <c r="AP44" s="26" t="s">
        <v>17</v>
      </c>
      <c r="AQ44" s="26" t="s">
        <v>17</v>
      </c>
      <c r="AR44" s="26" t="s">
        <v>17</v>
      </c>
      <c r="AS44" s="97" t="s">
        <v>14</v>
      </c>
      <c r="AT44" s="108" t="s">
        <v>13</v>
      </c>
      <c r="AU44" s="26" t="s">
        <v>17</v>
      </c>
      <c r="AV44" s="26" t="s">
        <v>17</v>
      </c>
      <c r="AW44" s="26" t="s">
        <v>18</v>
      </c>
      <c r="AX44" s="26" t="s">
        <v>11</v>
      </c>
      <c r="AY44" s="97" t="s">
        <v>14</v>
      </c>
      <c r="AZ44" s="26" t="s">
        <v>17</v>
      </c>
      <c r="BA44" s="26" t="s">
        <v>17</v>
      </c>
      <c r="BB44" s="26" t="s">
        <v>17</v>
      </c>
      <c r="BC44" s="26" t="s">
        <v>18</v>
      </c>
      <c r="BD44" s="108" t="s">
        <v>13</v>
      </c>
      <c r="BE44" s="1">
        <v>10.25</v>
      </c>
      <c r="BF44" s="1">
        <f t="shared" si="11"/>
        <v>0</v>
      </c>
      <c r="BG44" s="1">
        <f t="shared" si="14"/>
        <v>0</v>
      </c>
      <c r="BH44" s="1">
        <f t="shared" si="3"/>
        <v>0</v>
      </c>
      <c r="BI44" s="1">
        <f t="shared" si="4"/>
        <v>0</v>
      </c>
      <c r="BJ44" s="1">
        <f t="shared" si="5"/>
        <v>2</v>
      </c>
      <c r="BK44" s="95">
        <f>COUNTIF($G44:$BD44, "AM")</f>
        <v>7</v>
      </c>
      <c r="BL44" s="95">
        <f>COUNTIF($G44:$BD44, "AF")</f>
        <v>7</v>
      </c>
      <c r="BM44" s="1"/>
      <c r="BN44" s="1">
        <f t="shared" si="6"/>
        <v>28</v>
      </c>
      <c r="BO44" s="1">
        <f t="shared" si="7"/>
        <v>6</v>
      </c>
      <c r="BP44" s="1">
        <f t="shared" si="8"/>
        <v>0</v>
      </c>
      <c r="BQ44" s="1">
        <f t="shared" si="9"/>
        <v>0</v>
      </c>
      <c r="BR44" s="1">
        <f t="shared" si="10"/>
        <v>0</v>
      </c>
      <c r="BS44" s="95">
        <f>COUNTIF($G44:$BD44, "AM_D")</f>
        <v>0</v>
      </c>
      <c r="BT44" s="95">
        <f>COUNTIF($G44:$BD44, "AF_D")</f>
        <v>0</v>
      </c>
    </row>
    <row r="45" spans="1:72" x14ac:dyDescent="0.3">
      <c r="A45" s="56">
        <v>172</v>
      </c>
      <c r="B45" s="56">
        <v>11</v>
      </c>
      <c r="C45" s="106">
        <v>44733.9375</v>
      </c>
      <c r="D45" s="101">
        <f t="shared" si="18"/>
        <v>0.25</v>
      </c>
      <c r="E45" s="102">
        <f t="shared" si="25"/>
        <v>10.5</v>
      </c>
      <c r="F45" s="91">
        <f t="shared" si="26"/>
        <v>10.5</v>
      </c>
      <c r="G45" s="26" t="s">
        <v>17</v>
      </c>
      <c r="H45" s="26" t="s">
        <v>17</v>
      </c>
      <c r="I45" s="26" t="s">
        <v>17</v>
      </c>
      <c r="J45" s="26" t="s">
        <v>18</v>
      </c>
      <c r="K45" s="26" t="s">
        <v>11</v>
      </c>
      <c r="L45" s="26" t="s">
        <v>17</v>
      </c>
      <c r="M45" s="26" t="s">
        <v>17</v>
      </c>
      <c r="N45" s="26" t="s">
        <v>17</v>
      </c>
      <c r="O45" s="108" t="s">
        <v>13</v>
      </c>
      <c r="P45" s="97" t="s">
        <v>14</v>
      </c>
      <c r="Q45" s="26" t="s">
        <v>17</v>
      </c>
      <c r="R45" s="26" t="s">
        <v>17</v>
      </c>
      <c r="S45" s="26" t="s">
        <v>17</v>
      </c>
      <c r="T45" s="26" t="s">
        <v>18</v>
      </c>
      <c r="U45" s="97" t="s">
        <v>14</v>
      </c>
      <c r="V45" s="26" t="s">
        <v>17</v>
      </c>
      <c r="W45" s="26" t="s">
        <v>17</v>
      </c>
      <c r="X45" s="26" t="s">
        <v>17</v>
      </c>
      <c r="Y45" s="26" t="s">
        <v>17</v>
      </c>
      <c r="Z45" s="97" t="s">
        <v>14</v>
      </c>
      <c r="AA45" s="26" t="s">
        <v>17</v>
      </c>
      <c r="AB45" s="26" t="s">
        <v>17</v>
      </c>
      <c r="AC45" s="97" t="s">
        <v>14</v>
      </c>
      <c r="AD45" s="108" t="s">
        <v>13</v>
      </c>
      <c r="AE45" s="97" t="s">
        <v>14</v>
      </c>
      <c r="AF45" s="26" t="s">
        <v>17</v>
      </c>
      <c r="AG45" s="26" t="s">
        <v>17</v>
      </c>
      <c r="AH45" s="26" t="s">
        <v>17</v>
      </c>
      <c r="AI45" s="26" t="s">
        <v>18</v>
      </c>
      <c r="AJ45" s="108" t="s">
        <v>13</v>
      </c>
      <c r="AK45" s="26" t="s">
        <v>17</v>
      </c>
      <c r="AL45" s="26" t="s">
        <v>17</v>
      </c>
      <c r="AM45" s="26" t="s">
        <v>18</v>
      </c>
      <c r="AN45" s="108" t="s">
        <v>13</v>
      </c>
      <c r="AO45" s="108" t="s">
        <v>13</v>
      </c>
      <c r="AP45" s="26" t="s">
        <v>17</v>
      </c>
      <c r="AQ45" s="26" t="s">
        <v>17</v>
      </c>
      <c r="AR45" s="26" t="s">
        <v>17</v>
      </c>
      <c r="AS45" s="97" t="s">
        <v>14</v>
      </c>
      <c r="AT45" s="108" t="s">
        <v>13</v>
      </c>
      <c r="AU45" s="26" t="s">
        <v>17</v>
      </c>
      <c r="AV45" s="26" t="s">
        <v>17</v>
      </c>
      <c r="AW45" s="26" t="s">
        <v>18</v>
      </c>
      <c r="AX45" s="26" t="s">
        <v>11</v>
      </c>
      <c r="AY45" s="97" t="s">
        <v>14</v>
      </c>
      <c r="AZ45" s="26" t="s">
        <v>17</v>
      </c>
      <c r="BA45" s="26" t="s">
        <v>17</v>
      </c>
      <c r="BB45" s="26" t="s">
        <v>17</v>
      </c>
      <c r="BC45" s="26" t="s">
        <v>18</v>
      </c>
      <c r="BD45" s="108" t="s">
        <v>13</v>
      </c>
      <c r="BE45" s="1">
        <v>10.5</v>
      </c>
      <c r="BF45" s="1">
        <f t="shared" si="11"/>
        <v>0</v>
      </c>
      <c r="BG45" s="1">
        <f t="shared" si="14"/>
        <v>0</v>
      </c>
      <c r="BH45" s="1">
        <f t="shared" si="3"/>
        <v>0</v>
      </c>
      <c r="BI45" s="1">
        <f t="shared" si="4"/>
        <v>0</v>
      </c>
      <c r="BJ45" s="1">
        <f t="shared" si="5"/>
        <v>2</v>
      </c>
      <c r="BK45" s="95">
        <f>COUNTIF($G45:$BD45, "AM")</f>
        <v>7</v>
      </c>
      <c r="BL45" s="95">
        <f>COUNTIF($G45:$BD45, "AF")</f>
        <v>7</v>
      </c>
      <c r="BM45" s="1"/>
      <c r="BN45" s="1">
        <f t="shared" si="6"/>
        <v>28</v>
      </c>
      <c r="BO45" s="1">
        <f t="shared" si="7"/>
        <v>6</v>
      </c>
      <c r="BP45" s="1">
        <f t="shared" si="8"/>
        <v>0</v>
      </c>
      <c r="BQ45" s="1">
        <f t="shared" si="9"/>
        <v>0</v>
      </c>
      <c r="BR45" s="1">
        <f t="shared" si="10"/>
        <v>0</v>
      </c>
      <c r="BS45" s="95">
        <f>COUNTIF($G45:$BD45, "AM_D")</f>
        <v>0</v>
      </c>
      <c r="BT45" s="95">
        <f>COUNTIF($G45:$BD45, "AF_D")</f>
        <v>0</v>
      </c>
    </row>
    <row r="46" spans="1:72" x14ac:dyDescent="0.3">
      <c r="A46" s="56">
        <v>173</v>
      </c>
      <c r="B46" s="56">
        <v>12</v>
      </c>
      <c r="C46" s="106">
        <v>44734.1875</v>
      </c>
      <c r="D46" s="101">
        <f t="shared" si="18"/>
        <v>0.25</v>
      </c>
      <c r="E46" s="102">
        <f t="shared" ref="E46:E47" si="27">E45+D46</f>
        <v>10.75</v>
      </c>
      <c r="F46" s="91">
        <f t="shared" ref="F46:F78" si="28">F45+D46</f>
        <v>10.75</v>
      </c>
      <c r="G46" s="26" t="s">
        <v>17</v>
      </c>
      <c r="H46" s="26" t="s">
        <v>17</v>
      </c>
      <c r="I46" s="26" t="s">
        <v>17</v>
      </c>
      <c r="J46" s="26" t="s">
        <v>18</v>
      </c>
      <c r="K46" s="26" t="s">
        <v>11</v>
      </c>
      <c r="L46" s="26" t="s">
        <v>17</v>
      </c>
      <c r="M46" s="26" t="s">
        <v>17</v>
      </c>
      <c r="N46" s="26" t="s">
        <v>17</v>
      </c>
      <c r="O46" s="108" t="s">
        <v>13</v>
      </c>
      <c r="P46" s="97" t="s">
        <v>14</v>
      </c>
      <c r="Q46" s="26" t="s">
        <v>17</v>
      </c>
      <c r="R46" s="26" t="s">
        <v>17</v>
      </c>
      <c r="S46" s="26" t="s">
        <v>17</v>
      </c>
      <c r="T46" s="26" t="s">
        <v>18</v>
      </c>
      <c r="U46" s="97" t="s">
        <v>14</v>
      </c>
      <c r="V46" s="26" t="s">
        <v>17</v>
      </c>
      <c r="W46" s="26" t="s">
        <v>17</v>
      </c>
      <c r="X46" s="26" t="s">
        <v>17</v>
      </c>
      <c r="Y46" s="26" t="s">
        <v>17</v>
      </c>
      <c r="Z46" s="97" t="s">
        <v>14</v>
      </c>
      <c r="AA46" s="26" t="s">
        <v>17</v>
      </c>
      <c r="AB46" s="26" t="s">
        <v>17</v>
      </c>
      <c r="AC46" s="97" t="s">
        <v>14</v>
      </c>
      <c r="AD46" s="108" t="s">
        <v>13</v>
      </c>
      <c r="AE46" s="97" t="s">
        <v>14</v>
      </c>
      <c r="AF46" s="26" t="s">
        <v>17</v>
      </c>
      <c r="AG46" s="26" t="s">
        <v>17</v>
      </c>
      <c r="AH46" s="26" t="s">
        <v>17</v>
      </c>
      <c r="AI46" s="26" t="s">
        <v>18</v>
      </c>
      <c r="AJ46" s="108" t="s">
        <v>13</v>
      </c>
      <c r="AK46" s="26" t="s">
        <v>17</v>
      </c>
      <c r="AL46" s="26" t="s">
        <v>17</v>
      </c>
      <c r="AM46" s="26" t="s">
        <v>18</v>
      </c>
      <c r="AN46" s="108" t="s">
        <v>13</v>
      </c>
      <c r="AO46" s="108" t="s">
        <v>13</v>
      </c>
      <c r="AP46" s="26" t="s">
        <v>17</v>
      </c>
      <c r="AQ46" s="26" t="s">
        <v>17</v>
      </c>
      <c r="AR46" s="26" t="s">
        <v>17</v>
      </c>
      <c r="AS46" s="97" t="s">
        <v>14</v>
      </c>
      <c r="AT46" s="108" t="s">
        <v>13</v>
      </c>
      <c r="AU46" s="26" t="s">
        <v>17</v>
      </c>
      <c r="AV46" s="26" t="s">
        <v>17</v>
      </c>
      <c r="AW46" s="26" t="s">
        <v>18</v>
      </c>
      <c r="AX46" s="26" t="s">
        <v>11</v>
      </c>
      <c r="AY46" s="97" t="s">
        <v>14</v>
      </c>
      <c r="AZ46" s="26" t="s">
        <v>17</v>
      </c>
      <c r="BA46" s="26" t="s">
        <v>17</v>
      </c>
      <c r="BB46" s="26" t="s">
        <v>17</v>
      </c>
      <c r="BC46" s="26" t="s">
        <v>18</v>
      </c>
      <c r="BD46" s="108" t="s">
        <v>13</v>
      </c>
      <c r="BE46" s="1">
        <v>10.75</v>
      </c>
      <c r="BF46" s="1">
        <f t="shared" si="11"/>
        <v>0</v>
      </c>
      <c r="BG46" s="1">
        <f t="shared" si="14"/>
        <v>0</v>
      </c>
      <c r="BH46" s="1">
        <f t="shared" si="3"/>
        <v>0</v>
      </c>
      <c r="BI46" s="1">
        <f t="shared" si="4"/>
        <v>0</v>
      </c>
      <c r="BJ46" s="1">
        <f t="shared" si="5"/>
        <v>2</v>
      </c>
      <c r="BK46" s="95">
        <f>COUNTIF($G46:$BD46, "AM")</f>
        <v>7</v>
      </c>
      <c r="BL46" s="95">
        <f>COUNTIF($G46:$BD46, "AF")</f>
        <v>7</v>
      </c>
      <c r="BM46" s="1"/>
      <c r="BN46" s="1">
        <f t="shared" si="6"/>
        <v>28</v>
      </c>
      <c r="BO46" s="1">
        <f t="shared" si="7"/>
        <v>6</v>
      </c>
      <c r="BP46" s="1">
        <f t="shared" si="8"/>
        <v>0</v>
      </c>
      <c r="BQ46" s="1">
        <f t="shared" si="9"/>
        <v>0</v>
      </c>
      <c r="BR46" s="1">
        <f t="shared" si="10"/>
        <v>0</v>
      </c>
      <c r="BS46" s="95">
        <f>COUNTIF($G46:$BD46, "AM_D")</f>
        <v>0</v>
      </c>
      <c r="BT46" s="95">
        <f>COUNTIF($G46:$BD46, "AF_D")</f>
        <v>0</v>
      </c>
    </row>
    <row r="47" spans="1:72" x14ac:dyDescent="0.3">
      <c r="A47" s="56">
        <v>173</v>
      </c>
      <c r="B47" s="56">
        <v>12</v>
      </c>
      <c r="C47" s="106">
        <v>44734.4375</v>
      </c>
      <c r="D47" s="101">
        <f t="shared" si="18"/>
        <v>0.25</v>
      </c>
      <c r="E47" s="102">
        <f t="shared" si="27"/>
        <v>11</v>
      </c>
      <c r="F47" s="91">
        <f t="shared" si="28"/>
        <v>11</v>
      </c>
      <c r="G47" s="26" t="s">
        <v>17</v>
      </c>
      <c r="H47" s="26" t="s">
        <v>17</v>
      </c>
      <c r="I47" s="26" t="s">
        <v>17</v>
      </c>
      <c r="J47" s="26" t="s">
        <v>18</v>
      </c>
      <c r="K47" s="60" t="s">
        <v>13</v>
      </c>
      <c r="L47" s="26" t="s">
        <v>17</v>
      </c>
      <c r="M47" s="26" t="s">
        <v>17</v>
      </c>
      <c r="N47" s="26" t="s">
        <v>17</v>
      </c>
      <c r="O47" s="108" t="s">
        <v>13</v>
      </c>
      <c r="P47" s="97" t="s">
        <v>14</v>
      </c>
      <c r="Q47" s="26" t="s">
        <v>17</v>
      </c>
      <c r="R47" s="26" t="s">
        <v>17</v>
      </c>
      <c r="S47" s="26" t="s">
        <v>17</v>
      </c>
      <c r="T47" s="26" t="s">
        <v>18</v>
      </c>
      <c r="U47" s="97" t="s">
        <v>14</v>
      </c>
      <c r="V47" s="26" t="s">
        <v>17</v>
      </c>
      <c r="W47" s="26" t="s">
        <v>17</v>
      </c>
      <c r="X47" s="26" t="s">
        <v>17</v>
      </c>
      <c r="Y47" s="26" t="s">
        <v>17</v>
      </c>
      <c r="Z47" s="97" t="s">
        <v>14</v>
      </c>
      <c r="AA47" s="26" t="s">
        <v>17</v>
      </c>
      <c r="AB47" s="26" t="s">
        <v>17</v>
      </c>
      <c r="AC47" s="97" t="s">
        <v>14</v>
      </c>
      <c r="AD47" s="108" t="s">
        <v>13</v>
      </c>
      <c r="AE47" s="97" t="s">
        <v>14</v>
      </c>
      <c r="AF47" s="26" t="s">
        <v>17</v>
      </c>
      <c r="AG47" s="26" t="s">
        <v>17</v>
      </c>
      <c r="AH47" s="26" t="s">
        <v>17</v>
      </c>
      <c r="AI47" s="26" t="s">
        <v>18</v>
      </c>
      <c r="AJ47" s="108" t="s">
        <v>13</v>
      </c>
      <c r="AK47" s="26" t="s">
        <v>17</v>
      </c>
      <c r="AL47" s="26" t="s">
        <v>17</v>
      </c>
      <c r="AM47" s="26" t="s">
        <v>18</v>
      </c>
      <c r="AN47" s="108" t="s">
        <v>13</v>
      </c>
      <c r="AO47" s="108" t="s">
        <v>13</v>
      </c>
      <c r="AP47" s="26" t="s">
        <v>17</v>
      </c>
      <c r="AQ47" s="26" t="s">
        <v>17</v>
      </c>
      <c r="AR47" s="26" t="s">
        <v>17</v>
      </c>
      <c r="AS47" s="97" t="s">
        <v>14</v>
      </c>
      <c r="AT47" s="108" t="s">
        <v>13</v>
      </c>
      <c r="AU47" s="26" t="s">
        <v>17</v>
      </c>
      <c r="AV47" s="26" t="s">
        <v>17</v>
      </c>
      <c r="AW47" s="26" t="s">
        <v>18</v>
      </c>
      <c r="AX47" s="60" t="s">
        <v>14</v>
      </c>
      <c r="AY47" s="97" t="s">
        <v>14</v>
      </c>
      <c r="AZ47" s="26" t="s">
        <v>17</v>
      </c>
      <c r="BA47" s="26" t="s">
        <v>17</v>
      </c>
      <c r="BB47" s="26" t="s">
        <v>17</v>
      </c>
      <c r="BC47" s="26" t="s">
        <v>18</v>
      </c>
      <c r="BD47" s="108" t="s">
        <v>13</v>
      </c>
      <c r="BE47" s="1">
        <v>11</v>
      </c>
      <c r="BF47" s="1">
        <f t="shared" si="11"/>
        <v>0</v>
      </c>
      <c r="BG47" s="1">
        <f t="shared" si="14"/>
        <v>0</v>
      </c>
      <c r="BH47" s="1">
        <f t="shared" si="3"/>
        <v>0</v>
      </c>
      <c r="BI47" s="1">
        <f t="shared" si="4"/>
        <v>0</v>
      </c>
      <c r="BJ47" s="1">
        <f t="shared" si="5"/>
        <v>0</v>
      </c>
      <c r="BK47" s="95">
        <f>COUNTIF($G47:$BD47, "AM")</f>
        <v>8</v>
      </c>
      <c r="BL47" s="95">
        <f>COUNTIF($G47:$BD47, "AF")</f>
        <v>8</v>
      </c>
      <c r="BM47" s="1"/>
      <c r="BN47" s="1">
        <f t="shared" si="6"/>
        <v>28</v>
      </c>
      <c r="BO47" s="1">
        <f t="shared" si="7"/>
        <v>6</v>
      </c>
      <c r="BP47" s="1">
        <f t="shared" si="8"/>
        <v>0</v>
      </c>
      <c r="BQ47" s="1">
        <f t="shared" si="9"/>
        <v>0</v>
      </c>
      <c r="BR47" s="1">
        <f>COUNTIF($G47:$BD47, "P_D")</f>
        <v>0</v>
      </c>
      <c r="BS47" s="95">
        <f>COUNTIF($G47:$BD47, "AM_D")</f>
        <v>0</v>
      </c>
      <c r="BT47" s="95">
        <f>COUNTIF($G47:$BD47, "AF_D")</f>
        <v>0</v>
      </c>
    </row>
    <row r="48" spans="1:72" x14ac:dyDescent="0.3">
      <c r="A48" s="56">
        <v>173</v>
      </c>
      <c r="B48" s="56">
        <v>12</v>
      </c>
      <c r="C48" s="106">
        <v>44734.6875</v>
      </c>
      <c r="D48" s="101">
        <f t="shared" ref="D48:D49" si="29">(C48-C47)</f>
        <v>0.25</v>
      </c>
      <c r="E48" s="102">
        <f t="shared" ref="E48:E49" si="30">E47+D48</f>
        <v>11.25</v>
      </c>
      <c r="F48" s="91">
        <f t="shared" si="28"/>
        <v>11.25</v>
      </c>
      <c r="G48" s="26" t="s">
        <v>17</v>
      </c>
      <c r="H48" s="26" t="s">
        <v>17</v>
      </c>
      <c r="I48" s="26" t="s">
        <v>17</v>
      </c>
      <c r="J48" s="26" t="s">
        <v>18</v>
      </c>
      <c r="K48" s="107" t="s">
        <v>13</v>
      </c>
      <c r="L48" s="26" t="s">
        <v>17</v>
      </c>
      <c r="M48" s="26" t="s">
        <v>17</v>
      </c>
      <c r="N48" s="26" t="s">
        <v>17</v>
      </c>
      <c r="O48" s="107" t="s">
        <v>13</v>
      </c>
      <c r="P48" s="107" t="s">
        <v>14</v>
      </c>
      <c r="Q48" s="26" t="s">
        <v>17</v>
      </c>
      <c r="R48" s="26" t="s">
        <v>17</v>
      </c>
      <c r="S48" s="26" t="s">
        <v>17</v>
      </c>
      <c r="T48" s="26" t="s">
        <v>18</v>
      </c>
      <c r="U48" s="107" t="s">
        <v>14</v>
      </c>
      <c r="V48" s="26" t="s">
        <v>17</v>
      </c>
      <c r="W48" s="26" t="s">
        <v>17</v>
      </c>
      <c r="X48" s="26" t="s">
        <v>17</v>
      </c>
      <c r="Y48" s="26" t="s">
        <v>17</v>
      </c>
      <c r="Z48" s="107" t="s">
        <v>14</v>
      </c>
      <c r="AA48" s="26" t="s">
        <v>17</v>
      </c>
      <c r="AB48" s="26" t="s">
        <v>17</v>
      </c>
      <c r="AC48" s="107" t="s">
        <v>14</v>
      </c>
      <c r="AD48" s="107" t="s">
        <v>13</v>
      </c>
      <c r="AE48" s="107" t="s">
        <v>14</v>
      </c>
      <c r="AF48" s="26" t="s">
        <v>17</v>
      </c>
      <c r="AG48" s="26" t="s">
        <v>17</v>
      </c>
      <c r="AH48" s="26" t="s">
        <v>17</v>
      </c>
      <c r="AI48" s="26" t="s">
        <v>18</v>
      </c>
      <c r="AJ48" s="107" t="s">
        <v>13</v>
      </c>
      <c r="AK48" s="26" t="s">
        <v>17</v>
      </c>
      <c r="AL48" s="26" t="s">
        <v>17</v>
      </c>
      <c r="AM48" s="26" t="s">
        <v>18</v>
      </c>
      <c r="AN48" s="107" t="s">
        <v>13</v>
      </c>
      <c r="AO48" s="107" t="s">
        <v>13</v>
      </c>
      <c r="AP48" s="26" t="s">
        <v>17</v>
      </c>
      <c r="AQ48" s="26" t="s">
        <v>17</v>
      </c>
      <c r="AR48" s="26" t="s">
        <v>17</v>
      </c>
      <c r="AS48" s="107" t="s">
        <v>14</v>
      </c>
      <c r="AT48" s="107" t="s">
        <v>13</v>
      </c>
      <c r="AU48" s="26" t="s">
        <v>17</v>
      </c>
      <c r="AV48" s="26" t="s">
        <v>17</v>
      </c>
      <c r="AW48" s="26" t="s">
        <v>18</v>
      </c>
      <c r="AX48" s="107" t="s">
        <v>14</v>
      </c>
      <c r="AY48" s="107" t="s">
        <v>14</v>
      </c>
      <c r="AZ48" s="26" t="s">
        <v>17</v>
      </c>
      <c r="BA48" s="26" t="s">
        <v>17</v>
      </c>
      <c r="BB48" s="26" t="s">
        <v>17</v>
      </c>
      <c r="BC48" s="26" t="s">
        <v>18</v>
      </c>
      <c r="BD48" s="107" t="s">
        <v>13</v>
      </c>
      <c r="BE48">
        <v>11.25</v>
      </c>
      <c r="BF48" s="1">
        <f t="shared" si="11"/>
        <v>0</v>
      </c>
      <c r="BG48" s="1">
        <f t="shared" si="14"/>
        <v>0</v>
      </c>
      <c r="BH48" s="1">
        <f t="shared" si="3"/>
        <v>0</v>
      </c>
      <c r="BI48" s="1">
        <f t="shared" si="4"/>
        <v>0</v>
      </c>
      <c r="BJ48" s="1">
        <f t="shared" si="5"/>
        <v>0</v>
      </c>
      <c r="BK48" s="95">
        <f t="shared" ref="BK48:BK79" si="31">COUNTIF($G48:$BD48, "AM")</f>
        <v>8</v>
      </c>
      <c r="BL48" s="95">
        <f t="shared" ref="BL48:BL79" si="32">COUNTIF($G48:$BD48, "AF")</f>
        <v>8</v>
      </c>
      <c r="BN48" s="1">
        <f t="shared" si="6"/>
        <v>28</v>
      </c>
      <c r="BO48" s="1">
        <f t="shared" si="7"/>
        <v>6</v>
      </c>
      <c r="BP48" s="1">
        <f t="shared" si="8"/>
        <v>0</v>
      </c>
      <c r="BQ48" s="1">
        <f t="shared" si="9"/>
        <v>0</v>
      </c>
      <c r="BR48" s="1">
        <f t="shared" ref="BR48:BR79" si="33">COUNTIF($G48:$BD48, "P_D")</f>
        <v>0</v>
      </c>
      <c r="BS48" s="95">
        <f t="shared" ref="BS48:BS78" si="34">COUNTIF($G48:$BD48, "AM_D")</f>
        <v>0</v>
      </c>
      <c r="BT48" s="95">
        <f t="shared" ref="BT48:BT79" si="35">COUNTIF($G48:$BD48, "AF_D")</f>
        <v>0</v>
      </c>
    </row>
    <row r="49" spans="1:72" x14ac:dyDescent="0.3">
      <c r="A49" s="56">
        <v>173</v>
      </c>
      <c r="B49" s="56">
        <v>12</v>
      </c>
      <c r="C49" s="106">
        <v>44734.9375</v>
      </c>
      <c r="D49" s="101">
        <f t="shared" si="29"/>
        <v>0.25</v>
      </c>
      <c r="E49" s="102">
        <f t="shared" si="30"/>
        <v>11.5</v>
      </c>
      <c r="F49" s="91">
        <f t="shared" si="28"/>
        <v>11.5</v>
      </c>
      <c r="G49" s="26" t="s">
        <v>17</v>
      </c>
      <c r="H49" s="26" t="s">
        <v>17</v>
      </c>
      <c r="I49" s="26" t="s">
        <v>17</v>
      </c>
      <c r="J49" s="26" t="s">
        <v>18</v>
      </c>
      <c r="K49" s="107" t="s">
        <v>13</v>
      </c>
      <c r="L49" s="26" t="s">
        <v>17</v>
      </c>
      <c r="M49" s="26" t="s">
        <v>17</v>
      </c>
      <c r="N49" s="26" t="s">
        <v>17</v>
      </c>
      <c r="O49" s="107" t="s">
        <v>13</v>
      </c>
      <c r="P49" s="107" t="s">
        <v>14</v>
      </c>
      <c r="Q49" s="26" t="s">
        <v>17</v>
      </c>
      <c r="R49" s="26" t="s">
        <v>17</v>
      </c>
      <c r="S49" s="26" t="s">
        <v>17</v>
      </c>
      <c r="T49" s="26" t="s">
        <v>18</v>
      </c>
      <c r="U49" s="107" t="s">
        <v>14</v>
      </c>
      <c r="V49" s="26" t="s">
        <v>17</v>
      </c>
      <c r="W49" s="26" t="s">
        <v>17</v>
      </c>
      <c r="X49" s="26" t="s">
        <v>17</v>
      </c>
      <c r="Y49" s="26" t="s">
        <v>17</v>
      </c>
      <c r="Z49" s="107" t="s">
        <v>14</v>
      </c>
      <c r="AA49" s="26" t="s">
        <v>17</v>
      </c>
      <c r="AB49" s="26" t="s">
        <v>17</v>
      </c>
      <c r="AC49" s="107" t="s">
        <v>14</v>
      </c>
      <c r="AD49" s="107" t="s">
        <v>13</v>
      </c>
      <c r="AE49" s="107" t="s">
        <v>14</v>
      </c>
      <c r="AF49" s="26" t="s">
        <v>17</v>
      </c>
      <c r="AG49" s="26" t="s">
        <v>17</v>
      </c>
      <c r="AH49" s="26" t="s">
        <v>17</v>
      </c>
      <c r="AI49" s="26" t="s">
        <v>18</v>
      </c>
      <c r="AJ49" s="107" t="s">
        <v>13</v>
      </c>
      <c r="AK49" s="26" t="s">
        <v>17</v>
      </c>
      <c r="AL49" s="26" t="s">
        <v>17</v>
      </c>
      <c r="AM49" s="26" t="s">
        <v>18</v>
      </c>
      <c r="AN49" s="107" t="s">
        <v>13</v>
      </c>
      <c r="AO49" s="107" t="s">
        <v>13</v>
      </c>
      <c r="AP49" s="26" t="s">
        <v>17</v>
      </c>
      <c r="AQ49" s="26" t="s">
        <v>17</v>
      </c>
      <c r="AR49" s="26" t="s">
        <v>17</v>
      </c>
      <c r="AS49" s="107" t="s">
        <v>14</v>
      </c>
      <c r="AT49" s="107" t="s">
        <v>53</v>
      </c>
      <c r="AU49" s="26" t="s">
        <v>17</v>
      </c>
      <c r="AV49" s="26" t="s">
        <v>17</v>
      </c>
      <c r="AW49" s="26" t="s">
        <v>18</v>
      </c>
      <c r="AX49" s="107" t="s">
        <v>14</v>
      </c>
      <c r="AY49" s="107" t="s">
        <v>14</v>
      </c>
      <c r="AZ49" s="26" t="s">
        <v>17</v>
      </c>
      <c r="BA49" s="26" t="s">
        <v>17</v>
      </c>
      <c r="BB49" s="26" t="s">
        <v>17</v>
      </c>
      <c r="BC49" s="26" t="s">
        <v>18</v>
      </c>
      <c r="BD49" s="107" t="s">
        <v>13</v>
      </c>
      <c r="BE49">
        <v>11.5</v>
      </c>
      <c r="BF49" s="1">
        <f t="shared" si="11"/>
        <v>0</v>
      </c>
      <c r="BG49" s="1">
        <f t="shared" si="14"/>
        <v>0</v>
      </c>
      <c r="BH49" s="1">
        <f t="shared" si="3"/>
        <v>0</v>
      </c>
      <c r="BI49" s="1">
        <f t="shared" si="4"/>
        <v>0</v>
      </c>
      <c r="BJ49" s="1">
        <f t="shared" si="5"/>
        <v>0</v>
      </c>
      <c r="BK49" s="95">
        <f t="shared" si="31"/>
        <v>7</v>
      </c>
      <c r="BL49" s="95">
        <f t="shared" si="32"/>
        <v>8</v>
      </c>
      <c r="BN49" s="1">
        <f t="shared" si="6"/>
        <v>28</v>
      </c>
      <c r="BO49" s="1">
        <f t="shared" si="7"/>
        <v>6</v>
      </c>
      <c r="BP49" s="1">
        <f t="shared" si="8"/>
        <v>0</v>
      </c>
      <c r="BQ49" s="1">
        <f t="shared" si="9"/>
        <v>0</v>
      </c>
      <c r="BR49" s="1">
        <f t="shared" si="33"/>
        <v>0</v>
      </c>
      <c r="BS49" s="95">
        <f t="shared" si="34"/>
        <v>1</v>
      </c>
      <c r="BT49" s="95">
        <f t="shared" si="35"/>
        <v>0</v>
      </c>
    </row>
    <row r="50" spans="1:72" x14ac:dyDescent="0.3">
      <c r="A50" s="56">
        <v>174</v>
      </c>
      <c r="B50" s="56">
        <v>13</v>
      </c>
      <c r="C50" s="109">
        <f>C49 + TIME(6,0,0)</f>
        <v>44735.1875</v>
      </c>
      <c r="D50" s="101">
        <f t="shared" ref="D50:D79" si="36">(C50-C49)</f>
        <v>0.25</v>
      </c>
      <c r="E50" s="102">
        <f t="shared" ref="E50:E79" si="37">E49+D50</f>
        <v>11.75</v>
      </c>
      <c r="F50" s="91">
        <f t="shared" ref="F50:F79" si="38">F49+D50</f>
        <v>11.75</v>
      </c>
      <c r="G50" s="26" t="s">
        <v>17</v>
      </c>
      <c r="H50" s="26" t="s">
        <v>17</v>
      </c>
      <c r="I50" s="26" t="s">
        <v>17</v>
      </c>
      <c r="J50" s="26" t="s">
        <v>18</v>
      </c>
      <c r="K50" s="107" t="s">
        <v>13</v>
      </c>
      <c r="L50" s="26" t="s">
        <v>17</v>
      </c>
      <c r="M50" s="26" t="s">
        <v>17</v>
      </c>
      <c r="N50" s="26" t="s">
        <v>17</v>
      </c>
      <c r="O50" s="107" t="s">
        <v>13</v>
      </c>
      <c r="P50" s="107" t="s">
        <v>14</v>
      </c>
      <c r="Q50" s="26" t="s">
        <v>17</v>
      </c>
      <c r="R50" s="26" t="s">
        <v>17</v>
      </c>
      <c r="S50" s="26" t="s">
        <v>17</v>
      </c>
      <c r="T50" s="26" t="s">
        <v>18</v>
      </c>
      <c r="U50" s="107" t="s">
        <v>14</v>
      </c>
      <c r="V50" s="26" t="s">
        <v>17</v>
      </c>
      <c r="W50" s="26" t="s">
        <v>17</v>
      </c>
      <c r="X50" s="26" t="s">
        <v>17</v>
      </c>
      <c r="Y50" s="26" t="s">
        <v>17</v>
      </c>
      <c r="Z50" s="107" t="s">
        <v>14</v>
      </c>
      <c r="AA50" s="26" t="s">
        <v>17</v>
      </c>
      <c r="AB50" s="26" t="s">
        <v>17</v>
      </c>
      <c r="AC50" s="107" t="s">
        <v>14</v>
      </c>
      <c r="AD50" s="107" t="s">
        <v>13</v>
      </c>
      <c r="AE50" s="107" t="s">
        <v>14</v>
      </c>
      <c r="AF50" s="26" t="s">
        <v>17</v>
      </c>
      <c r="AG50" s="26" t="s">
        <v>17</v>
      </c>
      <c r="AH50" s="26" t="s">
        <v>17</v>
      </c>
      <c r="AI50" s="26" t="s">
        <v>18</v>
      </c>
      <c r="AJ50" s="107" t="s">
        <v>13</v>
      </c>
      <c r="AK50" s="26" t="s">
        <v>17</v>
      </c>
      <c r="AL50" s="26" t="s">
        <v>17</v>
      </c>
      <c r="AM50" s="26" t="s">
        <v>18</v>
      </c>
      <c r="AN50" s="107" t="s">
        <v>13</v>
      </c>
      <c r="AO50" s="107" t="s">
        <v>13</v>
      </c>
      <c r="AP50" s="26" t="s">
        <v>17</v>
      </c>
      <c r="AQ50" s="26" t="s">
        <v>17</v>
      </c>
      <c r="AR50" s="26" t="s">
        <v>17</v>
      </c>
      <c r="AS50" s="107" t="s">
        <v>14</v>
      </c>
      <c r="AT50" s="107" t="s">
        <v>53</v>
      </c>
      <c r="AU50" s="26" t="s">
        <v>17</v>
      </c>
      <c r="AV50" s="26" t="s">
        <v>17</v>
      </c>
      <c r="AW50" s="26" t="s">
        <v>18</v>
      </c>
      <c r="AX50" s="107" t="s">
        <v>14</v>
      </c>
      <c r="AY50" s="107" t="s">
        <v>14</v>
      </c>
      <c r="AZ50" s="26" t="s">
        <v>17</v>
      </c>
      <c r="BA50" s="26" t="s">
        <v>17</v>
      </c>
      <c r="BB50" s="26" t="s">
        <v>17</v>
      </c>
      <c r="BC50" s="26" t="s">
        <v>18</v>
      </c>
      <c r="BD50" s="107" t="s">
        <v>13</v>
      </c>
      <c r="BE50">
        <v>11.75</v>
      </c>
      <c r="BF50" s="1">
        <f t="shared" si="11"/>
        <v>0</v>
      </c>
      <c r="BG50" s="1">
        <f t="shared" si="14"/>
        <v>0</v>
      </c>
      <c r="BH50" s="1">
        <f t="shared" si="3"/>
        <v>0</v>
      </c>
      <c r="BI50" s="1">
        <f t="shared" si="4"/>
        <v>0</v>
      </c>
      <c r="BJ50" s="1">
        <f t="shared" si="5"/>
        <v>0</v>
      </c>
      <c r="BK50" s="95">
        <f t="shared" si="31"/>
        <v>7</v>
      </c>
      <c r="BL50" s="95">
        <f t="shared" si="32"/>
        <v>8</v>
      </c>
      <c r="BN50" s="1">
        <f t="shared" si="6"/>
        <v>28</v>
      </c>
      <c r="BO50" s="1">
        <f t="shared" si="7"/>
        <v>6</v>
      </c>
      <c r="BP50" s="1">
        <f t="shared" si="8"/>
        <v>0</v>
      </c>
      <c r="BQ50" s="1">
        <f t="shared" si="9"/>
        <v>0</v>
      </c>
      <c r="BR50" s="1">
        <f t="shared" si="33"/>
        <v>0</v>
      </c>
      <c r="BS50" s="95">
        <f t="shared" si="34"/>
        <v>1</v>
      </c>
      <c r="BT50" s="95">
        <f t="shared" si="35"/>
        <v>0</v>
      </c>
    </row>
    <row r="51" spans="1:72" x14ac:dyDescent="0.3">
      <c r="A51" s="56">
        <v>174</v>
      </c>
      <c r="B51" s="56">
        <v>13</v>
      </c>
      <c r="C51" s="109">
        <f t="shared" ref="C51:C79" si="39">C50 + TIME(6,0,0)</f>
        <v>44735.4375</v>
      </c>
      <c r="D51" s="101">
        <f t="shared" si="36"/>
        <v>0.25</v>
      </c>
      <c r="E51" s="102">
        <f t="shared" si="37"/>
        <v>12</v>
      </c>
      <c r="F51" s="91">
        <f t="shared" si="38"/>
        <v>12</v>
      </c>
      <c r="G51" s="26" t="s">
        <v>17</v>
      </c>
      <c r="H51" s="26" t="s">
        <v>17</v>
      </c>
      <c r="I51" s="26" t="s">
        <v>17</v>
      </c>
      <c r="J51" s="26" t="s">
        <v>18</v>
      </c>
      <c r="K51" s="107" t="s">
        <v>13</v>
      </c>
      <c r="L51" s="26" t="s">
        <v>17</v>
      </c>
      <c r="M51" s="26" t="s">
        <v>17</v>
      </c>
      <c r="N51" s="26" t="s">
        <v>17</v>
      </c>
      <c r="O51" s="107" t="s">
        <v>13</v>
      </c>
      <c r="P51" s="107" t="s">
        <v>14</v>
      </c>
      <c r="Q51" s="26" t="s">
        <v>17</v>
      </c>
      <c r="R51" s="26" t="s">
        <v>17</v>
      </c>
      <c r="S51" s="26" t="s">
        <v>17</v>
      </c>
      <c r="T51" s="26" t="s">
        <v>18</v>
      </c>
      <c r="U51" s="107" t="s">
        <v>14</v>
      </c>
      <c r="V51" s="26" t="s">
        <v>17</v>
      </c>
      <c r="W51" s="26" t="s">
        <v>17</v>
      </c>
      <c r="X51" s="26" t="s">
        <v>17</v>
      </c>
      <c r="Y51" s="26" t="s">
        <v>17</v>
      </c>
      <c r="Z51" s="107" t="s">
        <v>14</v>
      </c>
      <c r="AA51" s="26" t="s">
        <v>17</v>
      </c>
      <c r="AB51" s="26" t="s">
        <v>17</v>
      </c>
      <c r="AC51" s="107" t="s">
        <v>14</v>
      </c>
      <c r="AD51" s="107" t="s">
        <v>13</v>
      </c>
      <c r="AE51" s="107" t="s">
        <v>14</v>
      </c>
      <c r="AF51" s="26" t="s">
        <v>17</v>
      </c>
      <c r="AG51" s="26" t="s">
        <v>17</v>
      </c>
      <c r="AH51" s="26" t="s">
        <v>17</v>
      </c>
      <c r="AI51" s="26" t="s">
        <v>18</v>
      </c>
      <c r="AJ51" s="107" t="s">
        <v>13</v>
      </c>
      <c r="AK51" s="26" t="s">
        <v>17</v>
      </c>
      <c r="AL51" s="26" t="s">
        <v>17</v>
      </c>
      <c r="AM51" s="26" t="s">
        <v>18</v>
      </c>
      <c r="AN51" s="107" t="s">
        <v>13</v>
      </c>
      <c r="AO51" s="107" t="s">
        <v>13</v>
      </c>
      <c r="AP51" s="26" t="s">
        <v>17</v>
      </c>
      <c r="AQ51" s="26" t="s">
        <v>17</v>
      </c>
      <c r="AR51" s="26" t="s">
        <v>17</v>
      </c>
      <c r="AS51" s="107" t="s">
        <v>14</v>
      </c>
      <c r="AT51" s="107" t="s">
        <v>53</v>
      </c>
      <c r="AU51" s="26" t="s">
        <v>17</v>
      </c>
      <c r="AV51" s="26" t="s">
        <v>17</v>
      </c>
      <c r="AW51" s="26" t="s">
        <v>18</v>
      </c>
      <c r="AX51" s="107" t="s">
        <v>14</v>
      </c>
      <c r="AY51" s="107" t="s">
        <v>14</v>
      </c>
      <c r="AZ51" s="26" t="s">
        <v>17</v>
      </c>
      <c r="BA51" s="26" t="s">
        <v>17</v>
      </c>
      <c r="BB51" s="26" t="s">
        <v>17</v>
      </c>
      <c r="BC51" s="26" t="s">
        <v>18</v>
      </c>
      <c r="BD51" s="107" t="s">
        <v>13</v>
      </c>
      <c r="BE51">
        <v>12</v>
      </c>
      <c r="BF51" s="1">
        <f t="shared" si="11"/>
        <v>0</v>
      </c>
      <c r="BG51" s="1">
        <f t="shared" si="14"/>
        <v>0</v>
      </c>
      <c r="BH51" s="1">
        <f t="shared" si="3"/>
        <v>0</v>
      </c>
      <c r="BI51" s="1">
        <f t="shared" si="4"/>
        <v>0</v>
      </c>
      <c r="BJ51" s="1">
        <f t="shared" si="5"/>
        <v>0</v>
      </c>
      <c r="BK51" s="95">
        <f t="shared" si="31"/>
        <v>7</v>
      </c>
      <c r="BL51" s="95">
        <f>COUNTIF($G51:$BD51, "AF")</f>
        <v>8</v>
      </c>
      <c r="BN51" s="1">
        <f t="shared" si="6"/>
        <v>28</v>
      </c>
      <c r="BO51" s="1">
        <f t="shared" si="7"/>
        <v>6</v>
      </c>
      <c r="BP51" s="1">
        <f t="shared" si="8"/>
        <v>0</v>
      </c>
      <c r="BQ51" s="1">
        <f t="shared" si="9"/>
        <v>0</v>
      </c>
      <c r="BR51" s="1">
        <f t="shared" si="33"/>
        <v>0</v>
      </c>
      <c r="BS51" s="95">
        <f t="shared" si="34"/>
        <v>1</v>
      </c>
      <c r="BT51" s="95">
        <f t="shared" si="35"/>
        <v>0</v>
      </c>
    </row>
    <row r="52" spans="1:72" x14ac:dyDescent="0.3">
      <c r="A52" s="56">
        <v>174</v>
      </c>
      <c r="B52" s="56">
        <v>13</v>
      </c>
      <c r="C52" s="109">
        <f t="shared" si="39"/>
        <v>44735.6875</v>
      </c>
      <c r="D52" s="101">
        <f t="shared" si="36"/>
        <v>0.25</v>
      </c>
      <c r="E52" s="102">
        <f t="shared" si="37"/>
        <v>12.25</v>
      </c>
      <c r="F52" s="91">
        <f t="shared" si="38"/>
        <v>12.25</v>
      </c>
      <c r="G52" s="26" t="s">
        <v>17</v>
      </c>
      <c r="H52" s="26" t="s">
        <v>17</v>
      </c>
      <c r="I52" s="26" t="s">
        <v>17</v>
      </c>
      <c r="J52" s="26" t="s">
        <v>18</v>
      </c>
      <c r="K52" s="107" t="s">
        <v>13</v>
      </c>
      <c r="L52" s="26" t="s">
        <v>17</v>
      </c>
      <c r="M52" s="26" t="s">
        <v>17</v>
      </c>
      <c r="N52" s="26" t="s">
        <v>17</v>
      </c>
      <c r="O52" s="107" t="s">
        <v>53</v>
      </c>
      <c r="P52" s="107" t="s">
        <v>14</v>
      </c>
      <c r="Q52" s="26" t="s">
        <v>17</v>
      </c>
      <c r="R52" s="26" t="s">
        <v>17</v>
      </c>
      <c r="S52" s="26" t="s">
        <v>17</v>
      </c>
      <c r="T52" s="26" t="s">
        <v>18</v>
      </c>
      <c r="U52" s="107" t="s">
        <v>54</v>
      </c>
      <c r="V52" s="26" t="s">
        <v>17</v>
      </c>
      <c r="W52" s="26" t="s">
        <v>17</v>
      </c>
      <c r="X52" s="26" t="s">
        <v>17</v>
      </c>
      <c r="Y52" s="26" t="s">
        <v>17</v>
      </c>
      <c r="Z52" s="107" t="s">
        <v>14</v>
      </c>
      <c r="AA52" s="26" t="s">
        <v>17</v>
      </c>
      <c r="AB52" s="26" t="s">
        <v>17</v>
      </c>
      <c r="AC52" s="107" t="s">
        <v>14</v>
      </c>
      <c r="AD52" s="107" t="s">
        <v>13</v>
      </c>
      <c r="AE52" s="107" t="s">
        <v>14</v>
      </c>
      <c r="AF52" s="26" t="s">
        <v>17</v>
      </c>
      <c r="AG52" s="26" t="s">
        <v>17</v>
      </c>
      <c r="AH52" s="26" t="s">
        <v>17</v>
      </c>
      <c r="AI52" s="26" t="s">
        <v>18</v>
      </c>
      <c r="AJ52" s="107" t="s">
        <v>13</v>
      </c>
      <c r="AK52" s="26" t="s">
        <v>17</v>
      </c>
      <c r="AL52" s="26" t="s">
        <v>17</v>
      </c>
      <c r="AM52" s="26" t="s">
        <v>18</v>
      </c>
      <c r="AN52" s="107" t="s">
        <v>13</v>
      </c>
      <c r="AO52" s="107" t="s">
        <v>13</v>
      </c>
      <c r="AP52" s="26" t="s">
        <v>17</v>
      </c>
      <c r="AQ52" s="26" t="s">
        <v>17</v>
      </c>
      <c r="AR52" s="26" t="s">
        <v>17</v>
      </c>
      <c r="AS52" s="107" t="s">
        <v>14</v>
      </c>
      <c r="AT52" s="107" t="s">
        <v>53</v>
      </c>
      <c r="AU52" s="26" t="s">
        <v>17</v>
      </c>
      <c r="AV52" s="26" t="s">
        <v>17</v>
      </c>
      <c r="AW52" s="26" t="s">
        <v>18</v>
      </c>
      <c r="AX52" s="107" t="s">
        <v>14</v>
      </c>
      <c r="AY52" s="107" t="s">
        <v>14</v>
      </c>
      <c r="AZ52" s="26" t="s">
        <v>17</v>
      </c>
      <c r="BA52" s="26" t="s">
        <v>17</v>
      </c>
      <c r="BB52" s="26" t="s">
        <v>17</v>
      </c>
      <c r="BC52" s="26" t="s">
        <v>18</v>
      </c>
      <c r="BD52" s="107" t="s">
        <v>13</v>
      </c>
      <c r="BE52">
        <v>12.25</v>
      </c>
      <c r="BF52" s="1">
        <f t="shared" si="11"/>
        <v>0</v>
      </c>
      <c r="BG52" s="1">
        <f t="shared" si="14"/>
        <v>0</v>
      </c>
      <c r="BH52" s="1">
        <f t="shared" si="3"/>
        <v>0</v>
      </c>
      <c r="BI52" s="1">
        <f t="shared" si="4"/>
        <v>0</v>
      </c>
      <c r="BJ52" s="1">
        <f t="shared" si="5"/>
        <v>0</v>
      </c>
      <c r="BK52" s="95">
        <f t="shared" si="31"/>
        <v>6</v>
      </c>
      <c r="BL52" s="95">
        <f t="shared" si="32"/>
        <v>7</v>
      </c>
      <c r="BN52" s="1">
        <f t="shared" si="6"/>
        <v>28</v>
      </c>
      <c r="BO52" s="1">
        <f t="shared" si="7"/>
        <v>6</v>
      </c>
      <c r="BP52" s="1">
        <f t="shared" si="8"/>
        <v>0</v>
      </c>
      <c r="BQ52" s="1">
        <f t="shared" si="9"/>
        <v>0</v>
      </c>
      <c r="BR52" s="1">
        <f t="shared" si="33"/>
        <v>0</v>
      </c>
      <c r="BS52" s="95">
        <f t="shared" si="34"/>
        <v>2</v>
      </c>
      <c r="BT52" s="95">
        <f t="shared" si="35"/>
        <v>1</v>
      </c>
    </row>
    <row r="53" spans="1:72" x14ac:dyDescent="0.3">
      <c r="A53" s="56">
        <v>174</v>
      </c>
      <c r="B53" s="56">
        <v>13</v>
      </c>
      <c r="C53" s="109">
        <f t="shared" si="39"/>
        <v>44735.9375</v>
      </c>
      <c r="D53" s="101">
        <f t="shared" si="36"/>
        <v>0.25</v>
      </c>
      <c r="E53" s="102">
        <f t="shared" si="37"/>
        <v>12.5</v>
      </c>
      <c r="F53" s="91">
        <f t="shared" si="38"/>
        <v>12.5</v>
      </c>
      <c r="G53" s="26" t="s">
        <v>17</v>
      </c>
      <c r="H53" s="26" t="s">
        <v>17</v>
      </c>
      <c r="I53" s="26" t="s">
        <v>17</v>
      </c>
      <c r="J53" s="26" t="s">
        <v>18</v>
      </c>
      <c r="K53" s="107" t="s">
        <v>13</v>
      </c>
      <c r="L53" s="26" t="s">
        <v>17</v>
      </c>
      <c r="M53" s="26" t="s">
        <v>17</v>
      </c>
      <c r="N53" s="26" t="s">
        <v>17</v>
      </c>
      <c r="O53" s="107" t="s">
        <v>53</v>
      </c>
      <c r="P53" s="107" t="s">
        <v>14</v>
      </c>
      <c r="Q53" s="26" t="s">
        <v>17</v>
      </c>
      <c r="R53" s="26" t="s">
        <v>17</v>
      </c>
      <c r="S53" s="26" t="s">
        <v>17</v>
      </c>
      <c r="T53" s="26" t="s">
        <v>18</v>
      </c>
      <c r="U53" s="107" t="s">
        <v>54</v>
      </c>
      <c r="V53" s="26" t="s">
        <v>17</v>
      </c>
      <c r="W53" s="26" t="s">
        <v>17</v>
      </c>
      <c r="X53" s="26" t="s">
        <v>17</v>
      </c>
      <c r="Y53" s="26" t="s">
        <v>17</v>
      </c>
      <c r="Z53" s="107" t="s">
        <v>14</v>
      </c>
      <c r="AA53" s="26" t="s">
        <v>17</v>
      </c>
      <c r="AB53" s="26" t="s">
        <v>17</v>
      </c>
      <c r="AC53" s="107" t="s">
        <v>14</v>
      </c>
      <c r="AD53" s="107" t="s">
        <v>13</v>
      </c>
      <c r="AE53" s="107" t="s">
        <v>14</v>
      </c>
      <c r="AF53" s="26" t="s">
        <v>17</v>
      </c>
      <c r="AG53" s="26" t="s">
        <v>17</v>
      </c>
      <c r="AH53" s="26" t="s">
        <v>17</v>
      </c>
      <c r="AI53" s="26" t="s">
        <v>18</v>
      </c>
      <c r="AJ53" s="107" t="s">
        <v>13</v>
      </c>
      <c r="AK53" s="26" t="s">
        <v>17</v>
      </c>
      <c r="AL53" s="26" t="s">
        <v>17</v>
      </c>
      <c r="AM53" s="26" t="s">
        <v>18</v>
      </c>
      <c r="AN53" s="107" t="s">
        <v>13</v>
      </c>
      <c r="AO53" s="107" t="s">
        <v>13</v>
      </c>
      <c r="AP53" s="26" t="s">
        <v>17</v>
      </c>
      <c r="AQ53" s="26" t="s">
        <v>17</v>
      </c>
      <c r="AR53" s="26" t="s">
        <v>17</v>
      </c>
      <c r="AS53" s="107" t="s">
        <v>14</v>
      </c>
      <c r="AT53" s="107" t="s">
        <v>53</v>
      </c>
      <c r="AU53" s="26" t="s">
        <v>17</v>
      </c>
      <c r="AV53" s="26" t="s">
        <v>17</v>
      </c>
      <c r="AW53" s="26" t="s">
        <v>18</v>
      </c>
      <c r="AX53" s="107" t="s">
        <v>14</v>
      </c>
      <c r="AY53" s="107" t="s">
        <v>54</v>
      </c>
      <c r="AZ53" s="26" t="s">
        <v>17</v>
      </c>
      <c r="BA53" s="26" t="s">
        <v>17</v>
      </c>
      <c r="BB53" s="26" t="s">
        <v>17</v>
      </c>
      <c r="BC53" s="26" t="s">
        <v>18</v>
      </c>
      <c r="BD53" s="107" t="s">
        <v>13</v>
      </c>
      <c r="BE53">
        <v>12.5</v>
      </c>
      <c r="BF53" s="1">
        <f t="shared" si="11"/>
        <v>0</v>
      </c>
      <c r="BG53" s="1">
        <f t="shared" si="14"/>
        <v>0</v>
      </c>
      <c r="BH53" s="1">
        <f t="shared" si="3"/>
        <v>0</v>
      </c>
      <c r="BI53" s="1">
        <f t="shared" si="4"/>
        <v>0</v>
      </c>
      <c r="BJ53" s="1">
        <f t="shared" si="5"/>
        <v>0</v>
      </c>
      <c r="BK53" s="95">
        <f t="shared" si="31"/>
        <v>6</v>
      </c>
      <c r="BL53" s="95">
        <f t="shared" si="32"/>
        <v>6</v>
      </c>
      <c r="BN53" s="1">
        <f t="shared" si="6"/>
        <v>28</v>
      </c>
      <c r="BO53" s="1">
        <f t="shared" si="7"/>
        <v>6</v>
      </c>
      <c r="BP53" s="1">
        <f t="shared" si="8"/>
        <v>0</v>
      </c>
      <c r="BQ53" s="1">
        <f t="shared" si="9"/>
        <v>0</v>
      </c>
      <c r="BR53" s="1">
        <f t="shared" si="33"/>
        <v>0</v>
      </c>
      <c r="BS53" s="95">
        <f t="shared" si="34"/>
        <v>2</v>
      </c>
      <c r="BT53" s="95">
        <f t="shared" si="35"/>
        <v>2</v>
      </c>
    </row>
    <row r="54" spans="1:72" x14ac:dyDescent="0.3">
      <c r="A54" s="56">
        <v>175</v>
      </c>
      <c r="B54" s="56">
        <v>14</v>
      </c>
      <c r="C54" s="109">
        <f t="shared" si="39"/>
        <v>44736.1875</v>
      </c>
      <c r="D54" s="101">
        <f t="shared" si="36"/>
        <v>0.25</v>
      </c>
      <c r="E54" s="102">
        <f t="shared" si="37"/>
        <v>12.75</v>
      </c>
      <c r="F54" s="91">
        <f t="shared" si="38"/>
        <v>12.75</v>
      </c>
      <c r="G54" s="26" t="s">
        <v>17</v>
      </c>
      <c r="H54" s="26" t="s">
        <v>17</v>
      </c>
      <c r="I54" s="26" t="s">
        <v>17</v>
      </c>
      <c r="J54" s="26" t="s">
        <v>18</v>
      </c>
      <c r="K54" s="107" t="s">
        <v>13</v>
      </c>
      <c r="L54" s="26" t="s">
        <v>17</v>
      </c>
      <c r="M54" s="26" t="s">
        <v>17</v>
      </c>
      <c r="N54" s="26" t="s">
        <v>17</v>
      </c>
      <c r="O54" s="107" t="s">
        <v>53</v>
      </c>
      <c r="P54" s="107" t="s">
        <v>14</v>
      </c>
      <c r="Q54" s="26" t="s">
        <v>17</v>
      </c>
      <c r="R54" s="26" t="s">
        <v>17</v>
      </c>
      <c r="S54" s="26" t="s">
        <v>17</v>
      </c>
      <c r="T54" s="26" t="s">
        <v>18</v>
      </c>
      <c r="U54" s="107" t="s">
        <v>54</v>
      </c>
      <c r="V54" s="26" t="s">
        <v>17</v>
      </c>
      <c r="W54" s="26" t="s">
        <v>17</v>
      </c>
      <c r="X54" s="26" t="s">
        <v>17</v>
      </c>
      <c r="Y54" s="26" t="s">
        <v>17</v>
      </c>
      <c r="Z54" s="107" t="s">
        <v>14</v>
      </c>
      <c r="AA54" s="26" t="s">
        <v>17</v>
      </c>
      <c r="AB54" s="26" t="s">
        <v>17</v>
      </c>
      <c r="AC54" s="107" t="s">
        <v>14</v>
      </c>
      <c r="AD54" s="107" t="s">
        <v>13</v>
      </c>
      <c r="AE54" s="107" t="s">
        <v>14</v>
      </c>
      <c r="AF54" s="26" t="s">
        <v>17</v>
      </c>
      <c r="AG54" s="26" t="s">
        <v>17</v>
      </c>
      <c r="AH54" s="26" t="s">
        <v>17</v>
      </c>
      <c r="AI54" s="26" t="s">
        <v>18</v>
      </c>
      <c r="AJ54" s="107" t="s">
        <v>13</v>
      </c>
      <c r="AK54" s="26" t="s">
        <v>17</v>
      </c>
      <c r="AL54" s="26" t="s">
        <v>17</v>
      </c>
      <c r="AM54" s="26" t="s">
        <v>18</v>
      </c>
      <c r="AN54" s="107" t="s">
        <v>13</v>
      </c>
      <c r="AO54" s="107" t="s">
        <v>13</v>
      </c>
      <c r="AP54" s="26" t="s">
        <v>17</v>
      </c>
      <c r="AQ54" s="26" t="s">
        <v>17</v>
      </c>
      <c r="AR54" s="26" t="s">
        <v>17</v>
      </c>
      <c r="AS54" s="107" t="s">
        <v>14</v>
      </c>
      <c r="AT54" s="107" t="s">
        <v>53</v>
      </c>
      <c r="AU54" s="26" t="s">
        <v>17</v>
      </c>
      <c r="AV54" s="26" t="s">
        <v>17</v>
      </c>
      <c r="AW54" s="26" t="s">
        <v>18</v>
      </c>
      <c r="AX54" s="107" t="s">
        <v>14</v>
      </c>
      <c r="AY54" s="107" t="s">
        <v>54</v>
      </c>
      <c r="AZ54" s="26" t="s">
        <v>17</v>
      </c>
      <c r="BA54" s="26" t="s">
        <v>17</v>
      </c>
      <c r="BB54" s="26" t="s">
        <v>17</v>
      </c>
      <c r="BC54" s="26" t="s">
        <v>18</v>
      </c>
      <c r="BD54" s="107" t="s">
        <v>13</v>
      </c>
      <c r="BE54">
        <v>12.75</v>
      </c>
      <c r="BF54" s="1">
        <f t="shared" si="11"/>
        <v>0</v>
      </c>
      <c r="BG54" s="1">
        <f t="shared" si="14"/>
        <v>0</v>
      </c>
      <c r="BH54" s="1">
        <f t="shared" si="3"/>
        <v>0</v>
      </c>
      <c r="BI54" s="1">
        <f t="shared" si="4"/>
        <v>0</v>
      </c>
      <c r="BJ54" s="1">
        <f t="shared" si="5"/>
        <v>0</v>
      </c>
      <c r="BK54" s="95">
        <f t="shared" si="31"/>
        <v>6</v>
      </c>
      <c r="BL54" s="95">
        <f t="shared" si="32"/>
        <v>6</v>
      </c>
      <c r="BN54" s="1">
        <f t="shared" si="6"/>
        <v>28</v>
      </c>
      <c r="BO54" s="1">
        <f t="shared" si="7"/>
        <v>6</v>
      </c>
      <c r="BP54" s="1">
        <f t="shared" si="8"/>
        <v>0</v>
      </c>
      <c r="BQ54" s="1">
        <f t="shared" si="9"/>
        <v>0</v>
      </c>
      <c r="BR54" s="1">
        <f t="shared" si="33"/>
        <v>0</v>
      </c>
      <c r="BS54" s="95">
        <f t="shared" si="34"/>
        <v>2</v>
      </c>
      <c r="BT54" s="95">
        <f t="shared" si="35"/>
        <v>2</v>
      </c>
    </row>
    <row r="55" spans="1:72" x14ac:dyDescent="0.3">
      <c r="A55" s="56">
        <v>175</v>
      </c>
      <c r="B55" s="56">
        <v>14</v>
      </c>
      <c r="C55" s="109">
        <f t="shared" si="39"/>
        <v>44736.4375</v>
      </c>
      <c r="D55" s="101">
        <f t="shared" si="36"/>
        <v>0.25</v>
      </c>
      <c r="E55" s="102">
        <f t="shared" si="37"/>
        <v>13</v>
      </c>
      <c r="F55" s="91">
        <f t="shared" si="38"/>
        <v>13</v>
      </c>
      <c r="G55" s="26" t="s">
        <v>17</v>
      </c>
      <c r="H55" s="26" t="s">
        <v>17</v>
      </c>
      <c r="I55" s="26" t="s">
        <v>17</v>
      </c>
      <c r="J55" s="26" t="s">
        <v>18</v>
      </c>
      <c r="K55" s="107" t="s">
        <v>13</v>
      </c>
      <c r="L55" s="26" t="s">
        <v>17</v>
      </c>
      <c r="M55" s="26" t="s">
        <v>17</v>
      </c>
      <c r="N55" s="26" t="s">
        <v>17</v>
      </c>
      <c r="O55" s="107" t="s">
        <v>53</v>
      </c>
      <c r="P55" s="107" t="s">
        <v>14</v>
      </c>
      <c r="Q55" s="26" t="s">
        <v>17</v>
      </c>
      <c r="R55" s="26" t="s">
        <v>17</v>
      </c>
      <c r="S55" s="26" t="s">
        <v>17</v>
      </c>
      <c r="T55" s="26" t="s">
        <v>18</v>
      </c>
      <c r="U55" s="107" t="s">
        <v>54</v>
      </c>
      <c r="V55" s="26" t="s">
        <v>17</v>
      </c>
      <c r="W55" s="26" t="s">
        <v>17</v>
      </c>
      <c r="X55" s="26" t="s">
        <v>17</v>
      </c>
      <c r="Y55" s="26" t="s">
        <v>17</v>
      </c>
      <c r="Z55" s="107" t="s">
        <v>14</v>
      </c>
      <c r="AA55" s="26" t="s">
        <v>17</v>
      </c>
      <c r="AB55" s="26" t="s">
        <v>17</v>
      </c>
      <c r="AC55" s="107" t="s">
        <v>14</v>
      </c>
      <c r="AD55" s="107" t="s">
        <v>53</v>
      </c>
      <c r="AE55" s="107" t="s">
        <v>14</v>
      </c>
      <c r="AF55" s="26" t="s">
        <v>17</v>
      </c>
      <c r="AG55" s="26" t="s">
        <v>17</v>
      </c>
      <c r="AH55" s="26" t="s">
        <v>17</v>
      </c>
      <c r="AI55" s="26" t="s">
        <v>18</v>
      </c>
      <c r="AJ55" s="107" t="s">
        <v>13</v>
      </c>
      <c r="AK55" s="26" t="s">
        <v>17</v>
      </c>
      <c r="AL55" s="26" t="s">
        <v>17</v>
      </c>
      <c r="AM55" s="26" t="s">
        <v>18</v>
      </c>
      <c r="AN55" s="107" t="s">
        <v>13</v>
      </c>
      <c r="AO55" s="107" t="s">
        <v>13</v>
      </c>
      <c r="AP55" s="26" t="s">
        <v>17</v>
      </c>
      <c r="AQ55" s="26" t="s">
        <v>17</v>
      </c>
      <c r="AR55" s="26" t="s">
        <v>17</v>
      </c>
      <c r="AS55" s="107" t="s">
        <v>14</v>
      </c>
      <c r="AT55" s="107" t="s">
        <v>53</v>
      </c>
      <c r="AU55" s="26" t="s">
        <v>17</v>
      </c>
      <c r="AV55" s="26" t="s">
        <v>17</v>
      </c>
      <c r="AW55" s="26" t="s">
        <v>18</v>
      </c>
      <c r="AX55" s="107" t="s">
        <v>14</v>
      </c>
      <c r="AY55" s="107" t="s">
        <v>54</v>
      </c>
      <c r="AZ55" s="26" t="s">
        <v>17</v>
      </c>
      <c r="BA55" s="26" t="s">
        <v>17</v>
      </c>
      <c r="BB55" s="26" t="s">
        <v>17</v>
      </c>
      <c r="BC55" s="26" t="s">
        <v>18</v>
      </c>
      <c r="BD55" s="107" t="s">
        <v>13</v>
      </c>
      <c r="BE55">
        <v>13</v>
      </c>
      <c r="BF55" s="1">
        <f t="shared" si="11"/>
        <v>0</v>
      </c>
      <c r="BG55" s="1">
        <f t="shared" si="14"/>
        <v>0</v>
      </c>
      <c r="BH55" s="1">
        <f t="shared" si="3"/>
        <v>0</v>
      </c>
      <c r="BI55" s="1">
        <f t="shared" si="4"/>
        <v>0</v>
      </c>
      <c r="BJ55" s="1">
        <f t="shared" si="5"/>
        <v>0</v>
      </c>
      <c r="BK55" s="95">
        <f t="shared" si="31"/>
        <v>5</v>
      </c>
      <c r="BL55" s="95">
        <f t="shared" si="32"/>
        <v>6</v>
      </c>
      <c r="BN55" s="1">
        <f t="shared" si="6"/>
        <v>28</v>
      </c>
      <c r="BO55" s="1">
        <f t="shared" si="7"/>
        <v>6</v>
      </c>
      <c r="BP55" s="1">
        <f t="shared" si="8"/>
        <v>0</v>
      </c>
      <c r="BQ55" s="1">
        <f t="shared" si="9"/>
        <v>0</v>
      </c>
      <c r="BR55" s="1">
        <f t="shared" si="33"/>
        <v>0</v>
      </c>
      <c r="BS55" s="95">
        <f t="shared" si="34"/>
        <v>3</v>
      </c>
      <c r="BT55" s="95">
        <f t="shared" si="35"/>
        <v>2</v>
      </c>
    </row>
    <row r="56" spans="1:72" x14ac:dyDescent="0.3">
      <c r="A56" s="56">
        <v>175</v>
      </c>
      <c r="B56" s="56">
        <v>14</v>
      </c>
      <c r="C56" s="109">
        <f t="shared" si="39"/>
        <v>44736.6875</v>
      </c>
      <c r="D56" s="101">
        <f t="shared" si="36"/>
        <v>0.25</v>
      </c>
      <c r="E56" s="102">
        <f t="shared" si="37"/>
        <v>13.25</v>
      </c>
      <c r="F56" s="91">
        <f t="shared" si="38"/>
        <v>13.25</v>
      </c>
      <c r="G56" s="26" t="s">
        <v>17</v>
      </c>
      <c r="H56" s="26" t="s">
        <v>17</v>
      </c>
      <c r="I56" s="26" t="s">
        <v>17</v>
      </c>
      <c r="J56" s="26" t="s">
        <v>18</v>
      </c>
      <c r="K56" s="107" t="s">
        <v>13</v>
      </c>
      <c r="L56" s="26" t="s">
        <v>17</v>
      </c>
      <c r="M56" s="26" t="s">
        <v>17</v>
      </c>
      <c r="N56" s="26" t="s">
        <v>17</v>
      </c>
      <c r="O56" s="107" t="s">
        <v>53</v>
      </c>
      <c r="P56" s="107" t="s">
        <v>14</v>
      </c>
      <c r="Q56" s="26" t="s">
        <v>17</v>
      </c>
      <c r="R56" s="26" t="s">
        <v>17</v>
      </c>
      <c r="S56" s="26" t="s">
        <v>17</v>
      </c>
      <c r="T56" s="26" t="s">
        <v>18</v>
      </c>
      <c r="U56" s="107" t="s">
        <v>54</v>
      </c>
      <c r="V56" s="26" t="s">
        <v>17</v>
      </c>
      <c r="W56" s="26" t="s">
        <v>17</v>
      </c>
      <c r="X56" s="26" t="s">
        <v>17</v>
      </c>
      <c r="Y56" s="26" t="s">
        <v>17</v>
      </c>
      <c r="Z56" s="107" t="s">
        <v>14</v>
      </c>
      <c r="AA56" s="26" t="s">
        <v>17</v>
      </c>
      <c r="AB56" s="26" t="s">
        <v>17</v>
      </c>
      <c r="AC56" s="107" t="s">
        <v>14</v>
      </c>
      <c r="AD56" s="107" t="s">
        <v>53</v>
      </c>
      <c r="AE56" s="107" t="s">
        <v>14</v>
      </c>
      <c r="AF56" s="26" t="s">
        <v>17</v>
      </c>
      <c r="AG56" s="26" t="s">
        <v>17</v>
      </c>
      <c r="AH56" s="26" t="s">
        <v>17</v>
      </c>
      <c r="AI56" s="26" t="s">
        <v>18</v>
      </c>
      <c r="AJ56" s="107" t="s">
        <v>13</v>
      </c>
      <c r="AK56" s="26" t="s">
        <v>17</v>
      </c>
      <c r="AL56" s="26" t="s">
        <v>17</v>
      </c>
      <c r="AM56" s="26" t="s">
        <v>18</v>
      </c>
      <c r="AN56" s="107" t="s">
        <v>13</v>
      </c>
      <c r="AO56" s="107" t="s">
        <v>13</v>
      </c>
      <c r="AP56" s="26" t="s">
        <v>17</v>
      </c>
      <c r="AQ56" s="26" t="s">
        <v>17</v>
      </c>
      <c r="AR56" s="26" t="s">
        <v>17</v>
      </c>
      <c r="AS56" s="107" t="s">
        <v>14</v>
      </c>
      <c r="AT56" s="107" t="s">
        <v>53</v>
      </c>
      <c r="AU56" s="26" t="s">
        <v>17</v>
      </c>
      <c r="AV56" s="26" t="s">
        <v>17</v>
      </c>
      <c r="AW56" s="26" t="s">
        <v>18</v>
      </c>
      <c r="AX56" s="107" t="s">
        <v>14</v>
      </c>
      <c r="AY56" s="107" t="s">
        <v>54</v>
      </c>
      <c r="AZ56" s="26" t="s">
        <v>17</v>
      </c>
      <c r="BA56" s="26" t="s">
        <v>17</v>
      </c>
      <c r="BB56" s="26" t="s">
        <v>17</v>
      </c>
      <c r="BC56" s="26" t="s">
        <v>18</v>
      </c>
      <c r="BD56" s="107" t="s">
        <v>13</v>
      </c>
      <c r="BE56">
        <v>13.25</v>
      </c>
      <c r="BF56" s="1">
        <f t="shared" si="11"/>
        <v>0</v>
      </c>
      <c r="BG56" s="1">
        <f t="shared" si="14"/>
        <v>0</v>
      </c>
      <c r="BH56" s="1">
        <f t="shared" si="3"/>
        <v>0</v>
      </c>
      <c r="BI56" s="1">
        <f t="shared" si="4"/>
        <v>0</v>
      </c>
      <c r="BJ56" s="1">
        <f t="shared" si="5"/>
        <v>0</v>
      </c>
      <c r="BK56" s="95">
        <f t="shared" si="31"/>
        <v>5</v>
      </c>
      <c r="BL56" s="95">
        <f t="shared" si="32"/>
        <v>6</v>
      </c>
      <c r="BN56" s="1">
        <f t="shared" si="6"/>
        <v>28</v>
      </c>
      <c r="BO56" s="1">
        <f t="shared" si="7"/>
        <v>6</v>
      </c>
      <c r="BP56" s="1">
        <f t="shared" si="8"/>
        <v>0</v>
      </c>
      <c r="BQ56" s="1">
        <f t="shared" si="9"/>
        <v>0</v>
      </c>
      <c r="BR56" s="1">
        <f t="shared" si="33"/>
        <v>0</v>
      </c>
      <c r="BS56" s="95">
        <f t="shared" si="34"/>
        <v>3</v>
      </c>
      <c r="BT56" s="95">
        <f t="shared" si="35"/>
        <v>2</v>
      </c>
    </row>
    <row r="57" spans="1:72" x14ac:dyDescent="0.3">
      <c r="A57" s="56">
        <v>175</v>
      </c>
      <c r="B57" s="56">
        <v>14</v>
      </c>
      <c r="C57" s="109">
        <f t="shared" si="39"/>
        <v>44736.9375</v>
      </c>
      <c r="D57" s="101">
        <f t="shared" si="36"/>
        <v>0.25</v>
      </c>
      <c r="E57" s="102">
        <f t="shared" si="37"/>
        <v>13.5</v>
      </c>
      <c r="F57" s="91">
        <f t="shared" si="38"/>
        <v>13.5</v>
      </c>
      <c r="G57" s="26" t="s">
        <v>17</v>
      </c>
      <c r="H57" s="26" t="s">
        <v>17</v>
      </c>
      <c r="I57" s="26" t="s">
        <v>17</v>
      </c>
      <c r="J57" s="26" t="s">
        <v>18</v>
      </c>
      <c r="K57" s="107" t="s">
        <v>13</v>
      </c>
      <c r="L57" s="26" t="s">
        <v>17</v>
      </c>
      <c r="M57" s="26" t="s">
        <v>17</v>
      </c>
      <c r="N57" s="26" t="s">
        <v>17</v>
      </c>
      <c r="O57" s="107" t="s">
        <v>53</v>
      </c>
      <c r="P57" s="107" t="s">
        <v>14</v>
      </c>
      <c r="Q57" s="26" t="s">
        <v>17</v>
      </c>
      <c r="R57" s="26" t="s">
        <v>17</v>
      </c>
      <c r="S57" s="26" t="s">
        <v>17</v>
      </c>
      <c r="T57" s="26" t="s">
        <v>18</v>
      </c>
      <c r="U57" s="107" t="s">
        <v>54</v>
      </c>
      <c r="V57" s="26" t="s">
        <v>17</v>
      </c>
      <c r="W57" s="26" t="s">
        <v>17</v>
      </c>
      <c r="X57" s="26" t="s">
        <v>17</v>
      </c>
      <c r="Y57" s="26" t="s">
        <v>17</v>
      </c>
      <c r="Z57" s="107" t="s">
        <v>14</v>
      </c>
      <c r="AA57" s="26" t="s">
        <v>17</v>
      </c>
      <c r="AB57" s="26" t="s">
        <v>17</v>
      </c>
      <c r="AC57" s="107" t="s">
        <v>14</v>
      </c>
      <c r="AD57" s="107" t="s">
        <v>53</v>
      </c>
      <c r="AE57" s="107" t="s">
        <v>14</v>
      </c>
      <c r="AF57" s="26" t="s">
        <v>17</v>
      </c>
      <c r="AG57" s="26" t="s">
        <v>17</v>
      </c>
      <c r="AH57" s="26" t="s">
        <v>17</v>
      </c>
      <c r="AI57" s="26" t="s">
        <v>18</v>
      </c>
      <c r="AJ57" s="107" t="s">
        <v>13</v>
      </c>
      <c r="AK57" s="26" t="s">
        <v>17</v>
      </c>
      <c r="AL57" s="26" t="s">
        <v>17</v>
      </c>
      <c r="AM57" s="26" t="s">
        <v>18</v>
      </c>
      <c r="AN57" s="107" t="s">
        <v>13</v>
      </c>
      <c r="AO57" s="107" t="s">
        <v>13</v>
      </c>
      <c r="AP57" s="26" t="s">
        <v>17</v>
      </c>
      <c r="AQ57" s="26" t="s">
        <v>17</v>
      </c>
      <c r="AR57" s="26" t="s">
        <v>17</v>
      </c>
      <c r="AS57" s="107" t="s">
        <v>14</v>
      </c>
      <c r="AT57" s="107" t="s">
        <v>53</v>
      </c>
      <c r="AU57" s="26" t="s">
        <v>17</v>
      </c>
      <c r="AV57" s="26" t="s">
        <v>17</v>
      </c>
      <c r="AW57" s="26" t="s">
        <v>18</v>
      </c>
      <c r="AX57" s="107" t="s">
        <v>14</v>
      </c>
      <c r="AY57" s="107" t="s">
        <v>54</v>
      </c>
      <c r="AZ57" s="26" t="s">
        <v>17</v>
      </c>
      <c r="BA57" s="26" t="s">
        <v>17</v>
      </c>
      <c r="BB57" s="26" t="s">
        <v>17</v>
      </c>
      <c r="BC57" s="26" t="s">
        <v>18</v>
      </c>
      <c r="BD57" s="107" t="s">
        <v>13</v>
      </c>
      <c r="BE57">
        <v>13.5</v>
      </c>
      <c r="BF57" s="1">
        <f t="shared" si="11"/>
        <v>0</v>
      </c>
      <c r="BG57" s="1">
        <f t="shared" si="14"/>
        <v>0</v>
      </c>
      <c r="BH57" s="1">
        <f t="shared" si="3"/>
        <v>0</v>
      </c>
      <c r="BI57" s="1">
        <f t="shared" si="4"/>
        <v>0</v>
      </c>
      <c r="BJ57" s="1">
        <f t="shared" si="5"/>
        <v>0</v>
      </c>
      <c r="BK57" s="95">
        <f t="shared" si="31"/>
        <v>5</v>
      </c>
      <c r="BL57" s="95">
        <f t="shared" si="32"/>
        <v>6</v>
      </c>
      <c r="BN57" s="1">
        <f t="shared" si="6"/>
        <v>28</v>
      </c>
      <c r="BO57" s="1">
        <f t="shared" si="7"/>
        <v>6</v>
      </c>
      <c r="BP57" s="1">
        <f t="shared" si="8"/>
        <v>0</v>
      </c>
      <c r="BQ57" s="1">
        <f t="shared" si="9"/>
        <v>0</v>
      </c>
      <c r="BR57" s="1">
        <f t="shared" si="33"/>
        <v>0</v>
      </c>
      <c r="BS57" s="95">
        <f t="shared" si="34"/>
        <v>3</v>
      </c>
      <c r="BT57" s="95">
        <f t="shared" si="35"/>
        <v>2</v>
      </c>
    </row>
    <row r="58" spans="1:72" x14ac:dyDescent="0.3">
      <c r="A58" s="56">
        <v>176</v>
      </c>
      <c r="B58" s="56">
        <v>15</v>
      </c>
      <c r="C58" s="109">
        <f t="shared" si="39"/>
        <v>44737.1875</v>
      </c>
      <c r="D58" s="101">
        <f t="shared" si="36"/>
        <v>0.25</v>
      </c>
      <c r="E58" s="102">
        <f t="shared" si="37"/>
        <v>13.75</v>
      </c>
      <c r="F58" s="91">
        <f t="shared" si="38"/>
        <v>13.75</v>
      </c>
      <c r="G58" s="26" t="s">
        <v>17</v>
      </c>
      <c r="H58" s="26" t="s">
        <v>17</v>
      </c>
      <c r="I58" s="26" t="s">
        <v>17</v>
      </c>
      <c r="J58" s="26" t="s">
        <v>18</v>
      </c>
      <c r="K58" s="107" t="s">
        <v>13</v>
      </c>
      <c r="L58" s="26" t="s">
        <v>17</v>
      </c>
      <c r="M58" s="26" t="s">
        <v>17</v>
      </c>
      <c r="N58" s="26" t="s">
        <v>17</v>
      </c>
      <c r="O58" s="107" t="s">
        <v>53</v>
      </c>
      <c r="P58" s="107" t="s">
        <v>14</v>
      </c>
      <c r="Q58" s="26" t="s">
        <v>17</v>
      </c>
      <c r="R58" s="26" t="s">
        <v>17</v>
      </c>
      <c r="S58" s="26" t="s">
        <v>17</v>
      </c>
      <c r="T58" s="26" t="s">
        <v>18</v>
      </c>
      <c r="U58" s="107" t="s">
        <v>54</v>
      </c>
      <c r="V58" s="26" t="s">
        <v>17</v>
      </c>
      <c r="W58" s="26" t="s">
        <v>17</v>
      </c>
      <c r="X58" s="26" t="s">
        <v>17</v>
      </c>
      <c r="Y58" s="26" t="s">
        <v>17</v>
      </c>
      <c r="Z58" s="107" t="s">
        <v>14</v>
      </c>
      <c r="AA58" s="26" t="s">
        <v>17</v>
      </c>
      <c r="AB58" s="26" t="s">
        <v>17</v>
      </c>
      <c r="AC58" s="107" t="s">
        <v>14</v>
      </c>
      <c r="AD58" s="107" t="s">
        <v>53</v>
      </c>
      <c r="AE58" s="107" t="s">
        <v>14</v>
      </c>
      <c r="AF58" s="26" t="s">
        <v>17</v>
      </c>
      <c r="AG58" s="26" t="s">
        <v>17</v>
      </c>
      <c r="AH58" s="26" t="s">
        <v>17</v>
      </c>
      <c r="AI58" s="26" t="s">
        <v>18</v>
      </c>
      <c r="AJ58" s="107" t="s">
        <v>13</v>
      </c>
      <c r="AK58" s="26" t="s">
        <v>17</v>
      </c>
      <c r="AL58" s="26" t="s">
        <v>17</v>
      </c>
      <c r="AM58" s="26" t="s">
        <v>18</v>
      </c>
      <c r="AN58" s="107" t="s">
        <v>53</v>
      </c>
      <c r="AO58" s="107" t="s">
        <v>13</v>
      </c>
      <c r="AP58" s="26" t="s">
        <v>17</v>
      </c>
      <c r="AQ58" s="26" t="s">
        <v>17</v>
      </c>
      <c r="AR58" s="26" t="s">
        <v>17</v>
      </c>
      <c r="AS58" s="107" t="s">
        <v>14</v>
      </c>
      <c r="AT58" s="107" t="s">
        <v>53</v>
      </c>
      <c r="AU58" s="26" t="s">
        <v>17</v>
      </c>
      <c r="AV58" s="26" t="s">
        <v>17</v>
      </c>
      <c r="AW58" s="26" t="s">
        <v>18</v>
      </c>
      <c r="AX58" s="107" t="s">
        <v>14</v>
      </c>
      <c r="AY58" s="107" t="s">
        <v>54</v>
      </c>
      <c r="AZ58" s="26" t="s">
        <v>17</v>
      </c>
      <c r="BA58" s="26" t="s">
        <v>17</v>
      </c>
      <c r="BB58" s="26" t="s">
        <v>17</v>
      </c>
      <c r="BC58" s="26" t="s">
        <v>18</v>
      </c>
      <c r="BD58" s="107" t="s">
        <v>13</v>
      </c>
      <c r="BE58">
        <v>13.75</v>
      </c>
      <c r="BF58" s="1">
        <f t="shared" si="11"/>
        <v>0</v>
      </c>
      <c r="BG58" s="1">
        <f t="shared" si="14"/>
        <v>0</v>
      </c>
      <c r="BH58" s="1">
        <f t="shared" si="3"/>
        <v>0</v>
      </c>
      <c r="BI58" s="1">
        <f t="shared" si="4"/>
        <v>0</v>
      </c>
      <c r="BJ58" s="1">
        <f t="shared" si="5"/>
        <v>0</v>
      </c>
      <c r="BK58" s="95">
        <f t="shared" si="31"/>
        <v>4</v>
      </c>
      <c r="BL58" s="95">
        <f t="shared" si="32"/>
        <v>6</v>
      </c>
      <c r="BN58" s="1">
        <f t="shared" si="6"/>
        <v>28</v>
      </c>
      <c r="BO58" s="1">
        <f t="shared" si="7"/>
        <v>6</v>
      </c>
      <c r="BP58" s="1">
        <f t="shared" si="8"/>
        <v>0</v>
      </c>
      <c r="BQ58" s="1">
        <f t="shared" si="9"/>
        <v>0</v>
      </c>
      <c r="BR58" s="1">
        <f t="shared" si="33"/>
        <v>0</v>
      </c>
      <c r="BS58" s="95">
        <f t="shared" si="34"/>
        <v>4</v>
      </c>
      <c r="BT58" s="95">
        <f t="shared" si="35"/>
        <v>2</v>
      </c>
    </row>
    <row r="59" spans="1:72" x14ac:dyDescent="0.3">
      <c r="A59" s="56">
        <v>176</v>
      </c>
      <c r="B59" s="56">
        <v>15</v>
      </c>
      <c r="C59" s="109">
        <f t="shared" si="39"/>
        <v>44737.4375</v>
      </c>
      <c r="D59" s="101">
        <f t="shared" si="36"/>
        <v>0.25</v>
      </c>
      <c r="E59" s="102">
        <f t="shared" si="37"/>
        <v>14</v>
      </c>
      <c r="F59" s="91">
        <f t="shared" si="38"/>
        <v>14</v>
      </c>
      <c r="G59" s="26" t="s">
        <v>17</v>
      </c>
      <c r="H59" s="26" t="s">
        <v>17</v>
      </c>
      <c r="I59" s="26" t="s">
        <v>17</v>
      </c>
      <c r="J59" s="26" t="s">
        <v>18</v>
      </c>
      <c r="K59" s="107" t="s">
        <v>13</v>
      </c>
      <c r="L59" s="26" t="s">
        <v>17</v>
      </c>
      <c r="M59" s="26" t="s">
        <v>17</v>
      </c>
      <c r="N59" s="26" t="s">
        <v>17</v>
      </c>
      <c r="O59" s="107" t="s">
        <v>53</v>
      </c>
      <c r="P59" s="107" t="s">
        <v>14</v>
      </c>
      <c r="Q59" s="26" t="s">
        <v>17</v>
      </c>
      <c r="R59" s="26" t="s">
        <v>17</v>
      </c>
      <c r="S59" s="26" t="s">
        <v>17</v>
      </c>
      <c r="T59" s="26" t="s">
        <v>18</v>
      </c>
      <c r="U59" s="107" t="s">
        <v>54</v>
      </c>
      <c r="V59" s="26" t="s">
        <v>17</v>
      </c>
      <c r="W59" s="26" t="s">
        <v>17</v>
      </c>
      <c r="X59" s="26" t="s">
        <v>17</v>
      </c>
      <c r="Y59" s="26" t="s">
        <v>17</v>
      </c>
      <c r="Z59" s="107" t="s">
        <v>14</v>
      </c>
      <c r="AA59" s="26" t="s">
        <v>17</v>
      </c>
      <c r="AB59" s="26" t="s">
        <v>17</v>
      </c>
      <c r="AC59" s="107" t="s">
        <v>14</v>
      </c>
      <c r="AD59" s="107" t="s">
        <v>53</v>
      </c>
      <c r="AE59" s="107" t="s">
        <v>14</v>
      </c>
      <c r="AF59" s="26" t="s">
        <v>17</v>
      </c>
      <c r="AG59" s="26" t="s">
        <v>17</v>
      </c>
      <c r="AH59" s="26" t="s">
        <v>17</v>
      </c>
      <c r="AI59" s="26" t="s">
        <v>18</v>
      </c>
      <c r="AJ59" s="107" t="s">
        <v>13</v>
      </c>
      <c r="AK59" s="26" t="s">
        <v>17</v>
      </c>
      <c r="AL59" s="26" t="s">
        <v>17</v>
      </c>
      <c r="AM59" s="26" t="s">
        <v>18</v>
      </c>
      <c r="AN59" s="107" t="s">
        <v>53</v>
      </c>
      <c r="AO59" s="107" t="s">
        <v>13</v>
      </c>
      <c r="AP59" s="26" t="s">
        <v>17</v>
      </c>
      <c r="AQ59" s="26" t="s">
        <v>17</v>
      </c>
      <c r="AR59" s="26" t="s">
        <v>17</v>
      </c>
      <c r="AS59" s="107" t="s">
        <v>14</v>
      </c>
      <c r="AT59" s="107" t="s">
        <v>53</v>
      </c>
      <c r="AU59" s="26" t="s">
        <v>17</v>
      </c>
      <c r="AV59" s="26" t="s">
        <v>17</v>
      </c>
      <c r="AW59" s="26" t="s">
        <v>18</v>
      </c>
      <c r="AX59" s="107" t="s">
        <v>14</v>
      </c>
      <c r="AY59" s="107" t="s">
        <v>54</v>
      </c>
      <c r="AZ59" s="26" t="s">
        <v>17</v>
      </c>
      <c r="BA59" s="26" t="s">
        <v>17</v>
      </c>
      <c r="BB59" s="26" t="s">
        <v>17</v>
      </c>
      <c r="BC59" s="26" t="s">
        <v>18</v>
      </c>
      <c r="BD59" s="107" t="s">
        <v>13</v>
      </c>
      <c r="BE59">
        <v>14</v>
      </c>
      <c r="BF59" s="1">
        <f t="shared" si="11"/>
        <v>0</v>
      </c>
      <c r="BG59" s="1">
        <f t="shared" si="14"/>
        <v>0</v>
      </c>
      <c r="BH59" s="1">
        <f t="shared" si="3"/>
        <v>0</v>
      </c>
      <c r="BI59" s="1">
        <f t="shared" si="4"/>
        <v>0</v>
      </c>
      <c r="BJ59" s="1">
        <f t="shared" si="5"/>
        <v>0</v>
      </c>
      <c r="BK59" s="95">
        <f t="shared" si="31"/>
        <v>4</v>
      </c>
      <c r="BL59" s="95">
        <f t="shared" si="32"/>
        <v>6</v>
      </c>
      <c r="BN59" s="1">
        <f t="shared" si="6"/>
        <v>28</v>
      </c>
      <c r="BO59" s="1">
        <f t="shared" si="7"/>
        <v>6</v>
      </c>
      <c r="BP59" s="1">
        <f t="shared" si="8"/>
        <v>0</v>
      </c>
      <c r="BQ59" s="1">
        <f t="shared" si="9"/>
        <v>0</v>
      </c>
      <c r="BR59" s="1">
        <f t="shared" si="33"/>
        <v>0</v>
      </c>
      <c r="BS59" s="95">
        <f t="shared" si="34"/>
        <v>4</v>
      </c>
      <c r="BT59" s="95">
        <f t="shared" si="35"/>
        <v>2</v>
      </c>
    </row>
    <row r="60" spans="1:72" x14ac:dyDescent="0.3">
      <c r="A60" s="56">
        <v>176</v>
      </c>
      <c r="B60" s="56">
        <v>15</v>
      </c>
      <c r="C60" s="109">
        <f t="shared" si="39"/>
        <v>44737.6875</v>
      </c>
      <c r="D60" s="101">
        <f t="shared" si="36"/>
        <v>0.25</v>
      </c>
      <c r="E60" s="102">
        <f t="shared" si="37"/>
        <v>14.25</v>
      </c>
      <c r="F60" s="91">
        <f t="shared" si="38"/>
        <v>14.25</v>
      </c>
      <c r="G60" s="26" t="s">
        <v>17</v>
      </c>
      <c r="H60" s="26" t="s">
        <v>17</v>
      </c>
      <c r="I60" s="26" t="s">
        <v>17</v>
      </c>
      <c r="J60" s="26" t="s">
        <v>18</v>
      </c>
      <c r="K60" s="107" t="s">
        <v>13</v>
      </c>
      <c r="L60" s="26" t="s">
        <v>17</v>
      </c>
      <c r="M60" s="26" t="s">
        <v>17</v>
      </c>
      <c r="N60" s="26" t="s">
        <v>17</v>
      </c>
      <c r="O60" s="107" t="s">
        <v>53</v>
      </c>
      <c r="P60" s="107" t="s">
        <v>14</v>
      </c>
      <c r="Q60" s="26" t="s">
        <v>17</v>
      </c>
      <c r="R60" s="26" t="s">
        <v>17</v>
      </c>
      <c r="S60" s="26" t="s">
        <v>17</v>
      </c>
      <c r="T60" s="26" t="s">
        <v>18</v>
      </c>
      <c r="U60" s="107" t="s">
        <v>54</v>
      </c>
      <c r="V60" s="26" t="s">
        <v>17</v>
      </c>
      <c r="W60" s="26" t="s">
        <v>17</v>
      </c>
      <c r="X60" s="26" t="s">
        <v>17</v>
      </c>
      <c r="Y60" s="26" t="s">
        <v>17</v>
      </c>
      <c r="Z60" s="107" t="s">
        <v>14</v>
      </c>
      <c r="AA60" s="26" t="s">
        <v>17</v>
      </c>
      <c r="AB60" s="26" t="s">
        <v>17</v>
      </c>
      <c r="AC60" s="107" t="s">
        <v>14</v>
      </c>
      <c r="AD60" s="107" t="s">
        <v>53</v>
      </c>
      <c r="AE60" s="107" t="s">
        <v>14</v>
      </c>
      <c r="AF60" s="26" t="s">
        <v>17</v>
      </c>
      <c r="AG60" s="26" t="s">
        <v>17</v>
      </c>
      <c r="AH60" s="26" t="s">
        <v>17</v>
      </c>
      <c r="AI60" s="26" t="s">
        <v>18</v>
      </c>
      <c r="AJ60" s="107" t="s">
        <v>13</v>
      </c>
      <c r="AK60" s="26" t="s">
        <v>17</v>
      </c>
      <c r="AL60" s="26" t="s">
        <v>17</v>
      </c>
      <c r="AM60" s="26" t="s">
        <v>18</v>
      </c>
      <c r="AN60" s="107" t="s">
        <v>53</v>
      </c>
      <c r="AO60" s="107" t="s">
        <v>13</v>
      </c>
      <c r="AP60" s="26" t="s">
        <v>17</v>
      </c>
      <c r="AQ60" s="26" t="s">
        <v>17</v>
      </c>
      <c r="AR60" s="26" t="s">
        <v>17</v>
      </c>
      <c r="AS60" s="107" t="s">
        <v>14</v>
      </c>
      <c r="AT60" s="107" t="s">
        <v>53</v>
      </c>
      <c r="AU60" s="26" t="s">
        <v>17</v>
      </c>
      <c r="AV60" s="26" t="s">
        <v>17</v>
      </c>
      <c r="AW60" s="26" t="s">
        <v>18</v>
      </c>
      <c r="AX60" s="107" t="s">
        <v>14</v>
      </c>
      <c r="AY60" s="107" t="s">
        <v>54</v>
      </c>
      <c r="AZ60" s="26" t="s">
        <v>17</v>
      </c>
      <c r="BA60" s="26" t="s">
        <v>17</v>
      </c>
      <c r="BB60" s="26" t="s">
        <v>17</v>
      </c>
      <c r="BC60" s="26" t="s">
        <v>18</v>
      </c>
      <c r="BD60" s="107" t="s">
        <v>13</v>
      </c>
      <c r="BE60">
        <v>14.25</v>
      </c>
      <c r="BF60" s="1">
        <f t="shared" si="11"/>
        <v>0</v>
      </c>
      <c r="BG60" s="1">
        <f t="shared" si="14"/>
        <v>0</v>
      </c>
      <c r="BH60" s="1">
        <f t="shared" si="3"/>
        <v>0</v>
      </c>
      <c r="BI60" s="1">
        <f t="shared" si="4"/>
        <v>0</v>
      </c>
      <c r="BJ60" s="1">
        <f t="shared" si="5"/>
        <v>0</v>
      </c>
      <c r="BK60" s="95">
        <f t="shared" si="31"/>
        <v>4</v>
      </c>
      <c r="BL60" s="95">
        <f t="shared" si="32"/>
        <v>6</v>
      </c>
      <c r="BN60" s="1">
        <f t="shared" si="6"/>
        <v>28</v>
      </c>
      <c r="BO60" s="1">
        <f t="shared" si="7"/>
        <v>6</v>
      </c>
      <c r="BP60" s="1">
        <f t="shared" si="8"/>
        <v>0</v>
      </c>
      <c r="BQ60" s="1">
        <f t="shared" si="9"/>
        <v>0</v>
      </c>
      <c r="BR60" s="1">
        <f t="shared" si="33"/>
        <v>0</v>
      </c>
      <c r="BS60" s="95">
        <f t="shared" si="34"/>
        <v>4</v>
      </c>
      <c r="BT60" s="95">
        <f t="shared" si="35"/>
        <v>2</v>
      </c>
    </row>
    <row r="61" spans="1:72" x14ac:dyDescent="0.3">
      <c r="A61" s="56">
        <v>176</v>
      </c>
      <c r="B61" s="56">
        <v>15</v>
      </c>
      <c r="C61" s="109">
        <f t="shared" si="39"/>
        <v>44737.9375</v>
      </c>
      <c r="D61" s="101">
        <f t="shared" si="36"/>
        <v>0.25</v>
      </c>
      <c r="E61" s="102">
        <f t="shared" si="37"/>
        <v>14.5</v>
      </c>
      <c r="F61" s="91">
        <f t="shared" si="38"/>
        <v>14.5</v>
      </c>
      <c r="G61" s="26" t="s">
        <v>17</v>
      </c>
      <c r="H61" s="26" t="s">
        <v>17</v>
      </c>
      <c r="I61" s="26" t="s">
        <v>17</v>
      </c>
      <c r="J61" s="26" t="s">
        <v>18</v>
      </c>
      <c r="K61" s="107" t="s">
        <v>13</v>
      </c>
      <c r="L61" s="26" t="s">
        <v>17</v>
      </c>
      <c r="M61" s="26" t="s">
        <v>17</v>
      </c>
      <c r="N61" s="26" t="s">
        <v>17</v>
      </c>
      <c r="O61" s="107" t="s">
        <v>53</v>
      </c>
      <c r="P61" s="107" t="s">
        <v>14</v>
      </c>
      <c r="Q61" s="26" t="s">
        <v>17</v>
      </c>
      <c r="R61" s="26" t="s">
        <v>17</v>
      </c>
      <c r="S61" s="26" t="s">
        <v>17</v>
      </c>
      <c r="T61" s="26" t="s">
        <v>18</v>
      </c>
      <c r="U61" s="107" t="s">
        <v>54</v>
      </c>
      <c r="V61" s="26" t="s">
        <v>17</v>
      </c>
      <c r="W61" s="26" t="s">
        <v>17</v>
      </c>
      <c r="X61" s="26" t="s">
        <v>17</v>
      </c>
      <c r="Y61" s="26" t="s">
        <v>17</v>
      </c>
      <c r="Z61" s="107" t="s">
        <v>14</v>
      </c>
      <c r="AA61" s="26" t="s">
        <v>17</v>
      </c>
      <c r="AB61" s="26" t="s">
        <v>17</v>
      </c>
      <c r="AC61" s="107" t="s">
        <v>14</v>
      </c>
      <c r="AD61" s="107" t="s">
        <v>53</v>
      </c>
      <c r="AE61" s="107" t="s">
        <v>14</v>
      </c>
      <c r="AF61" s="26" t="s">
        <v>17</v>
      </c>
      <c r="AG61" s="26" t="s">
        <v>17</v>
      </c>
      <c r="AH61" s="26" t="s">
        <v>17</v>
      </c>
      <c r="AI61" s="26" t="s">
        <v>18</v>
      </c>
      <c r="AJ61" s="107" t="s">
        <v>53</v>
      </c>
      <c r="AK61" s="26" t="s">
        <v>17</v>
      </c>
      <c r="AL61" s="26" t="s">
        <v>17</v>
      </c>
      <c r="AM61" s="26" t="s">
        <v>18</v>
      </c>
      <c r="AN61" s="107" t="s">
        <v>53</v>
      </c>
      <c r="AO61" s="107" t="s">
        <v>13</v>
      </c>
      <c r="AP61" s="26" t="s">
        <v>17</v>
      </c>
      <c r="AQ61" s="26" t="s">
        <v>17</v>
      </c>
      <c r="AR61" s="26" t="s">
        <v>17</v>
      </c>
      <c r="AS61" s="107" t="s">
        <v>14</v>
      </c>
      <c r="AT61" s="107" t="s">
        <v>53</v>
      </c>
      <c r="AU61" s="26" t="s">
        <v>17</v>
      </c>
      <c r="AV61" s="26" t="s">
        <v>17</v>
      </c>
      <c r="AW61" s="26" t="s">
        <v>18</v>
      </c>
      <c r="AX61" s="107" t="s">
        <v>14</v>
      </c>
      <c r="AY61" s="107" t="s">
        <v>54</v>
      </c>
      <c r="AZ61" s="26" t="s">
        <v>17</v>
      </c>
      <c r="BA61" s="26" t="s">
        <v>17</v>
      </c>
      <c r="BB61" s="26" t="s">
        <v>17</v>
      </c>
      <c r="BC61" s="26" t="s">
        <v>18</v>
      </c>
      <c r="BD61" s="107" t="s">
        <v>13</v>
      </c>
      <c r="BE61">
        <v>14.5</v>
      </c>
      <c r="BF61" s="1">
        <f t="shared" si="11"/>
        <v>0</v>
      </c>
      <c r="BG61" s="1">
        <f t="shared" si="14"/>
        <v>0</v>
      </c>
      <c r="BH61" s="1">
        <f t="shared" si="3"/>
        <v>0</v>
      </c>
      <c r="BI61" s="1">
        <f t="shared" si="4"/>
        <v>0</v>
      </c>
      <c r="BJ61" s="1">
        <f t="shared" si="5"/>
        <v>0</v>
      </c>
      <c r="BK61" s="95">
        <f t="shared" si="31"/>
        <v>3</v>
      </c>
      <c r="BL61" s="95">
        <f t="shared" si="32"/>
        <v>6</v>
      </c>
      <c r="BN61" s="1">
        <f t="shared" si="6"/>
        <v>28</v>
      </c>
      <c r="BO61" s="1">
        <f t="shared" si="7"/>
        <v>6</v>
      </c>
      <c r="BP61" s="1">
        <f t="shared" si="8"/>
        <v>0</v>
      </c>
      <c r="BQ61" s="1">
        <f t="shared" si="9"/>
        <v>0</v>
      </c>
      <c r="BR61" s="1">
        <f t="shared" si="33"/>
        <v>0</v>
      </c>
      <c r="BS61" s="95">
        <f t="shared" si="34"/>
        <v>5</v>
      </c>
      <c r="BT61" s="95">
        <f t="shared" si="35"/>
        <v>2</v>
      </c>
    </row>
    <row r="62" spans="1:72" x14ac:dyDescent="0.3">
      <c r="A62" s="56">
        <v>177</v>
      </c>
      <c r="B62" s="56">
        <v>16</v>
      </c>
      <c r="C62" s="109">
        <f t="shared" si="39"/>
        <v>44738.1875</v>
      </c>
      <c r="D62" s="101">
        <f t="shared" si="36"/>
        <v>0.25</v>
      </c>
      <c r="E62" s="102">
        <f t="shared" si="37"/>
        <v>14.75</v>
      </c>
      <c r="F62" s="91">
        <f t="shared" si="38"/>
        <v>14.75</v>
      </c>
      <c r="G62" s="26" t="s">
        <v>17</v>
      </c>
      <c r="H62" s="26" t="s">
        <v>17</v>
      </c>
      <c r="I62" s="26" t="s">
        <v>17</v>
      </c>
      <c r="J62" s="26" t="s">
        <v>18</v>
      </c>
      <c r="K62" s="107" t="s">
        <v>13</v>
      </c>
      <c r="L62" s="26" t="s">
        <v>17</v>
      </c>
      <c r="M62" s="26" t="s">
        <v>17</v>
      </c>
      <c r="N62" s="26" t="s">
        <v>17</v>
      </c>
      <c r="O62" s="107" t="s">
        <v>53</v>
      </c>
      <c r="P62" s="107" t="s">
        <v>14</v>
      </c>
      <c r="Q62" s="26" t="s">
        <v>17</v>
      </c>
      <c r="R62" s="26" t="s">
        <v>17</v>
      </c>
      <c r="S62" s="26" t="s">
        <v>17</v>
      </c>
      <c r="T62" s="26" t="s">
        <v>18</v>
      </c>
      <c r="U62" s="107" t="s">
        <v>54</v>
      </c>
      <c r="V62" s="26" t="s">
        <v>17</v>
      </c>
      <c r="W62" s="26" t="s">
        <v>17</v>
      </c>
      <c r="X62" s="26" t="s">
        <v>17</v>
      </c>
      <c r="Y62" s="26" t="s">
        <v>17</v>
      </c>
      <c r="Z62" s="107" t="s">
        <v>14</v>
      </c>
      <c r="AA62" s="26" t="s">
        <v>17</v>
      </c>
      <c r="AB62" s="26" t="s">
        <v>17</v>
      </c>
      <c r="AC62" s="107" t="s">
        <v>14</v>
      </c>
      <c r="AD62" s="107" t="s">
        <v>53</v>
      </c>
      <c r="AE62" s="107" t="s">
        <v>14</v>
      </c>
      <c r="AF62" s="26" t="s">
        <v>17</v>
      </c>
      <c r="AG62" s="26" t="s">
        <v>17</v>
      </c>
      <c r="AH62" s="26" t="s">
        <v>17</v>
      </c>
      <c r="AI62" s="26" t="s">
        <v>18</v>
      </c>
      <c r="AJ62" s="107" t="s">
        <v>53</v>
      </c>
      <c r="AK62" s="26" t="s">
        <v>17</v>
      </c>
      <c r="AL62" s="26" t="s">
        <v>17</v>
      </c>
      <c r="AM62" s="26" t="s">
        <v>18</v>
      </c>
      <c r="AN62" s="107" t="s">
        <v>53</v>
      </c>
      <c r="AO62" s="107" t="s">
        <v>13</v>
      </c>
      <c r="AP62" s="26" t="s">
        <v>17</v>
      </c>
      <c r="AQ62" s="26" t="s">
        <v>17</v>
      </c>
      <c r="AR62" s="26" t="s">
        <v>17</v>
      </c>
      <c r="AS62" s="107" t="s">
        <v>14</v>
      </c>
      <c r="AT62" s="107" t="s">
        <v>53</v>
      </c>
      <c r="AU62" s="26" t="s">
        <v>17</v>
      </c>
      <c r="AV62" s="26" t="s">
        <v>17</v>
      </c>
      <c r="AW62" s="26" t="s">
        <v>18</v>
      </c>
      <c r="AX62" s="107" t="s">
        <v>14</v>
      </c>
      <c r="AY62" s="107" t="s">
        <v>54</v>
      </c>
      <c r="AZ62" s="26" t="s">
        <v>17</v>
      </c>
      <c r="BA62" s="26" t="s">
        <v>17</v>
      </c>
      <c r="BB62" s="26" t="s">
        <v>17</v>
      </c>
      <c r="BC62" s="26" t="s">
        <v>18</v>
      </c>
      <c r="BD62" s="107" t="s">
        <v>13</v>
      </c>
      <c r="BE62">
        <v>14.75</v>
      </c>
      <c r="BF62" s="1">
        <f t="shared" si="11"/>
        <v>0</v>
      </c>
      <c r="BG62" s="1">
        <f t="shared" si="14"/>
        <v>0</v>
      </c>
      <c r="BH62" s="1">
        <f t="shared" si="3"/>
        <v>0</v>
      </c>
      <c r="BI62" s="1">
        <f t="shared" si="4"/>
        <v>0</v>
      </c>
      <c r="BJ62" s="1">
        <f t="shared" si="5"/>
        <v>0</v>
      </c>
      <c r="BK62" s="95">
        <f t="shared" si="31"/>
        <v>3</v>
      </c>
      <c r="BL62" s="95">
        <f t="shared" si="32"/>
        <v>6</v>
      </c>
      <c r="BN62" s="1">
        <f t="shared" si="6"/>
        <v>28</v>
      </c>
      <c r="BO62" s="1">
        <f t="shared" si="7"/>
        <v>6</v>
      </c>
      <c r="BP62" s="1">
        <f t="shared" si="8"/>
        <v>0</v>
      </c>
      <c r="BQ62" s="1">
        <f t="shared" si="9"/>
        <v>0</v>
      </c>
      <c r="BR62" s="1">
        <f t="shared" si="33"/>
        <v>0</v>
      </c>
      <c r="BS62" s="95">
        <f t="shared" si="34"/>
        <v>5</v>
      </c>
      <c r="BT62" s="95">
        <f t="shared" si="35"/>
        <v>2</v>
      </c>
    </row>
    <row r="63" spans="1:72" x14ac:dyDescent="0.3">
      <c r="A63" s="56">
        <v>177</v>
      </c>
      <c r="B63" s="56">
        <v>16</v>
      </c>
      <c r="C63" s="109">
        <f t="shared" si="39"/>
        <v>44738.4375</v>
      </c>
      <c r="D63" s="101">
        <f t="shared" si="36"/>
        <v>0.25</v>
      </c>
      <c r="E63" s="102">
        <f t="shared" si="37"/>
        <v>15</v>
      </c>
      <c r="F63" s="91">
        <f t="shared" si="38"/>
        <v>15</v>
      </c>
      <c r="G63" s="26" t="s">
        <v>17</v>
      </c>
      <c r="H63" s="26" t="s">
        <v>17</v>
      </c>
      <c r="I63" s="26" t="s">
        <v>17</v>
      </c>
      <c r="J63" s="26" t="s">
        <v>18</v>
      </c>
      <c r="K63" s="107" t="s">
        <v>13</v>
      </c>
      <c r="L63" s="26" t="s">
        <v>17</v>
      </c>
      <c r="M63" s="26" t="s">
        <v>17</v>
      </c>
      <c r="N63" s="26" t="s">
        <v>17</v>
      </c>
      <c r="O63" s="107" t="s">
        <v>53</v>
      </c>
      <c r="P63" s="107" t="s">
        <v>14</v>
      </c>
      <c r="Q63" s="26" t="s">
        <v>17</v>
      </c>
      <c r="R63" s="26" t="s">
        <v>17</v>
      </c>
      <c r="S63" s="26" t="s">
        <v>17</v>
      </c>
      <c r="T63" s="26" t="s">
        <v>18</v>
      </c>
      <c r="U63" s="107" t="s">
        <v>54</v>
      </c>
      <c r="V63" s="26" t="s">
        <v>17</v>
      </c>
      <c r="W63" s="26" t="s">
        <v>17</v>
      </c>
      <c r="X63" s="26" t="s">
        <v>17</v>
      </c>
      <c r="Y63" s="26" t="s">
        <v>17</v>
      </c>
      <c r="Z63" s="107" t="s">
        <v>14</v>
      </c>
      <c r="AA63" s="26" t="s">
        <v>17</v>
      </c>
      <c r="AB63" s="26" t="s">
        <v>17</v>
      </c>
      <c r="AC63" s="107" t="s">
        <v>14</v>
      </c>
      <c r="AD63" s="107" t="s">
        <v>53</v>
      </c>
      <c r="AE63" s="107" t="s">
        <v>14</v>
      </c>
      <c r="AF63" s="26" t="s">
        <v>17</v>
      </c>
      <c r="AG63" s="26" t="s">
        <v>17</v>
      </c>
      <c r="AH63" s="26" t="s">
        <v>17</v>
      </c>
      <c r="AI63" s="26" t="s">
        <v>18</v>
      </c>
      <c r="AJ63" s="107" t="s">
        <v>53</v>
      </c>
      <c r="AK63" s="26" t="s">
        <v>17</v>
      </c>
      <c r="AL63" s="26" t="s">
        <v>17</v>
      </c>
      <c r="AM63" s="26" t="s">
        <v>18</v>
      </c>
      <c r="AN63" s="107" t="s">
        <v>53</v>
      </c>
      <c r="AO63" s="107" t="s">
        <v>13</v>
      </c>
      <c r="AP63" s="26" t="s">
        <v>17</v>
      </c>
      <c r="AQ63" s="26" t="s">
        <v>17</v>
      </c>
      <c r="AR63" s="26" t="s">
        <v>17</v>
      </c>
      <c r="AS63" s="107" t="s">
        <v>14</v>
      </c>
      <c r="AT63" s="107" t="s">
        <v>53</v>
      </c>
      <c r="AU63" s="26" t="s">
        <v>17</v>
      </c>
      <c r="AV63" s="26" t="s">
        <v>17</v>
      </c>
      <c r="AW63" s="26" t="s">
        <v>18</v>
      </c>
      <c r="AX63" s="107" t="s">
        <v>14</v>
      </c>
      <c r="AY63" s="107" t="s">
        <v>54</v>
      </c>
      <c r="AZ63" s="26" t="s">
        <v>17</v>
      </c>
      <c r="BA63" s="26" t="s">
        <v>17</v>
      </c>
      <c r="BB63" s="26" t="s">
        <v>17</v>
      </c>
      <c r="BC63" s="26" t="s">
        <v>18</v>
      </c>
      <c r="BD63" s="107" t="s">
        <v>13</v>
      </c>
      <c r="BE63">
        <v>15</v>
      </c>
      <c r="BF63" s="1">
        <f t="shared" si="11"/>
        <v>0</v>
      </c>
      <c r="BG63" s="1">
        <f t="shared" si="14"/>
        <v>0</v>
      </c>
      <c r="BH63" s="1">
        <f t="shared" si="3"/>
        <v>0</v>
      </c>
      <c r="BI63" s="1">
        <f t="shared" si="4"/>
        <v>0</v>
      </c>
      <c r="BJ63" s="1">
        <f t="shared" si="5"/>
        <v>0</v>
      </c>
      <c r="BK63" s="95">
        <f t="shared" si="31"/>
        <v>3</v>
      </c>
      <c r="BL63" s="95">
        <f t="shared" si="32"/>
        <v>6</v>
      </c>
      <c r="BN63" s="1">
        <f t="shared" si="6"/>
        <v>28</v>
      </c>
      <c r="BO63" s="1">
        <f t="shared" si="7"/>
        <v>6</v>
      </c>
      <c r="BP63" s="1">
        <f t="shared" si="8"/>
        <v>0</v>
      </c>
      <c r="BQ63" s="1">
        <f t="shared" si="9"/>
        <v>0</v>
      </c>
      <c r="BR63" s="1">
        <f t="shared" si="33"/>
        <v>0</v>
      </c>
      <c r="BS63" s="95">
        <f t="shared" si="34"/>
        <v>5</v>
      </c>
      <c r="BT63" s="95">
        <f t="shared" si="35"/>
        <v>2</v>
      </c>
    </row>
    <row r="64" spans="1:72" x14ac:dyDescent="0.3">
      <c r="A64" s="56">
        <v>177</v>
      </c>
      <c r="B64" s="56">
        <v>16</v>
      </c>
      <c r="C64" s="109">
        <f t="shared" si="39"/>
        <v>44738.6875</v>
      </c>
      <c r="D64" s="101">
        <f t="shared" si="36"/>
        <v>0.25</v>
      </c>
      <c r="E64" s="102">
        <f t="shared" si="37"/>
        <v>15.25</v>
      </c>
      <c r="F64" s="91">
        <f t="shared" si="38"/>
        <v>15.25</v>
      </c>
      <c r="G64" s="26" t="s">
        <v>17</v>
      </c>
      <c r="H64" s="26" t="s">
        <v>17</v>
      </c>
      <c r="I64" s="26" t="s">
        <v>17</v>
      </c>
      <c r="J64" s="26" t="s">
        <v>18</v>
      </c>
      <c r="K64" s="107" t="s">
        <v>13</v>
      </c>
      <c r="L64" s="26" t="s">
        <v>17</v>
      </c>
      <c r="M64" s="26" t="s">
        <v>17</v>
      </c>
      <c r="N64" s="26" t="s">
        <v>17</v>
      </c>
      <c r="O64" s="107" t="s">
        <v>53</v>
      </c>
      <c r="P64" s="107" t="s">
        <v>14</v>
      </c>
      <c r="Q64" s="26" t="s">
        <v>17</v>
      </c>
      <c r="R64" s="26" t="s">
        <v>17</v>
      </c>
      <c r="S64" s="26" t="s">
        <v>17</v>
      </c>
      <c r="T64" s="26" t="s">
        <v>18</v>
      </c>
      <c r="U64" s="107" t="s">
        <v>54</v>
      </c>
      <c r="V64" s="26" t="s">
        <v>17</v>
      </c>
      <c r="W64" s="26" t="s">
        <v>17</v>
      </c>
      <c r="X64" s="26" t="s">
        <v>17</v>
      </c>
      <c r="Y64" s="26" t="s">
        <v>17</v>
      </c>
      <c r="Z64" s="107" t="s">
        <v>14</v>
      </c>
      <c r="AA64" s="26" t="s">
        <v>17</v>
      </c>
      <c r="AB64" s="26" t="s">
        <v>17</v>
      </c>
      <c r="AC64" s="107" t="s">
        <v>14</v>
      </c>
      <c r="AD64" s="107" t="s">
        <v>53</v>
      </c>
      <c r="AE64" s="107" t="s">
        <v>14</v>
      </c>
      <c r="AF64" s="26" t="s">
        <v>17</v>
      </c>
      <c r="AG64" s="26" t="s">
        <v>17</v>
      </c>
      <c r="AH64" s="26" t="s">
        <v>17</v>
      </c>
      <c r="AI64" s="26" t="s">
        <v>18</v>
      </c>
      <c r="AJ64" s="107" t="s">
        <v>53</v>
      </c>
      <c r="AK64" s="26" t="s">
        <v>17</v>
      </c>
      <c r="AL64" s="26" t="s">
        <v>17</v>
      </c>
      <c r="AM64" s="26" t="s">
        <v>18</v>
      </c>
      <c r="AN64" s="107" t="s">
        <v>53</v>
      </c>
      <c r="AO64" s="107" t="s">
        <v>13</v>
      </c>
      <c r="AP64" s="26" t="s">
        <v>17</v>
      </c>
      <c r="AQ64" s="26" t="s">
        <v>17</v>
      </c>
      <c r="AR64" s="26" t="s">
        <v>17</v>
      </c>
      <c r="AS64" s="107" t="s">
        <v>14</v>
      </c>
      <c r="AT64" s="107" t="s">
        <v>53</v>
      </c>
      <c r="AU64" s="26" t="s">
        <v>17</v>
      </c>
      <c r="AV64" s="26" t="s">
        <v>17</v>
      </c>
      <c r="AW64" s="26" t="s">
        <v>18</v>
      </c>
      <c r="AX64" s="107" t="s">
        <v>14</v>
      </c>
      <c r="AY64" s="107" t="s">
        <v>54</v>
      </c>
      <c r="AZ64" s="26" t="s">
        <v>17</v>
      </c>
      <c r="BA64" s="26" t="s">
        <v>17</v>
      </c>
      <c r="BB64" s="26" t="s">
        <v>17</v>
      </c>
      <c r="BC64" s="26" t="s">
        <v>18</v>
      </c>
      <c r="BD64" s="107" t="s">
        <v>53</v>
      </c>
      <c r="BE64">
        <v>15.25</v>
      </c>
      <c r="BF64" s="1">
        <f t="shared" si="11"/>
        <v>0</v>
      </c>
      <c r="BG64" s="1">
        <f t="shared" si="14"/>
        <v>0</v>
      </c>
      <c r="BH64" s="1">
        <f t="shared" si="3"/>
        <v>0</v>
      </c>
      <c r="BI64" s="1">
        <f t="shared" si="4"/>
        <v>0</v>
      </c>
      <c r="BJ64" s="1">
        <f t="shared" si="5"/>
        <v>0</v>
      </c>
      <c r="BK64" s="95">
        <f t="shared" si="31"/>
        <v>2</v>
      </c>
      <c r="BL64" s="95">
        <f t="shared" si="32"/>
        <v>6</v>
      </c>
      <c r="BN64" s="1">
        <f t="shared" si="6"/>
        <v>28</v>
      </c>
      <c r="BO64" s="1">
        <f t="shared" si="7"/>
        <v>6</v>
      </c>
      <c r="BP64" s="1">
        <f t="shared" si="8"/>
        <v>0</v>
      </c>
      <c r="BQ64" s="1">
        <f t="shared" si="9"/>
        <v>0</v>
      </c>
      <c r="BR64" s="1">
        <f t="shared" si="33"/>
        <v>0</v>
      </c>
      <c r="BS64" s="95">
        <f t="shared" si="34"/>
        <v>6</v>
      </c>
      <c r="BT64" s="95">
        <f t="shared" si="35"/>
        <v>2</v>
      </c>
    </row>
    <row r="65" spans="1:72" x14ac:dyDescent="0.3">
      <c r="A65" s="56">
        <v>177</v>
      </c>
      <c r="B65" s="56">
        <v>16</v>
      </c>
      <c r="C65" s="109">
        <f t="shared" si="39"/>
        <v>44738.9375</v>
      </c>
      <c r="D65" s="101">
        <f t="shared" si="36"/>
        <v>0.25</v>
      </c>
      <c r="E65" s="102">
        <f t="shared" si="37"/>
        <v>15.5</v>
      </c>
      <c r="F65" s="91">
        <f t="shared" si="38"/>
        <v>15.5</v>
      </c>
      <c r="G65" s="26" t="s">
        <v>17</v>
      </c>
      <c r="H65" s="26" t="s">
        <v>17</v>
      </c>
      <c r="I65" s="26" t="s">
        <v>17</v>
      </c>
      <c r="J65" s="26" t="s">
        <v>18</v>
      </c>
      <c r="K65" s="107" t="s">
        <v>13</v>
      </c>
      <c r="L65" s="26" t="s">
        <v>17</v>
      </c>
      <c r="M65" s="26" t="s">
        <v>17</v>
      </c>
      <c r="N65" s="26" t="s">
        <v>17</v>
      </c>
      <c r="O65" s="107" t="s">
        <v>53</v>
      </c>
      <c r="P65" s="107" t="s">
        <v>14</v>
      </c>
      <c r="Q65" s="26" t="s">
        <v>17</v>
      </c>
      <c r="R65" s="26" t="s">
        <v>17</v>
      </c>
      <c r="S65" s="26" t="s">
        <v>17</v>
      </c>
      <c r="T65" s="26" t="s">
        <v>18</v>
      </c>
      <c r="U65" s="107" t="s">
        <v>54</v>
      </c>
      <c r="V65" s="26" t="s">
        <v>17</v>
      </c>
      <c r="W65" s="26" t="s">
        <v>17</v>
      </c>
      <c r="X65" s="26" t="s">
        <v>17</v>
      </c>
      <c r="Y65" s="26" t="s">
        <v>17</v>
      </c>
      <c r="Z65" s="107" t="s">
        <v>14</v>
      </c>
      <c r="AA65" s="26" t="s">
        <v>17</v>
      </c>
      <c r="AB65" s="26" t="s">
        <v>17</v>
      </c>
      <c r="AC65" s="107" t="s">
        <v>54</v>
      </c>
      <c r="AD65" s="107" t="s">
        <v>53</v>
      </c>
      <c r="AE65" s="107" t="s">
        <v>14</v>
      </c>
      <c r="AF65" s="26" t="s">
        <v>17</v>
      </c>
      <c r="AG65" s="26" t="s">
        <v>17</v>
      </c>
      <c r="AH65" s="26" t="s">
        <v>17</v>
      </c>
      <c r="AI65" s="26" t="s">
        <v>18</v>
      </c>
      <c r="AJ65" s="107" t="s">
        <v>53</v>
      </c>
      <c r="AK65" s="26" t="s">
        <v>17</v>
      </c>
      <c r="AL65" s="26" t="s">
        <v>17</v>
      </c>
      <c r="AM65" s="26" t="s">
        <v>18</v>
      </c>
      <c r="AN65" s="107" t="s">
        <v>53</v>
      </c>
      <c r="AO65" s="107" t="s">
        <v>13</v>
      </c>
      <c r="AP65" s="26" t="s">
        <v>17</v>
      </c>
      <c r="AQ65" s="26" t="s">
        <v>17</v>
      </c>
      <c r="AR65" s="26" t="s">
        <v>17</v>
      </c>
      <c r="AS65" s="107" t="s">
        <v>14</v>
      </c>
      <c r="AT65" s="107" t="s">
        <v>53</v>
      </c>
      <c r="AU65" s="26" t="s">
        <v>17</v>
      </c>
      <c r="AV65" s="26" t="s">
        <v>17</v>
      </c>
      <c r="AW65" s="26" t="s">
        <v>18</v>
      </c>
      <c r="AX65" s="107" t="s">
        <v>54</v>
      </c>
      <c r="AY65" s="107" t="s">
        <v>54</v>
      </c>
      <c r="AZ65" s="26" t="s">
        <v>17</v>
      </c>
      <c r="BA65" s="26" t="s">
        <v>17</v>
      </c>
      <c r="BB65" s="26" t="s">
        <v>17</v>
      </c>
      <c r="BC65" s="26" t="s">
        <v>18</v>
      </c>
      <c r="BD65" s="107" t="s">
        <v>53</v>
      </c>
      <c r="BE65">
        <v>15.5</v>
      </c>
      <c r="BF65" s="1">
        <f t="shared" si="11"/>
        <v>0</v>
      </c>
      <c r="BG65" s="1">
        <f t="shared" si="14"/>
        <v>0</v>
      </c>
      <c r="BH65" s="1">
        <f t="shared" si="3"/>
        <v>0</v>
      </c>
      <c r="BI65" s="1">
        <f t="shared" si="4"/>
        <v>0</v>
      </c>
      <c r="BJ65" s="1">
        <f t="shared" si="5"/>
        <v>0</v>
      </c>
      <c r="BK65" s="95">
        <f t="shared" si="31"/>
        <v>2</v>
      </c>
      <c r="BL65" s="95">
        <f t="shared" si="32"/>
        <v>4</v>
      </c>
      <c r="BN65" s="1">
        <f t="shared" si="6"/>
        <v>28</v>
      </c>
      <c r="BO65" s="1">
        <f t="shared" si="7"/>
        <v>6</v>
      </c>
      <c r="BP65" s="1">
        <f t="shared" si="8"/>
        <v>0</v>
      </c>
      <c r="BQ65" s="1">
        <f t="shared" si="9"/>
        <v>0</v>
      </c>
      <c r="BR65" s="1">
        <f t="shared" si="33"/>
        <v>0</v>
      </c>
      <c r="BS65" s="95">
        <f t="shared" si="34"/>
        <v>6</v>
      </c>
      <c r="BT65" s="95">
        <f t="shared" si="35"/>
        <v>4</v>
      </c>
    </row>
    <row r="66" spans="1:72" x14ac:dyDescent="0.3">
      <c r="A66" s="56">
        <v>178</v>
      </c>
      <c r="B66" s="56">
        <v>17</v>
      </c>
      <c r="C66" s="109">
        <f t="shared" si="39"/>
        <v>44739.1875</v>
      </c>
      <c r="D66" s="101">
        <f t="shared" si="36"/>
        <v>0.25</v>
      </c>
      <c r="E66" s="102">
        <f t="shared" si="37"/>
        <v>15.75</v>
      </c>
      <c r="F66" s="91">
        <f t="shared" si="38"/>
        <v>15.75</v>
      </c>
      <c r="G66" s="26" t="s">
        <v>17</v>
      </c>
      <c r="H66" s="26" t="s">
        <v>17</v>
      </c>
      <c r="I66" s="26" t="s">
        <v>17</v>
      </c>
      <c r="J66" s="26" t="s">
        <v>18</v>
      </c>
      <c r="K66" s="107" t="s">
        <v>53</v>
      </c>
      <c r="L66" s="26" t="s">
        <v>17</v>
      </c>
      <c r="M66" s="26" t="s">
        <v>17</v>
      </c>
      <c r="N66" s="26" t="s">
        <v>17</v>
      </c>
      <c r="O66" s="107" t="s">
        <v>53</v>
      </c>
      <c r="P66" s="107" t="s">
        <v>14</v>
      </c>
      <c r="Q66" s="26" t="s">
        <v>17</v>
      </c>
      <c r="R66" s="26" t="s">
        <v>17</v>
      </c>
      <c r="S66" s="26" t="s">
        <v>17</v>
      </c>
      <c r="T66" s="26" t="s">
        <v>18</v>
      </c>
      <c r="U66" s="107" t="s">
        <v>54</v>
      </c>
      <c r="V66" s="26" t="s">
        <v>17</v>
      </c>
      <c r="W66" s="26" t="s">
        <v>17</v>
      </c>
      <c r="X66" s="26" t="s">
        <v>17</v>
      </c>
      <c r="Y66" s="26" t="s">
        <v>17</v>
      </c>
      <c r="Z66" s="107" t="s">
        <v>14</v>
      </c>
      <c r="AA66" s="26" t="s">
        <v>17</v>
      </c>
      <c r="AB66" s="26" t="s">
        <v>17</v>
      </c>
      <c r="AC66" s="107" t="s">
        <v>54</v>
      </c>
      <c r="AD66" s="107" t="s">
        <v>53</v>
      </c>
      <c r="AE66" s="107" t="s">
        <v>14</v>
      </c>
      <c r="AF66" s="26" t="s">
        <v>17</v>
      </c>
      <c r="AG66" s="26" t="s">
        <v>17</v>
      </c>
      <c r="AH66" s="26" t="s">
        <v>17</v>
      </c>
      <c r="AI66" s="26" t="s">
        <v>18</v>
      </c>
      <c r="AJ66" s="107" t="s">
        <v>53</v>
      </c>
      <c r="AK66" s="26" t="s">
        <v>17</v>
      </c>
      <c r="AL66" s="26" t="s">
        <v>17</v>
      </c>
      <c r="AM66" s="26" t="s">
        <v>18</v>
      </c>
      <c r="AN66" s="107" t="s">
        <v>53</v>
      </c>
      <c r="AO66" s="107" t="s">
        <v>13</v>
      </c>
      <c r="AP66" s="26" t="s">
        <v>17</v>
      </c>
      <c r="AQ66" s="26" t="s">
        <v>17</v>
      </c>
      <c r="AR66" s="26" t="s">
        <v>17</v>
      </c>
      <c r="AS66" s="107" t="s">
        <v>14</v>
      </c>
      <c r="AT66" s="107" t="s">
        <v>53</v>
      </c>
      <c r="AU66" s="26" t="s">
        <v>17</v>
      </c>
      <c r="AV66" s="26" t="s">
        <v>17</v>
      </c>
      <c r="AW66" s="26" t="s">
        <v>18</v>
      </c>
      <c r="AX66" s="107" t="s">
        <v>54</v>
      </c>
      <c r="AY66" s="107" t="s">
        <v>54</v>
      </c>
      <c r="AZ66" s="26" t="s">
        <v>17</v>
      </c>
      <c r="BA66" s="26" t="s">
        <v>17</v>
      </c>
      <c r="BB66" s="26" t="s">
        <v>17</v>
      </c>
      <c r="BC66" s="26" t="s">
        <v>18</v>
      </c>
      <c r="BD66" s="107" t="s">
        <v>53</v>
      </c>
      <c r="BE66">
        <v>15.75</v>
      </c>
      <c r="BF66" s="1">
        <f t="shared" si="11"/>
        <v>0</v>
      </c>
      <c r="BG66" s="1">
        <f t="shared" si="14"/>
        <v>0</v>
      </c>
      <c r="BH66" s="1">
        <f t="shared" si="3"/>
        <v>0</v>
      </c>
      <c r="BI66" s="1">
        <f t="shared" si="4"/>
        <v>0</v>
      </c>
      <c r="BJ66" s="1">
        <f t="shared" si="5"/>
        <v>0</v>
      </c>
      <c r="BK66" s="95">
        <f t="shared" si="31"/>
        <v>1</v>
      </c>
      <c r="BL66" s="95">
        <f t="shared" si="32"/>
        <v>4</v>
      </c>
      <c r="BN66" s="1">
        <f t="shared" si="6"/>
        <v>28</v>
      </c>
      <c r="BO66" s="1">
        <f t="shared" si="7"/>
        <v>6</v>
      </c>
      <c r="BP66" s="1">
        <f t="shared" si="8"/>
        <v>0</v>
      </c>
      <c r="BQ66" s="1">
        <f t="shared" si="9"/>
        <v>0</v>
      </c>
      <c r="BR66" s="1">
        <f t="shared" si="33"/>
        <v>0</v>
      </c>
      <c r="BS66" s="95">
        <f t="shared" si="34"/>
        <v>7</v>
      </c>
      <c r="BT66" s="95">
        <f t="shared" si="35"/>
        <v>4</v>
      </c>
    </row>
    <row r="67" spans="1:72" x14ac:dyDescent="0.3">
      <c r="A67" s="56">
        <v>178</v>
      </c>
      <c r="B67" s="56">
        <v>17</v>
      </c>
      <c r="C67" s="109">
        <f t="shared" si="39"/>
        <v>44739.4375</v>
      </c>
      <c r="D67" s="101">
        <f t="shared" si="36"/>
        <v>0.25</v>
      </c>
      <c r="E67" s="102">
        <f t="shared" si="37"/>
        <v>16</v>
      </c>
      <c r="F67" s="91">
        <f t="shared" si="38"/>
        <v>16</v>
      </c>
      <c r="G67" s="26" t="s">
        <v>17</v>
      </c>
      <c r="H67" s="26" t="s">
        <v>17</v>
      </c>
      <c r="I67" s="26" t="s">
        <v>17</v>
      </c>
      <c r="J67" s="26" t="s">
        <v>18</v>
      </c>
      <c r="K67" s="107" t="s">
        <v>53</v>
      </c>
      <c r="L67" s="26" t="s">
        <v>17</v>
      </c>
      <c r="M67" s="26" t="s">
        <v>17</v>
      </c>
      <c r="N67" s="26" t="s">
        <v>17</v>
      </c>
      <c r="O67" s="107" t="s">
        <v>53</v>
      </c>
      <c r="P67" s="107" t="s">
        <v>14</v>
      </c>
      <c r="Q67" s="26" t="s">
        <v>17</v>
      </c>
      <c r="R67" s="26" t="s">
        <v>17</v>
      </c>
      <c r="S67" s="26" t="s">
        <v>17</v>
      </c>
      <c r="T67" s="26" t="s">
        <v>18</v>
      </c>
      <c r="U67" s="107" t="s">
        <v>54</v>
      </c>
      <c r="V67" s="26" t="s">
        <v>17</v>
      </c>
      <c r="W67" s="26" t="s">
        <v>17</v>
      </c>
      <c r="X67" s="26" t="s">
        <v>17</v>
      </c>
      <c r="Y67" s="26" t="s">
        <v>17</v>
      </c>
      <c r="Z67" s="107" t="s">
        <v>14</v>
      </c>
      <c r="AA67" s="26" t="s">
        <v>17</v>
      </c>
      <c r="AB67" s="26" t="s">
        <v>17</v>
      </c>
      <c r="AC67" s="107" t="s">
        <v>54</v>
      </c>
      <c r="AD67" s="107" t="s">
        <v>53</v>
      </c>
      <c r="AE67" s="107" t="s">
        <v>14</v>
      </c>
      <c r="AF67" s="26" t="s">
        <v>17</v>
      </c>
      <c r="AG67" s="26" t="s">
        <v>17</v>
      </c>
      <c r="AH67" s="26" t="s">
        <v>17</v>
      </c>
      <c r="AI67" s="26" t="s">
        <v>18</v>
      </c>
      <c r="AJ67" s="107" t="s">
        <v>53</v>
      </c>
      <c r="AK67" s="26" t="s">
        <v>17</v>
      </c>
      <c r="AL67" s="26" t="s">
        <v>17</v>
      </c>
      <c r="AM67" s="26" t="s">
        <v>18</v>
      </c>
      <c r="AN67" s="107" t="s">
        <v>53</v>
      </c>
      <c r="AO67" s="107" t="s">
        <v>13</v>
      </c>
      <c r="AP67" s="26" t="s">
        <v>17</v>
      </c>
      <c r="AQ67" s="26" t="s">
        <v>17</v>
      </c>
      <c r="AR67" s="26" t="s">
        <v>17</v>
      </c>
      <c r="AS67" s="107" t="s">
        <v>14</v>
      </c>
      <c r="AT67" s="107" t="s">
        <v>53</v>
      </c>
      <c r="AU67" s="26" t="s">
        <v>17</v>
      </c>
      <c r="AV67" s="26" t="s">
        <v>17</v>
      </c>
      <c r="AW67" s="26" t="s">
        <v>18</v>
      </c>
      <c r="AX67" s="107" t="s">
        <v>54</v>
      </c>
      <c r="AY67" s="107" t="s">
        <v>54</v>
      </c>
      <c r="AZ67" s="26" t="s">
        <v>17</v>
      </c>
      <c r="BA67" s="26" t="s">
        <v>17</v>
      </c>
      <c r="BB67" s="26" t="s">
        <v>17</v>
      </c>
      <c r="BC67" s="26" t="s">
        <v>18</v>
      </c>
      <c r="BD67" s="107" t="s">
        <v>53</v>
      </c>
      <c r="BE67">
        <v>16</v>
      </c>
      <c r="BF67" s="1">
        <f t="shared" si="11"/>
        <v>0</v>
      </c>
      <c r="BG67" s="1">
        <f t="shared" si="14"/>
        <v>0</v>
      </c>
      <c r="BH67" s="1">
        <f t="shared" si="3"/>
        <v>0</v>
      </c>
      <c r="BI67" s="1">
        <f t="shared" si="4"/>
        <v>0</v>
      </c>
      <c r="BJ67" s="1">
        <f t="shared" si="5"/>
        <v>0</v>
      </c>
      <c r="BK67" s="95">
        <f t="shared" si="31"/>
        <v>1</v>
      </c>
      <c r="BL67" s="95">
        <f t="shared" si="32"/>
        <v>4</v>
      </c>
      <c r="BN67" s="1">
        <f t="shared" si="6"/>
        <v>28</v>
      </c>
      <c r="BO67" s="1">
        <f t="shared" si="7"/>
        <v>6</v>
      </c>
      <c r="BP67" s="1">
        <f t="shared" si="8"/>
        <v>0</v>
      </c>
      <c r="BQ67" s="1">
        <f t="shared" si="9"/>
        <v>0</v>
      </c>
      <c r="BR67" s="1">
        <f t="shared" si="33"/>
        <v>0</v>
      </c>
      <c r="BS67" s="95">
        <f t="shared" si="34"/>
        <v>7</v>
      </c>
      <c r="BT67" s="95">
        <f t="shared" si="35"/>
        <v>4</v>
      </c>
    </row>
    <row r="68" spans="1:72" x14ac:dyDescent="0.3">
      <c r="A68" s="56">
        <v>178</v>
      </c>
      <c r="B68" s="56">
        <v>17</v>
      </c>
      <c r="C68" s="109">
        <f t="shared" si="39"/>
        <v>44739.6875</v>
      </c>
      <c r="D68" s="101">
        <f t="shared" si="36"/>
        <v>0.25</v>
      </c>
      <c r="E68" s="102">
        <f t="shared" si="37"/>
        <v>16.25</v>
      </c>
      <c r="F68" s="91">
        <f t="shared" si="38"/>
        <v>16.25</v>
      </c>
      <c r="G68" s="26" t="s">
        <v>17</v>
      </c>
      <c r="H68" s="26" t="s">
        <v>17</v>
      </c>
      <c r="I68" s="26" t="s">
        <v>17</v>
      </c>
      <c r="J68" s="26" t="s">
        <v>18</v>
      </c>
      <c r="K68" s="107" t="s">
        <v>53</v>
      </c>
      <c r="L68" s="26" t="s">
        <v>17</v>
      </c>
      <c r="M68" s="26" t="s">
        <v>17</v>
      </c>
      <c r="N68" s="26" t="s">
        <v>17</v>
      </c>
      <c r="O68" s="107" t="s">
        <v>53</v>
      </c>
      <c r="P68" s="107" t="s">
        <v>14</v>
      </c>
      <c r="Q68" s="26" t="s">
        <v>17</v>
      </c>
      <c r="R68" s="26" t="s">
        <v>17</v>
      </c>
      <c r="S68" s="26" t="s">
        <v>17</v>
      </c>
      <c r="T68" s="26" t="s">
        <v>18</v>
      </c>
      <c r="U68" s="107" t="s">
        <v>54</v>
      </c>
      <c r="V68" s="26" t="s">
        <v>17</v>
      </c>
      <c r="W68" s="26" t="s">
        <v>17</v>
      </c>
      <c r="X68" s="26" t="s">
        <v>17</v>
      </c>
      <c r="Y68" s="26" t="s">
        <v>17</v>
      </c>
      <c r="Z68" s="107" t="s">
        <v>54</v>
      </c>
      <c r="AA68" s="26" t="s">
        <v>17</v>
      </c>
      <c r="AB68" s="26" t="s">
        <v>17</v>
      </c>
      <c r="AC68" s="107" t="s">
        <v>54</v>
      </c>
      <c r="AD68" s="107" t="s">
        <v>53</v>
      </c>
      <c r="AE68" s="107" t="s">
        <v>14</v>
      </c>
      <c r="AF68" s="26" t="s">
        <v>17</v>
      </c>
      <c r="AG68" s="26" t="s">
        <v>17</v>
      </c>
      <c r="AH68" s="26" t="s">
        <v>17</v>
      </c>
      <c r="AI68" s="26" t="s">
        <v>18</v>
      </c>
      <c r="AJ68" s="107" t="s">
        <v>53</v>
      </c>
      <c r="AK68" s="26" t="s">
        <v>17</v>
      </c>
      <c r="AL68" s="26" t="s">
        <v>17</v>
      </c>
      <c r="AM68" s="26" t="s">
        <v>18</v>
      </c>
      <c r="AN68" s="107" t="s">
        <v>53</v>
      </c>
      <c r="AO68" s="107" t="s">
        <v>13</v>
      </c>
      <c r="AP68" s="26" t="s">
        <v>17</v>
      </c>
      <c r="AQ68" s="26" t="s">
        <v>17</v>
      </c>
      <c r="AR68" s="26" t="s">
        <v>17</v>
      </c>
      <c r="AS68" s="107" t="s">
        <v>54</v>
      </c>
      <c r="AT68" s="107" t="s">
        <v>53</v>
      </c>
      <c r="AU68" s="26" t="s">
        <v>17</v>
      </c>
      <c r="AV68" s="26" t="s">
        <v>17</v>
      </c>
      <c r="AW68" s="26" t="s">
        <v>18</v>
      </c>
      <c r="AX68" s="107" t="s">
        <v>54</v>
      </c>
      <c r="AY68" s="107" t="s">
        <v>54</v>
      </c>
      <c r="AZ68" s="26" t="s">
        <v>17</v>
      </c>
      <c r="BA68" s="26" t="s">
        <v>17</v>
      </c>
      <c r="BB68" s="26" t="s">
        <v>17</v>
      </c>
      <c r="BC68" s="26" t="s">
        <v>18</v>
      </c>
      <c r="BD68" s="107" t="s">
        <v>53</v>
      </c>
      <c r="BE68">
        <v>16.25</v>
      </c>
      <c r="BF68" s="1">
        <f t="shared" si="11"/>
        <v>0</v>
      </c>
      <c r="BG68" s="1">
        <f t="shared" si="14"/>
        <v>0</v>
      </c>
      <c r="BH68" s="1">
        <f t="shared" ref="BH68:BH79" si="40">COUNTIF($G68:$BD68, "L2")</f>
        <v>0</v>
      </c>
      <c r="BI68" s="1">
        <f t="shared" ref="BI68:BI79" si="41">COUNTIF($G68:$BD68, "L3")</f>
        <v>0</v>
      </c>
      <c r="BJ68" s="1">
        <f t="shared" ref="BJ68:BJ79" si="42">COUNTIF($G68:$BD68, "P")</f>
        <v>0</v>
      </c>
      <c r="BK68" s="95">
        <f t="shared" si="31"/>
        <v>1</v>
      </c>
      <c r="BL68" s="95">
        <f t="shared" si="32"/>
        <v>2</v>
      </c>
      <c r="BN68" s="1">
        <f t="shared" ref="BN68:BN79" si="43">COUNTIF($G68:$BD68, "E_D")</f>
        <v>28</v>
      </c>
      <c r="BO68" s="1">
        <f t="shared" ref="BO68:BO79" si="44">COUNTIF($G68:$BD68, "L1_D")</f>
        <v>6</v>
      </c>
      <c r="BP68" s="1">
        <f t="shared" ref="BP68:BP79" si="45">COUNTIF($G68:$BD68, "L2_D")</f>
        <v>0</v>
      </c>
      <c r="BQ68" s="1">
        <f t="shared" ref="BQ68:BQ79" si="46">COUNTIF($G68:$BD68, "L3_D")</f>
        <v>0</v>
      </c>
      <c r="BR68" s="1">
        <f t="shared" si="33"/>
        <v>0</v>
      </c>
      <c r="BS68" s="95">
        <f t="shared" si="34"/>
        <v>7</v>
      </c>
      <c r="BT68" s="95">
        <f t="shared" si="35"/>
        <v>6</v>
      </c>
    </row>
    <row r="69" spans="1:72" x14ac:dyDescent="0.3">
      <c r="A69" s="56">
        <v>178</v>
      </c>
      <c r="B69" s="56">
        <v>17</v>
      </c>
      <c r="C69" s="109">
        <f t="shared" si="39"/>
        <v>44739.9375</v>
      </c>
      <c r="D69" s="101">
        <f t="shared" si="36"/>
        <v>0.25</v>
      </c>
      <c r="E69" s="102">
        <f t="shared" si="37"/>
        <v>16.5</v>
      </c>
      <c r="F69" s="91">
        <f t="shared" si="38"/>
        <v>16.5</v>
      </c>
      <c r="G69" s="26" t="s">
        <v>17</v>
      </c>
      <c r="H69" s="26" t="s">
        <v>17</v>
      </c>
      <c r="I69" s="26" t="s">
        <v>17</v>
      </c>
      <c r="J69" s="26" t="s">
        <v>18</v>
      </c>
      <c r="K69" s="107" t="s">
        <v>53</v>
      </c>
      <c r="L69" s="26" t="s">
        <v>17</v>
      </c>
      <c r="M69" s="26" t="s">
        <v>17</v>
      </c>
      <c r="N69" s="26" t="s">
        <v>17</v>
      </c>
      <c r="O69" s="107" t="s">
        <v>53</v>
      </c>
      <c r="P69" s="107" t="s">
        <v>14</v>
      </c>
      <c r="Q69" s="26" t="s">
        <v>17</v>
      </c>
      <c r="R69" s="26" t="s">
        <v>17</v>
      </c>
      <c r="S69" s="26" t="s">
        <v>17</v>
      </c>
      <c r="T69" s="26" t="s">
        <v>18</v>
      </c>
      <c r="U69" s="107" t="s">
        <v>54</v>
      </c>
      <c r="V69" s="26" t="s">
        <v>17</v>
      </c>
      <c r="W69" s="26" t="s">
        <v>17</v>
      </c>
      <c r="X69" s="26" t="s">
        <v>17</v>
      </c>
      <c r="Y69" s="26" t="s">
        <v>17</v>
      </c>
      <c r="Z69" s="107" t="s">
        <v>54</v>
      </c>
      <c r="AA69" s="26" t="s">
        <v>17</v>
      </c>
      <c r="AB69" s="26" t="s">
        <v>17</v>
      </c>
      <c r="AC69" s="107" t="s">
        <v>54</v>
      </c>
      <c r="AD69" s="107" t="s">
        <v>53</v>
      </c>
      <c r="AE69" s="107" t="s">
        <v>54</v>
      </c>
      <c r="AF69" s="26" t="s">
        <v>17</v>
      </c>
      <c r="AG69" s="26" t="s">
        <v>17</v>
      </c>
      <c r="AH69" s="26" t="s">
        <v>17</v>
      </c>
      <c r="AI69" s="26" t="s">
        <v>18</v>
      </c>
      <c r="AJ69" s="107" t="s">
        <v>53</v>
      </c>
      <c r="AK69" s="26" t="s">
        <v>17</v>
      </c>
      <c r="AL69" s="26" t="s">
        <v>17</v>
      </c>
      <c r="AM69" s="26" t="s">
        <v>18</v>
      </c>
      <c r="AN69" s="107" t="s">
        <v>53</v>
      </c>
      <c r="AO69" s="107" t="s">
        <v>13</v>
      </c>
      <c r="AP69" s="26" t="s">
        <v>17</v>
      </c>
      <c r="AQ69" s="26" t="s">
        <v>17</v>
      </c>
      <c r="AR69" s="26" t="s">
        <v>17</v>
      </c>
      <c r="AS69" s="107" t="s">
        <v>54</v>
      </c>
      <c r="AT69" s="107" t="s">
        <v>53</v>
      </c>
      <c r="AU69" s="26" t="s">
        <v>17</v>
      </c>
      <c r="AV69" s="26" t="s">
        <v>17</v>
      </c>
      <c r="AW69" s="26" t="s">
        <v>18</v>
      </c>
      <c r="AX69" s="107" t="s">
        <v>54</v>
      </c>
      <c r="AY69" s="107" t="s">
        <v>54</v>
      </c>
      <c r="AZ69" s="26" t="s">
        <v>17</v>
      </c>
      <c r="BA69" s="26" t="s">
        <v>17</v>
      </c>
      <c r="BB69" s="26" t="s">
        <v>17</v>
      </c>
      <c r="BC69" s="26" t="s">
        <v>18</v>
      </c>
      <c r="BD69" s="107" t="s">
        <v>53</v>
      </c>
      <c r="BE69">
        <v>16.5</v>
      </c>
      <c r="BF69" s="1">
        <f t="shared" ref="BF69:BF79" si="47">COUNTIF($G69:$BD69, "E")</f>
        <v>0</v>
      </c>
      <c r="BG69" s="1">
        <f t="shared" si="14"/>
        <v>0</v>
      </c>
      <c r="BH69" s="1">
        <f t="shared" si="40"/>
        <v>0</v>
      </c>
      <c r="BI69" s="1">
        <f t="shared" si="41"/>
        <v>0</v>
      </c>
      <c r="BJ69" s="1">
        <f t="shared" si="42"/>
        <v>0</v>
      </c>
      <c r="BK69" s="95">
        <f t="shared" si="31"/>
        <v>1</v>
      </c>
      <c r="BL69" s="95">
        <f t="shared" si="32"/>
        <v>1</v>
      </c>
      <c r="BN69" s="1">
        <f t="shared" si="43"/>
        <v>28</v>
      </c>
      <c r="BO69" s="1">
        <f t="shared" si="44"/>
        <v>6</v>
      </c>
      <c r="BP69" s="1">
        <f t="shared" si="45"/>
        <v>0</v>
      </c>
      <c r="BQ69" s="1">
        <f t="shared" si="46"/>
        <v>0</v>
      </c>
      <c r="BR69" s="1">
        <f t="shared" si="33"/>
        <v>0</v>
      </c>
      <c r="BS69" s="95">
        <f t="shared" si="34"/>
        <v>7</v>
      </c>
      <c r="BT69" s="95">
        <f t="shared" si="35"/>
        <v>7</v>
      </c>
    </row>
    <row r="70" spans="1:72" x14ac:dyDescent="0.3">
      <c r="A70" s="56">
        <v>179</v>
      </c>
      <c r="B70" s="56">
        <v>18</v>
      </c>
      <c r="C70" s="109">
        <f t="shared" si="39"/>
        <v>44740.1875</v>
      </c>
      <c r="D70" s="101">
        <f t="shared" si="36"/>
        <v>0.25</v>
      </c>
      <c r="E70" s="102">
        <f t="shared" si="37"/>
        <v>16.75</v>
      </c>
      <c r="F70" s="91">
        <f t="shared" si="38"/>
        <v>16.75</v>
      </c>
      <c r="G70" s="26" t="s">
        <v>17</v>
      </c>
      <c r="H70" s="26" t="s">
        <v>17</v>
      </c>
      <c r="I70" s="26" t="s">
        <v>17</v>
      </c>
      <c r="J70" s="26" t="s">
        <v>18</v>
      </c>
      <c r="K70" s="107" t="s">
        <v>53</v>
      </c>
      <c r="L70" s="26" t="s">
        <v>17</v>
      </c>
      <c r="M70" s="26" t="s">
        <v>17</v>
      </c>
      <c r="N70" s="26" t="s">
        <v>17</v>
      </c>
      <c r="O70" s="107" t="s">
        <v>53</v>
      </c>
      <c r="P70" s="107" t="s">
        <v>14</v>
      </c>
      <c r="Q70" s="26" t="s">
        <v>17</v>
      </c>
      <c r="R70" s="26" t="s">
        <v>17</v>
      </c>
      <c r="S70" s="26" t="s">
        <v>17</v>
      </c>
      <c r="T70" s="26" t="s">
        <v>18</v>
      </c>
      <c r="U70" s="107" t="s">
        <v>54</v>
      </c>
      <c r="V70" s="26" t="s">
        <v>17</v>
      </c>
      <c r="W70" s="26" t="s">
        <v>17</v>
      </c>
      <c r="X70" s="26" t="s">
        <v>17</v>
      </c>
      <c r="Y70" s="26" t="s">
        <v>17</v>
      </c>
      <c r="Z70" s="107" t="s">
        <v>54</v>
      </c>
      <c r="AA70" s="26" t="s">
        <v>17</v>
      </c>
      <c r="AB70" s="26" t="s">
        <v>17</v>
      </c>
      <c r="AC70" s="107" t="s">
        <v>54</v>
      </c>
      <c r="AD70" s="107" t="s">
        <v>53</v>
      </c>
      <c r="AE70" s="107" t="s">
        <v>54</v>
      </c>
      <c r="AF70" s="26" t="s">
        <v>17</v>
      </c>
      <c r="AG70" s="26" t="s">
        <v>17</v>
      </c>
      <c r="AH70" s="26" t="s">
        <v>17</v>
      </c>
      <c r="AI70" s="26" t="s">
        <v>18</v>
      </c>
      <c r="AJ70" s="107" t="s">
        <v>53</v>
      </c>
      <c r="AK70" s="26" t="s">
        <v>17</v>
      </c>
      <c r="AL70" s="26" t="s">
        <v>17</v>
      </c>
      <c r="AM70" s="26" t="s">
        <v>18</v>
      </c>
      <c r="AN70" s="107" t="s">
        <v>53</v>
      </c>
      <c r="AO70" s="107" t="s">
        <v>13</v>
      </c>
      <c r="AP70" s="26" t="s">
        <v>17</v>
      </c>
      <c r="AQ70" s="26" t="s">
        <v>17</v>
      </c>
      <c r="AR70" s="26" t="s">
        <v>17</v>
      </c>
      <c r="AS70" s="107" t="s">
        <v>54</v>
      </c>
      <c r="AT70" s="107" t="s">
        <v>53</v>
      </c>
      <c r="AU70" s="26" t="s">
        <v>17</v>
      </c>
      <c r="AV70" s="26" t="s">
        <v>17</v>
      </c>
      <c r="AW70" s="26" t="s">
        <v>18</v>
      </c>
      <c r="AX70" s="107" t="s">
        <v>54</v>
      </c>
      <c r="AY70" s="107" t="s">
        <v>54</v>
      </c>
      <c r="AZ70" s="26" t="s">
        <v>17</v>
      </c>
      <c r="BA70" s="26" t="s">
        <v>17</v>
      </c>
      <c r="BB70" s="26" t="s">
        <v>17</v>
      </c>
      <c r="BC70" s="26" t="s">
        <v>18</v>
      </c>
      <c r="BD70" s="107" t="s">
        <v>53</v>
      </c>
      <c r="BE70">
        <v>16.75</v>
      </c>
      <c r="BF70" s="1">
        <f t="shared" si="47"/>
        <v>0</v>
      </c>
      <c r="BG70" s="1">
        <f t="shared" si="14"/>
        <v>0</v>
      </c>
      <c r="BH70" s="1">
        <f t="shared" si="40"/>
        <v>0</v>
      </c>
      <c r="BI70" s="1">
        <f t="shared" si="41"/>
        <v>0</v>
      </c>
      <c r="BJ70" s="1">
        <f t="shared" si="42"/>
        <v>0</v>
      </c>
      <c r="BK70" s="95">
        <f t="shared" si="31"/>
        <v>1</v>
      </c>
      <c r="BL70" s="95">
        <f t="shared" si="32"/>
        <v>1</v>
      </c>
      <c r="BN70" s="1">
        <f t="shared" si="43"/>
        <v>28</v>
      </c>
      <c r="BO70" s="1">
        <f t="shared" si="44"/>
        <v>6</v>
      </c>
      <c r="BP70" s="1">
        <f t="shared" si="45"/>
        <v>0</v>
      </c>
      <c r="BQ70" s="1">
        <f t="shared" si="46"/>
        <v>0</v>
      </c>
      <c r="BR70" s="1">
        <f t="shared" si="33"/>
        <v>0</v>
      </c>
      <c r="BS70" s="95">
        <f t="shared" si="34"/>
        <v>7</v>
      </c>
      <c r="BT70" s="95">
        <f t="shared" si="35"/>
        <v>7</v>
      </c>
    </row>
    <row r="71" spans="1:72" x14ac:dyDescent="0.3">
      <c r="A71" s="56">
        <v>179</v>
      </c>
      <c r="B71" s="56">
        <v>18</v>
      </c>
      <c r="C71" s="109">
        <f t="shared" si="39"/>
        <v>44740.4375</v>
      </c>
      <c r="D71" s="101">
        <f t="shared" si="36"/>
        <v>0.25</v>
      </c>
      <c r="E71" s="102">
        <f t="shared" si="37"/>
        <v>17</v>
      </c>
      <c r="F71" s="91">
        <f t="shared" si="38"/>
        <v>17</v>
      </c>
      <c r="G71" s="26" t="s">
        <v>17</v>
      </c>
      <c r="H71" s="26" t="s">
        <v>17</v>
      </c>
      <c r="I71" s="26" t="s">
        <v>17</v>
      </c>
      <c r="J71" s="26" t="s">
        <v>18</v>
      </c>
      <c r="K71" s="107" t="s">
        <v>53</v>
      </c>
      <c r="L71" s="26" t="s">
        <v>17</v>
      </c>
      <c r="M71" s="26" t="s">
        <v>17</v>
      </c>
      <c r="N71" s="26" t="s">
        <v>17</v>
      </c>
      <c r="O71" s="107" t="s">
        <v>53</v>
      </c>
      <c r="P71" s="107" t="s">
        <v>14</v>
      </c>
      <c r="Q71" s="26" t="s">
        <v>17</v>
      </c>
      <c r="R71" s="26" t="s">
        <v>17</v>
      </c>
      <c r="S71" s="26" t="s">
        <v>17</v>
      </c>
      <c r="T71" s="26" t="s">
        <v>18</v>
      </c>
      <c r="U71" s="107" t="s">
        <v>54</v>
      </c>
      <c r="V71" s="26" t="s">
        <v>17</v>
      </c>
      <c r="W71" s="26" t="s">
        <v>17</v>
      </c>
      <c r="X71" s="26" t="s">
        <v>17</v>
      </c>
      <c r="Y71" s="26" t="s">
        <v>17</v>
      </c>
      <c r="Z71" s="107" t="s">
        <v>54</v>
      </c>
      <c r="AA71" s="26" t="s">
        <v>17</v>
      </c>
      <c r="AB71" s="26" t="s">
        <v>17</v>
      </c>
      <c r="AC71" s="107" t="s">
        <v>54</v>
      </c>
      <c r="AD71" s="107" t="s">
        <v>53</v>
      </c>
      <c r="AE71" s="107" t="s">
        <v>54</v>
      </c>
      <c r="AF71" s="26" t="s">
        <v>17</v>
      </c>
      <c r="AG71" s="26" t="s">
        <v>17</v>
      </c>
      <c r="AH71" s="26" t="s">
        <v>17</v>
      </c>
      <c r="AI71" s="26" t="s">
        <v>18</v>
      </c>
      <c r="AJ71" s="107" t="s">
        <v>53</v>
      </c>
      <c r="AK71" s="26" t="s">
        <v>17</v>
      </c>
      <c r="AL71" s="26" t="s">
        <v>17</v>
      </c>
      <c r="AM71" s="26" t="s">
        <v>18</v>
      </c>
      <c r="AN71" s="107" t="s">
        <v>53</v>
      </c>
      <c r="AO71" s="107" t="s">
        <v>13</v>
      </c>
      <c r="AP71" s="26" t="s">
        <v>17</v>
      </c>
      <c r="AQ71" s="26" t="s">
        <v>17</v>
      </c>
      <c r="AR71" s="26" t="s">
        <v>17</v>
      </c>
      <c r="AS71" s="107" t="s">
        <v>54</v>
      </c>
      <c r="AT71" s="107" t="s">
        <v>53</v>
      </c>
      <c r="AU71" s="26" t="s">
        <v>17</v>
      </c>
      <c r="AV71" s="26" t="s">
        <v>17</v>
      </c>
      <c r="AW71" s="26" t="s">
        <v>18</v>
      </c>
      <c r="AX71" s="107" t="s">
        <v>54</v>
      </c>
      <c r="AY71" s="107" t="s">
        <v>54</v>
      </c>
      <c r="AZ71" s="26" t="s">
        <v>17</v>
      </c>
      <c r="BA71" s="26" t="s">
        <v>17</v>
      </c>
      <c r="BB71" s="26" t="s">
        <v>17</v>
      </c>
      <c r="BC71" s="26" t="s">
        <v>18</v>
      </c>
      <c r="BD71" s="107" t="s">
        <v>53</v>
      </c>
      <c r="BE71">
        <v>17</v>
      </c>
      <c r="BF71" s="1">
        <f t="shared" si="47"/>
        <v>0</v>
      </c>
      <c r="BG71" s="1">
        <f t="shared" si="14"/>
        <v>0</v>
      </c>
      <c r="BH71" s="1">
        <f t="shared" si="40"/>
        <v>0</v>
      </c>
      <c r="BI71" s="1">
        <f t="shared" si="41"/>
        <v>0</v>
      </c>
      <c r="BJ71" s="1">
        <f t="shared" si="42"/>
        <v>0</v>
      </c>
      <c r="BK71" s="95">
        <f t="shared" si="31"/>
        <v>1</v>
      </c>
      <c r="BL71" s="95">
        <f t="shared" si="32"/>
        <v>1</v>
      </c>
      <c r="BN71" s="1">
        <f t="shared" si="43"/>
        <v>28</v>
      </c>
      <c r="BO71" s="1">
        <f t="shared" si="44"/>
        <v>6</v>
      </c>
      <c r="BP71" s="1">
        <f t="shared" si="45"/>
        <v>0</v>
      </c>
      <c r="BQ71" s="1">
        <f t="shared" si="46"/>
        <v>0</v>
      </c>
      <c r="BR71" s="1">
        <f t="shared" si="33"/>
        <v>0</v>
      </c>
      <c r="BS71" s="95">
        <f t="shared" si="34"/>
        <v>7</v>
      </c>
      <c r="BT71" s="95">
        <f t="shared" si="35"/>
        <v>7</v>
      </c>
    </row>
    <row r="72" spans="1:72" x14ac:dyDescent="0.3">
      <c r="A72" s="56">
        <v>179</v>
      </c>
      <c r="B72" s="56">
        <v>18</v>
      </c>
      <c r="C72" s="109">
        <f t="shared" si="39"/>
        <v>44740.6875</v>
      </c>
      <c r="D72" s="101">
        <f t="shared" si="36"/>
        <v>0.25</v>
      </c>
      <c r="E72" s="102">
        <f t="shared" si="37"/>
        <v>17.25</v>
      </c>
      <c r="F72" s="91">
        <f t="shared" si="38"/>
        <v>17.25</v>
      </c>
      <c r="G72" s="26" t="s">
        <v>17</v>
      </c>
      <c r="H72" s="26" t="s">
        <v>17</v>
      </c>
      <c r="I72" s="26" t="s">
        <v>17</v>
      </c>
      <c r="J72" s="26" t="s">
        <v>18</v>
      </c>
      <c r="K72" s="107" t="s">
        <v>53</v>
      </c>
      <c r="L72" s="26" t="s">
        <v>17</v>
      </c>
      <c r="M72" s="26" t="s">
        <v>17</v>
      </c>
      <c r="N72" s="26" t="s">
        <v>17</v>
      </c>
      <c r="O72" s="107" t="s">
        <v>53</v>
      </c>
      <c r="P72" s="107" t="s">
        <v>14</v>
      </c>
      <c r="Q72" s="26" t="s">
        <v>17</v>
      </c>
      <c r="R72" s="26" t="s">
        <v>17</v>
      </c>
      <c r="S72" s="26" t="s">
        <v>17</v>
      </c>
      <c r="T72" s="26" t="s">
        <v>18</v>
      </c>
      <c r="U72" s="107" t="s">
        <v>54</v>
      </c>
      <c r="V72" s="26" t="s">
        <v>17</v>
      </c>
      <c r="W72" s="26" t="s">
        <v>17</v>
      </c>
      <c r="X72" s="26" t="s">
        <v>17</v>
      </c>
      <c r="Y72" s="26" t="s">
        <v>17</v>
      </c>
      <c r="Z72" s="107" t="s">
        <v>54</v>
      </c>
      <c r="AA72" s="26" t="s">
        <v>17</v>
      </c>
      <c r="AB72" s="26" t="s">
        <v>17</v>
      </c>
      <c r="AC72" s="107" t="s">
        <v>54</v>
      </c>
      <c r="AD72" s="107" t="s">
        <v>53</v>
      </c>
      <c r="AE72" s="107" t="s">
        <v>54</v>
      </c>
      <c r="AF72" s="26" t="s">
        <v>17</v>
      </c>
      <c r="AG72" s="26" t="s">
        <v>17</v>
      </c>
      <c r="AH72" s="26" t="s">
        <v>17</v>
      </c>
      <c r="AI72" s="26" t="s">
        <v>18</v>
      </c>
      <c r="AJ72" s="107" t="s">
        <v>53</v>
      </c>
      <c r="AK72" s="26" t="s">
        <v>17</v>
      </c>
      <c r="AL72" s="26" t="s">
        <v>17</v>
      </c>
      <c r="AM72" s="26" t="s">
        <v>18</v>
      </c>
      <c r="AN72" s="107" t="s">
        <v>53</v>
      </c>
      <c r="AO72" s="107" t="s">
        <v>13</v>
      </c>
      <c r="AP72" s="26" t="s">
        <v>17</v>
      </c>
      <c r="AQ72" s="26" t="s">
        <v>17</v>
      </c>
      <c r="AR72" s="26" t="s">
        <v>17</v>
      </c>
      <c r="AS72" s="107" t="s">
        <v>54</v>
      </c>
      <c r="AT72" s="107" t="s">
        <v>53</v>
      </c>
      <c r="AU72" s="26" t="s">
        <v>17</v>
      </c>
      <c r="AV72" s="26" t="s">
        <v>17</v>
      </c>
      <c r="AW72" s="26" t="s">
        <v>18</v>
      </c>
      <c r="AX72" s="107" t="s">
        <v>54</v>
      </c>
      <c r="AY72" s="107" t="s">
        <v>54</v>
      </c>
      <c r="AZ72" s="26" t="s">
        <v>17</v>
      </c>
      <c r="BA72" s="26" t="s">
        <v>17</v>
      </c>
      <c r="BB72" s="26" t="s">
        <v>17</v>
      </c>
      <c r="BC72" s="26" t="s">
        <v>18</v>
      </c>
      <c r="BD72" s="107" t="s">
        <v>53</v>
      </c>
      <c r="BE72">
        <v>17.25</v>
      </c>
      <c r="BF72" s="1">
        <f t="shared" si="47"/>
        <v>0</v>
      </c>
      <c r="BG72" s="1">
        <f t="shared" ref="BG72:BG79" si="48">COUNTIF($G72:$BD72, "L1")</f>
        <v>0</v>
      </c>
      <c r="BH72" s="1">
        <f t="shared" si="40"/>
        <v>0</v>
      </c>
      <c r="BI72" s="1">
        <f t="shared" si="41"/>
        <v>0</v>
      </c>
      <c r="BJ72" s="1">
        <f t="shared" si="42"/>
        <v>0</v>
      </c>
      <c r="BK72" s="95">
        <f t="shared" si="31"/>
        <v>1</v>
      </c>
      <c r="BL72" s="95">
        <f t="shared" si="32"/>
        <v>1</v>
      </c>
      <c r="BN72" s="1">
        <f t="shared" si="43"/>
        <v>28</v>
      </c>
      <c r="BO72" s="1">
        <f t="shared" si="44"/>
        <v>6</v>
      </c>
      <c r="BP72" s="1">
        <f t="shared" si="45"/>
        <v>0</v>
      </c>
      <c r="BQ72" s="1">
        <f t="shared" si="46"/>
        <v>0</v>
      </c>
      <c r="BR72" s="1">
        <f t="shared" si="33"/>
        <v>0</v>
      </c>
      <c r="BS72" s="95">
        <f t="shared" si="34"/>
        <v>7</v>
      </c>
      <c r="BT72" s="95">
        <f t="shared" si="35"/>
        <v>7</v>
      </c>
    </row>
    <row r="73" spans="1:72" x14ac:dyDescent="0.3">
      <c r="A73" s="56">
        <v>179</v>
      </c>
      <c r="B73" s="56">
        <v>18</v>
      </c>
      <c r="C73" s="109">
        <f t="shared" si="39"/>
        <v>44740.9375</v>
      </c>
      <c r="D73" s="101">
        <f t="shared" si="36"/>
        <v>0.25</v>
      </c>
      <c r="E73" s="102">
        <f t="shared" si="37"/>
        <v>17.5</v>
      </c>
      <c r="F73" s="91">
        <f t="shared" si="38"/>
        <v>17.5</v>
      </c>
      <c r="G73" s="26" t="s">
        <v>17</v>
      </c>
      <c r="H73" s="26" t="s">
        <v>17</v>
      </c>
      <c r="I73" s="26" t="s">
        <v>17</v>
      </c>
      <c r="J73" s="26" t="s">
        <v>18</v>
      </c>
      <c r="K73" s="107" t="s">
        <v>53</v>
      </c>
      <c r="L73" s="26" t="s">
        <v>17</v>
      </c>
      <c r="M73" s="26" t="s">
        <v>17</v>
      </c>
      <c r="N73" s="26" t="s">
        <v>17</v>
      </c>
      <c r="O73" s="107" t="s">
        <v>53</v>
      </c>
      <c r="P73" s="107" t="s">
        <v>14</v>
      </c>
      <c r="Q73" s="26" t="s">
        <v>17</v>
      </c>
      <c r="R73" s="26" t="s">
        <v>17</v>
      </c>
      <c r="S73" s="26" t="s">
        <v>17</v>
      </c>
      <c r="T73" s="26" t="s">
        <v>18</v>
      </c>
      <c r="U73" s="107" t="s">
        <v>54</v>
      </c>
      <c r="V73" s="26" t="s">
        <v>17</v>
      </c>
      <c r="W73" s="26" t="s">
        <v>17</v>
      </c>
      <c r="X73" s="26" t="s">
        <v>17</v>
      </c>
      <c r="Y73" s="26" t="s">
        <v>17</v>
      </c>
      <c r="Z73" s="107" t="s">
        <v>54</v>
      </c>
      <c r="AA73" s="26" t="s">
        <v>17</v>
      </c>
      <c r="AB73" s="26" t="s">
        <v>17</v>
      </c>
      <c r="AC73" s="107" t="s">
        <v>54</v>
      </c>
      <c r="AD73" s="107" t="s">
        <v>53</v>
      </c>
      <c r="AE73" s="107" t="s">
        <v>54</v>
      </c>
      <c r="AF73" s="26" t="s">
        <v>17</v>
      </c>
      <c r="AG73" s="26" t="s">
        <v>17</v>
      </c>
      <c r="AH73" s="26" t="s">
        <v>17</v>
      </c>
      <c r="AI73" s="26" t="s">
        <v>18</v>
      </c>
      <c r="AJ73" s="107" t="s">
        <v>53</v>
      </c>
      <c r="AK73" s="26" t="s">
        <v>17</v>
      </c>
      <c r="AL73" s="26" t="s">
        <v>17</v>
      </c>
      <c r="AM73" s="26" t="s">
        <v>18</v>
      </c>
      <c r="AN73" s="107" t="s">
        <v>53</v>
      </c>
      <c r="AO73" s="107" t="s">
        <v>13</v>
      </c>
      <c r="AP73" s="26" t="s">
        <v>17</v>
      </c>
      <c r="AQ73" s="26" t="s">
        <v>17</v>
      </c>
      <c r="AR73" s="26" t="s">
        <v>17</v>
      </c>
      <c r="AS73" s="107" t="s">
        <v>54</v>
      </c>
      <c r="AT73" s="107" t="s">
        <v>53</v>
      </c>
      <c r="AU73" s="26" t="s">
        <v>17</v>
      </c>
      <c r="AV73" s="26" t="s">
        <v>17</v>
      </c>
      <c r="AW73" s="26" t="s">
        <v>18</v>
      </c>
      <c r="AX73" s="107" t="s">
        <v>54</v>
      </c>
      <c r="AY73" s="107" t="s">
        <v>54</v>
      </c>
      <c r="AZ73" s="26" t="s">
        <v>17</v>
      </c>
      <c r="BA73" s="26" t="s">
        <v>17</v>
      </c>
      <c r="BB73" s="26" t="s">
        <v>17</v>
      </c>
      <c r="BC73" s="26" t="s">
        <v>18</v>
      </c>
      <c r="BD73" s="107" t="s">
        <v>53</v>
      </c>
      <c r="BE73">
        <v>17.5</v>
      </c>
      <c r="BF73" s="1">
        <f t="shared" si="47"/>
        <v>0</v>
      </c>
      <c r="BG73" s="1">
        <f t="shared" si="48"/>
        <v>0</v>
      </c>
      <c r="BH73" s="1">
        <f t="shared" si="40"/>
        <v>0</v>
      </c>
      <c r="BI73" s="1">
        <f t="shared" si="41"/>
        <v>0</v>
      </c>
      <c r="BJ73" s="1">
        <f t="shared" si="42"/>
        <v>0</v>
      </c>
      <c r="BK73" s="95">
        <f t="shared" si="31"/>
        <v>1</v>
      </c>
      <c r="BL73" s="95">
        <f t="shared" si="32"/>
        <v>1</v>
      </c>
      <c r="BN73" s="1">
        <f t="shared" si="43"/>
        <v>28</v>
      </c>
      <c r="BO73" s="1">
        <f t="shared" si="44"/>
        <v>6</v>
      </c>
      <c r="BP73" s="1">
        <f t="shared" si="45"/>
        <v>0</v>
      </c>
      <c r="BQ73" s="1">
        <f t="shared" si="46"/>
        <v>0</v>
      </c>
      <c r="BR73" s="1">
        <f t="shared" si="33"/>
        <v>0</v>
      </c>
      <c r="BS73" s="95">
        <f t="shared" si="34"/>
        <v>7</v>
      </c>
      <c r="BT73" s="95">
        <f t="shared" si="35"/>
        <v>7</v>
      </c>
    </row>
    <row r="74" spans="1:72" x14ac:dyDescent="0.3">
      <c r="A74" s="56">
        <v>180</v>
      </c>
      <c r="B74" s="56">
        <v>19</v>
      </c>
      <c r="C74" s="109">
        <f t="shared" si="39"/>
        <v>44741.1875</v>
      </c>
      <c r="D74" s="101">
        <f t="shared" si="36"/>
        <v>0.25</v>
      </c>
      <c r="E74" s="102">
        <f t="shared" si="37"/>
        <v>17.75</v>
      </c>
      <c r="F74" s="91">
        <f t="shared" si="38"/>
        <v>17.75</v>
      </c>
      <c r="G74" s="26" t="s">
        <v>17</v>
      </c>
      <c r="H74" s="26" t="s">
        <v>17</v>
      </c>
      <c r="I74" s="26" t="s">
        <v>17</v>
      </c>
      <c r="J74" s="26" t="s">
        <v>18</v>
      </c>
      <c r="K74" s="107" t="s">
        <v>53</v>
      </c>
      <c r="L74" s="26" t="s">
        <v>17</v>
      </c>
      <c r="M74" s="26" t="s">
        <v>17</v>
      </c>
      <c r="N74" s="26" t="s">
        <v>17</v>
      </c>
      <c r="O74" s="107" t="s">
        <v>53</v>
      </c>
      <c r="P74" s="107" t="s">
        <v>14</v>
      </c>
      <c r="Q74" s="26" t="s">
        <v>17</v>
      </c>
      <c r="R74" s="26" t="s">
        <v>17</v>
      </c>
      <c r="S74" s="26" t="s">
        <v>17</v>
      </c>
      <c r="T74" s="26" t="s">
        <v>18</v>
      </c>
      <c r="U74" s="107" t="s">
        <v>54</v>
      </c>
      <c r="V74" s="26" t="s">
        <v>17</v>
      </c>
      <c r="W74" s="26" t="s">
        <v>17</v>
      </c>
      <c r="X74" s="26" t="s">
        <v>17</v>
      </c>
      <c r="Y74" s="26" t="s">
        <v>17</v>
      </c>
      <c r="Z74" s="107" t="s">
        <v>54</v>
      </c>
      <c r="AA74" s="26" t="s">
        <v>17</v>
      </c>
      <c r="AB74" s="26" t="s">
        <v>17</v>
      </c>
      <c r="AC74" s="107" t="s">
        <v>54</v>
      </c>
      <c r="AD74" s="107" t="s">
        <v>53</v>
      </c>
      <c r="AE74" s="107" t="s">
        <v>54</v>
      </c>
      <c r="AF74" s="26" t="s">
        <v>17</v>
      </c>
      <c r="AG74" s="26" t="s">
        <v>17</v>
      </c>
      <c r="AH74" s="26" t="s">
        <v>17</v>
      </c>
      <c r="AI74" s="26" t="s">
        <v>18</v>
      </c>
      <c r="AJ74" s="107" t="s">
        <v>53</v>
      </c>
      <c r="AK74" s="26" t="s">
        <v>17</v>
      </c>
      <c r="AL74" s="26" t="s">
        <v>17</v>
      </c>
      <c r="AM74" s="26" t="s">
        <v>18</v>
      </c>
      <c r="AN74" s="107" t="s">
        <v>53</v>
      </c>
      <c r="AO74" s="107" t="s">
        <v>13</v>
      </c>
      <c r="AP74" s="26" t="s">
        <v>17</v>
      </c>
      <c r="AQ74" s="26" t="s">
        <v>17</v>
      </c>
      <c r="AR74" s="26" t="s">
        <v>17</v>
      </c>
      <c r="AS74" s="107" t="s">
        <v>54</v>
      </c>
      <c r="AT74" s="107" t="s">
        <v>53</v>
      </c>
      <c r="AU74" s="26" t="s">
        <v>17</v>
      </c>
      <c r="AV74" s="26" t="s">
        <v>17</v>
      </c>
      <c r="AW74" s="26" t="s">
        <v>18</v>
      </c>
      <c r="AX74" s="107" t="s">
        <v>54</v>
      </c>
      <c r="AY74" s="107" t="s">
        <v>54</v>
      </c>
      <c r="AZ74" s="26" t="s">
        <v>17</v>
      </c>
      <c r="BA74" s="26" t="s">
        <v>17</v>
      </c>
      <c r="BB74" s="26" t="s">
        <v>17</v>
      </c>
      <c r="BC74" s="26" t="s">
        <v>18</v>
      </c>
      <c r="BD74" s="107" t="s">
        <v>53</v>
      </c>
      <c r="BE74">
        <v>17.75</v>
      </c>
      <c r="BF74" s="1">
        <f t="shared" si="47"/>
        <v>0</v>
      </c>
      <c r="BG74" s="1">
        <f t="shared" si="48"/>
        <v>0</v>
      </c>
      <c r="BH74" s="1">
        <f t="shared" si="40"/>
        <v>0</v>
      </c>
      <c r="BI74" s="1">
        <f t="shared" si="41"/>
        <v>0</v>
      </c>
      <c r="BJ74" s="1">
        <f t="shared" si="42"/>
        <v>0</v>
      </c>
      <c r="BK74" s="95">
        <f t="shared" si="31"/>
        <v>1</v>
      </c>
      <c r="BL74" s="95">
        <f t="shared" si="32"/>
        <v>1</v>
      </c>
      <c r="BN74" s="1">
        <f t="shared" si="43"/>
        <v>28</v>
      </c>
      <c r="BO74" s="1">
        <f t="shared" si="44"/>
        <v>6</v>
      </c>
      <c r="BP74" s="1">
        <f t="shared" si="45"/>
        <v>0</v>
      </c>
      <c r="BQ74" s="1">
        <f t="shared" si="46"/>
        <v>0</v>
      </c>
      <c r="BR74" s="1">
        <f t="shared" si="33"/>
        <v>0</v>
      </c>
      <c r="BS74" s="95">
        <f t="shared" si="34"/>
        <v>7</v>
      </c>
      <c r="BT74" s="95">
        <f t="shared" si="35"/>
        <v>7</v>
      </c>
    </row>
    <row r="75" spans="1:72" x14ac:dyDescent="0.3">
      <c r="A75" s="56">
        <v>180</v>
      </c>
      <c r="B75" s="56">
        <v>19</v>
      </c>
      <c r="C75" s="109">
        <f t="shared" si="39"/>
        <v>44741.4375</v>
      </c>
      <c r="D75" s="101">
        <f t="shared" si="36"/>
        <v>0.25</v>
      </c>
      <c r="E75" s="102">
        <f t="shared" si="37"/>
        <v>18</v>
      </c>
      <c r="F75" s="91">
        <f t="shared" si="38"/>
        <v>18</v>
      </c>
      <c r="G75" s="26" t="s">
        <v>17</v>
      </c>
      <c r="H75" s="26" t="s">
        <v>17</v>
      </c>
      <c r="I75" s="26" t="s">
        <v>17</v>
      </c>
      <c r="J75" s="26" t="s">
        <v>18</v>
      </c>
      <c r="K75" s="107" t="s">
        <v>53</v>
      </c>
      <c r="L75" s="26" t="s">
        <v>17</v>
      </c>
      <c r="M75" s="26" t="s">
        <v>17</v>
      </c>
      <c r="N75" s="26" t="s">
        <v>17</v>
      </c>
      <c r="O75" s="107" t="s">
        <v>53</v>
      </c>
      <c r="P75" s="107" t="s">
        <v>14</v>
      </c>
      <c r="Q75" s="26" t="s">
        <v>17</v>
      </c>
      <c r="R75" s="26" t="s">
        <v>17</v>
      </c>
      <c r="S75" s="26" t="s">
        <v>17</v>
      </c>
      <c r="T75" s="26" t="s">
        <v>18</v>
      </c>
      <c r="U75" s="107" t="s">
        <v>54</v>
      </c>
      <c r="V75" s="26" t="s">
        <v>17</v>
      </c>
      <c r="W75" s="26" t="s">
        <v>17</v>
      </c>
      <c r="X75" s="26" t="s">
        <v>17</v>
      </c>
      <c r="Y75" s="26" t="s">
        <v>17</v>
      </c>
      <c r="Z75" s="107" t="s">
        <v>54</v>
      </c>
      <c r="AA75" s="26" t="s">
        <v>17</v>
      </c>
      <c r="AB75" s="26" t="s">
        <v>17</v>
      </c>
      <c r="AC75" s="107" t="s">
        <v>54</v>
      </c>
      <c r="AD75" s="107" t="s">
        <v>53</v>
      </c>
      <c r="AE75" s="107" t="s">
        <v>54</v>
      </c>
      <c r="AF75" s="26" t="s">
        <v>17</v>
      </c>
      <c r="AG75" s="26" t="s">
        <v>17</v>
      </c>
      <c r="AH75" s="26" t="s">
        <v>17</v>
      </c>
      <c r="AI75" s="26" t="s">
        <v>18</v>
      </c>
      <c r="AJ75" s="107" t="s">
        <v>53</v>
      </c>
      <c r="AK75" s="26" t="s">
        <v>17</v>
      </c>
      <c r="AL75" s="26" t="s">
        <v>17</v>
      </c>
      <c r="AM75" s="26" t="s">
        <v>18</v>
      </c>
      <c r="AN75" s="107" t="s">
        <v>53</v>
      </c>
      <c r="AO75" s="107" t="s">
        <v>13</v>
      </c>
      <c r="AP75" s="26" t="s">
        <v>17</v>
      </c>
      <c r="AQ75" s="26" t="s">
        <v>17</v>
      </c>
      <c r="AR75" s="26" t="s">
        <v>17</v>
      </c>
      <c r="AS75" s="107" t="s">
        <v>54</v>
      </c>
      <c r="AT75" s="107" t="s">
        <v>53</v>
      </c>
      <c r="AU75" s="26" t="s">
        <v>17</v>
      </c>
      <c r="AV75" s="26" t="s">
        <v>17</v>
      </c>
      <c r="AW75" s="26" t="s">
        <v>18</v>
      </c>
      <c r="AX75" s="107" t="s">
        <v>54</v>
      </c>
      <c r="AY75" s="107" t="s">
        <v>54</v>
      </c>
      <c r="AZ75" s="26" t="s">
        <v>17</v>
      </c>
      <c r="BA75" s="26" t="s">
        <v>17</v>
      </c>
      <c r="BB75" s="26" t="s">
        <v>17</v>
      </c>
      <c r="BC75" s="26" t="s">
        <v>18</v>
      </c>
      <c r="BD75" s="107" t="s">
        <v>53</v>
      </c>
      <c r="BE75">
        <v>18</v>
      </c>
      <c r="BF75" s="1">
        <f t="shared" si="47"/>
        <v>0</v>
      </c>
      <c r="BG75" s="1">
        <f t="shared" si="48"/>
        <v>0</v>
      </c>
      <c r="BH75" s="1">
        <f t="shared" si="40"/>
        <v>0</v>
      </c>
      <c r="BI75" s="1">
        <f t="shared" si="41"/>
        <v>0</v>
      </c>
      <c r="BJ75" s="1">
        <f t="shared" si="42"/>
        <v>0</v>
      </c>
      <c r="BK75" s="95">
        <f t="shared" si="31"/>
        <v>1</v>
      </c>
      <c r="BL75" s="95">
        <f t="shared" si="32"/>
        <v>1</v>
      </c>
      <c r="BN75" s="1">
        <f t="shared" si="43"/>
        <v>28</v>
      </c>
      <c r="BO75" s="1">
        <f t="shared" si="44"/>
        <v>6</v>
      </c>
      <c r="BP75" s="1">
        <f t="shared" si="45"/>
        <v>0</v>
      </c>
      <c r="BQ75" s="1">
        <f t="shared" si="46"/>
        <v>0</v>
      </c>
      <c r="BR75" s="1">
        <f t="shared" si="33"/>
        <v>0</v>
      </c>
      <c r="BS75" s="95">
        <f t="shared" si="34"/>
        <v>7</v>
      </c>
      <c r="BT75" s="95">
        <f t="shared" si="35"/>
        <v>7</v>
      </c>
    </row>
    <row r="76" spans="1:72" x14ac:dyDescent="0.3">
      <c r="A76" s="56">
        <v>180</v>
      </c>
      <c r="B76" s="56">
        <v>19</v>
      </c>
      <c r="C76" s="109">
        <f t="shared" si="39"/>
        <v>44741.6875</v>
      </c>
      <c r="D76" s="101">
        <f t="shared" si="36"/>
        <v>0.25</v>
      </c>
      <c r="E76" s="102">
        <f t="shared" si="37"/>
        <v>18.25</v>
      </c>
      <c r="F76" s="91">
        <f t="shared" si="38"/>
        <v>18.25</v>
      </c>
      <c r="G76" s="26" t="s">
        <v>17</v>
      </c>
      <c r="H76" s="26" t="s">
        <v>17</v>
      </c>
      <c r="I76" s="26" t="s">
        <v>17</v>
      </c>
      <c r="J76" s="26" t="s">
        <v>18</v>
      </c>
      <c r="K76" s="107" t="s">
        <v>53</v>
      </c>
      <c r="L76" s="26" t="s">
        <v>17</v>
      </c>
      <c r="M76" s="26" t="s">
        <v>17</v>
      </c>
      <c r="N76" s="26" t="s">
        <v>17</v>
      </c>
      <c r="O76" s="107" t="s">
        <v>53</v>
      </c>
      <c r="P76" s="107" t="s">
        <v>14</v>
      </c>
      <c r="Q76" s="26" t="s">
        <v>17</v>
      </c>
      <c r="R76" s="26" t="s">
        <v>17</v>
      </c>
      <c r="S76" s="26" t="s">
        <v>17</v>
      </c>
      <c r="T76" s="26" t="s">
        <v>18</v>
      </c>
      <c r="U76" s="107" t="s">
        <v>54</v>
      </c>
      <c r="V76" s="26" t="s">
        <v>17</v>
      </c>
      <c r="W76" s="26" t="s">
        <v>17</v>
      </c>
      <c r="X76" s="26" t="s">
        <v>17</v>
      </c>
      <c r="Y76" s="26" t="s">
        <v>17</v>
      </c>
      <c r="Z76" s="107" t="s">
        <v>54</v>
      </c>
      <c r="AA76" s="26" t="s">
        <v>17</v>
      </c>
      <c r="AB76" s="26" t="s">
        <v>17</v>
      </c>
      <c r="AC76" s="107" t="s">
        <v>54</v>
      </c>
      <c r="AD76" s="107" t="s">
        <v>53</v>
      </c>
      <c r="AE76" s="107" t="s">
        <v>54</v>
      </c>
      <c r="AF76" s="26" t="s">
        <v>17</v>
      </c>
      <c r="AG76" s="26" t="s">
        <v>17</v>
      </c>
      <c r="AH76" s="26" t="s">
        <v>17</v>
      </c>
      <c r="AI76" s="26" t="s">
        <v>18</v>
      </c>
      <c r="AJ76" s="107" t="s">
        <v>53</v>
      </c>
      <c r="AK76" s="26" t="s">
        <v>17</v>
      </c>
      <c r="AL76" s="26" t="s">
        <v>17</v>
      </c>
      <c r="AM76" s="26" t="s">
        <v>18</v>
      </c>
      <c r="AN76" s="107" t="s">
        <v>53</v>
      </c>
      <c r="AO76" s="107" t="s">
        <v>13</v>
      </c>
      <c r="AP76" s="26" t="s">
        <v>17</v>
      </c>
      <c r="AQ76" s="26" t="s">
        <v>17</v>
      </c>
      <c r="AR76" s="26" t="s">
        <v>17</v>
      </c>
      <c r="AS76" s="107" t="s">
        <v>54</v>
      </c>
      <c r="AT76" s="107" t="s">
        <v>53</v>
      </c>
      <c r="AU76" s="26" t="s">
        <v>17</v>
      </c>
      <c r="AV76" s="26" t="s">
        <v>17</v>
      </c>
      <c r="AW76" s="26" t="s">
        <v>18</v>
      </c>
      <c r="AX76" s="107" t="s">
        <v>54</v>
      </c>
      <c r="AY76" s="107" t="s">
        <v>54</v>
      </c>
      <c r="AZ76" s="26" t="s">
        <v>17</v>
      </c>
      <c r="BA76" s="26" t="s">
        <v>17</v>
      </c>
      <c r="BB76" s="26" t="s">
        <v>17</v>
      </c>
      <c r="BC76" s="26" t="s">
        <v>18</v>
      </c>
      <c r="BD76" s="107" t="s">
        <v>53</v>
      </c>
      <c r="BE76">
        <v>18.25</v>
      </c>
      <c r="BF76" s="1">
        <f t="shared" si="47"/>
        <v>0</v>
      </c>
      <c r="BG76" s="1">
        <f t="shared" si="48"/>
        <v>0</v>
      </c>
      <c r="BH76" s="1">
        <f t="shared" si="40"/>
        <v>0</v>
      </c>
      <c r="BI76" s="1">
        <f t="shared" si="41"/>
        <v>0</v>
      </c>
      <c r="BJ76" s="1">
        <f t="shared" si="42"/>
        <v>0</v>
      </c>
      <c r="BK76" s="95">
        <f t="shared" si="31"/>
        <v>1</v>
      </c>
      <c r="BL76" s="95">
        <f t="shared" si="32"/>
        <v>1</v>
      </c>
      <c r="BN76" s="1">
        <f t="shared" si="43"/>
        <v>28</v>
      </c>
      <c r="BO76" s="1">
        <f t="shared" si="44"/>
        <v>6</v>
      </c>
      <c r="BP76" s="1">
        <f t="shared" si="45"/>
        <v>0</v>
      </c>
      <c r="BQ76" s="1">
        <f t="shared" si="46"/>
        <v>0</v>
      </c>
      <c r="BR76" s="1">
        <f t="shared" si="33"/>
        <v>0</v>
      </c>
      <c r="BS76" s="95">
        <f t="shared" si="34"/>
        <v>7</v>
      </c>
      <c r="BT76" s="95">
        <f t="shared" si="35"/>
        <v>7</v>
      </c>
    </row>
    <row r="77" spans="1:72" x14ac:dyDescent="0.3">
      <c r="A77" s="56">
        <v>180</v>
      </c>
      <c r="B77" s="56">
        <v>19</v>
      </c>
      <c r="C77" s="109">
        <f t="shared" si="39"/>
        <v>44741.9375</v>
      </c>
      <c r="D77" s="101">
        <f t="shared" si="36"/>
        <v>0.25</v>
      </c>
      <c r="E77" s="102">
        <f t="shared" si="37"/>
        <v>18.5</v>
      </c>
      <c r="F77" s="91">
        <f t="shared" si="38"/>
        <v>18.5</v>
      </c>
      <c r="G77" s="26" t="s">
        <v>17</v>
      </c>
      <c r="H77" s="26" t="s">
        <v>17</v>
      </c>
      <c r="I77" s="26" t="s">
        <v>17</v>
      </c>
      <c r="J77" s="26" t="s">
        <v>18</v>
      </c>
      <c r="K77" s="107" t="s">
        <v>53</v>
      </c>
      <c r="L77" s="26" t="s">
        <v>17</v>
      </c>
      <c r="M77" s="26" t="s">
        <v>17</v>
      </c>
      <c r="N77" s="26" t="s">
        <v>17</v>
      </c>
      <c r="O77" s="107" t="s">
        <v>53</v>
      </c>
      <c r="P77" s="107" t="s">
        <v>14</v>
      </c>
      <c r="Q77" s="26" t="s">
        <v>17</v>
      </c>
      <c r="R77" s="26" t="s">
        <v>17</v>
      </c>
      <c r="S77" s="26" t="s">
        <v>17</v>
      </c>
      <c r="T77" s="26" t="s">
        <v>18</v>
      </c>
      <c r="U77" s="107" t="s">
        <v>54</v>
      </c>
      <c r="V77" s="26" t="s">
        <v>17</v>
      </c>
      <c r="W77" s="26" t="s">
        <v>17</v>
      </c>
      <c r="X77" s="26" t="s">
        <v>17</v>
      </c>
      <c r="Y77" s="26" t="s">
        <v>17</v>
      </c>
      <c r="Z77" s="107" t="s">
        <v>54</v>
      </c>
      <c r="AA77" s="26" t="s">
        <v>17</v>
      </c>
      <c r="AB77" s="26" t="s">
        <v>17</v>
      </c>
      <c r="AC77" s="107" t="s">
        <v>54</v>
      </c>
      <c r="AD77" s="107" t="s">
        <v>53</v>
      </c>
      <c r="AE77" s="107" t="s">
        <v>54</v>
      </c>
      <c r="AF77" s="26" t="s">
        <v>17</v>
      </c>
      <c r="AG77" s="26" t="s">
        <v>17</v>
      </c>
      <c r="AH77" s="26" t="s">
        <v>17</v>
      </c>
      <c r="AI77" s="26" t="s">
        <v>18</v>
      </c>
      <c r="AJ77" s="107" t="s">
        <v>53</v>
      </c>
      <c r="AK77" s="26" t="s">
        <v>17</v>
      </c>
      <c r="AL77" s="26" t="s">
        <v>17</v>
      </c>
      <c r="AM77" s="26" t="s">
        <v>18</v>
      </c>
      <c r="AN77" s="107" t="s">
        <v>53</v>
      </c>
      <c r="AO77" s="107" t="s">
        <v>13</v>
      </c>
      <c r="AP77" s="26" t="s">
        <v>17</v>
      </c>
      <c r="AQ77" s="26" t="s">
        <v>17</v>
      </c>
      <c r="AR77" s="26" t="s">
        <v>17</v>
      </c>
      <c r="AS77" s="107" t="s">
        <v>54</v>
      </c>
      <c r="AT77" s="107" t="s">
        <v>53</v>
      </c>
      <c r="AU77" s="26" t="s">
        <v>17</v>
      </c>
      <c r="AV77" s="26" t="s">
        <v>17</v>
      </c>
      <c r="AW77" s="26" t="s">
        <v>18</v>
      </c>
      <c r="AX77" s="107" t="s">
        <v>54</v>
      </c>
      <c r="AY77" s="107" t="s">
        <v>54</v>
      </c>
      <c r="AZ77" s="26" t="s">
        <v>17</v>
      </c>
      <c r="BA77" s="26" t="s">
        <v>17</v>
      </c>
      <c r="BB77" s="26" t="s">
        <v>17</v>
      </c>
      <c r="BC77" s="26" t="s">
        <v>18</v>
      </c>
      <c r="BD77" s="107" t="s">
        <v>53</v>
      </c>
      <c r="BE77">
        <v>18.5</v>
      </c>
      <c r="BF77" s="1">
        <f t="shared" si="47"/>
        <v>0</v>
      </c>
      <c r="BG77" s="1">
        <f t="shared" si="48"/>
        <v>0</v>
      </c>
      <c r="BH77" s="1">
        <f t="shared" si="40"/>
        <v>0</v>
      </c>
      <c r="BI77" s="1">
        <f t="shared" si="41"/>
        <v>0</v>
      </c>
      <c r="BJ77" s="1">
        <f t="shared" si="42"/>
        <v>0</v>
      </c>
      <c r="BK77" s="95">
        <f>COUNTIF($G77:$BD77, "AM")</f>
        <v>1</v>
      </c>
      <c r="BL77" s="95">
        <f>COUNTIF($G77:$BD77, "AF")</f>
        <v>1</v>
      </c>
      <c r="BN77" s="1">
        <f t="shared" si="43"/>
        <v>28</v>
      </c>
      <c r="BO77" s="1">
        <f t="shared" si="44"/>
        <v>6</v>
      </c>
      <c r="BP77" s="1">
        <f t="shared" si="45"/>
        <v>0</v>
      </c>
      <c r="BQ77" s="1">
        <f t="shared" si="46"/>
        <v>0</v>
      </c>
      <c r="BR77" s="1">
        <f t="shared" si="33"/>
        <v>0</v>
      </c>
      <c r="BS77" s="95">
        <f t="shared" si="34"/>
        <v>7</v>
      </c>
      <c r="BT77" s="95">
        <f t="shared" si="35"/>
        <v>7</v>
      </c>
    </row>
    <row r="78" spans="1:72" x14ac:dyDescent="0.3">
      <c r="A78" s="56">
        <v>181</v>
      </c>
      <c r="B78" s="56">
        <v>20</v>
      </c>
      <c r="C78" s="109">
        <f t="shared" si="39"/>
        <v>44742.1875</v>
      </c>
      <c r="D78" s="101">
        <f t="shared" si="36"/>
        <v>0.25</v>
      </c>
      <c r="E78" s="102">
        <f t="shared" si="37"/>
        <v>18.75</v>
      </c>
      <c r="F78" s="91">
        <f t="shared" si="38"/>
        <v>18.75</v>
      </c>
      <c r="G78" s="26" t="s">
        <v>17</v>
      </c>
      <c r="H78" s="26" t="s">
        <v>17</v>
      </c>
      <c r="I78" s="26" t="s">
        <v>17</v>
      </c>
      <c r="J78" s="26" t="s">
        <v>18</v>
      </c>
      <c r="K78" s="107" t="s">
        <v>53</v>
      </c>
      <c r="L78" s="26" t="s">
        <v>17</v>
      </c>
      <c r="M78" s="26" t="s">
        <v>17</v>
      </c>
      <c r="N78" s="26" t="s">
        <v>17</v>
      </c>
      <c r="O78" s="107" t="s">
        <v>53</v>
      </c>
      <c r="P78" s="107" t="s">
        <v>54</v>
      </c>
      <c r="Q78" s="26" t="s">
        <v>17</v>
      </c>
      <c r="R78" s="26" t="s">
        <v>17</v>
      </c>
      <c r="S78" s="26" t="s">
        <v>17</v>
      </c>
      <c r="T78" s="26" t="s">
        <v>18</v>
      </c>
      <c r="U78" s="107" t="s">
        <v>54</v>
      </c>
      <c r="V78" s="26" t="s">
        <v>17</v>
      </c>
      <c r="W78" s="26" t="s">
        <v>17</v>
      </c>
      <c r="X78" s="26" t="s">
        <v>17</v>
      </c>
      <c r="Y78" s="26" t="s">
        <v>17</v>
      </c>
      <c r="Z78" s="107" t="s">
        <v>54</v>
      </c>
      <c r="AA78" s="26" t="s">
        <v>17</v>
      </c>
      <c r="AB78" s="26" t="s">
        <v>17</v>
      </c>
      <c r="AC78" s="107" t="s">
        <v>54</v>
      </c>
      <c r="AD78" s="107" t="s">
        <v>53</v>
      </c>
      <c r="AE78" s="107" t="s">
        <v>54</v>
      </c>
      <c r="AF78" s="26" t="s">
        <v>17</v>
      </c>
      <c r="AG78" s="26" t="s">
        <v>17</v>
      </c>
      <c r="AH78" s="26" t="s">
        <v>17</v>
      </c>
      <c r="AI78" s="26" t="s">
        <v>18</v>
      </c>
      <c r="AJ78" s="107" t="s">
        <v>53</v>
      </c>
      <c r="AK78" s="26" t="s">
        <v>17</v>
      </c>
      <c r="AL78" s="26" t="s">
        <v>17</v>
      </c>
      <c r="AM78" s="26" t="s">
        <v>18</v>
      </c>
      <c r="AN78" s="107" t="s">
        <v>53</v>
      </c>
      <c r="AO78" s="107" t="s">
        <v>53</v>
      </c>
      <c r="AP78" s="26" t="s">
        <v>17</v>
      </c>
      <c r="AQ78" s="26" t="s">
        <v>17</v>
      </c>
      <c r="AR78" s="26" t="s">
        <v>17</v>
      </c>
      <c r="AS78" s="107" t="s">
        <v>54</v>
      </c>
      <c r="AT78" s="107" t="s">
        <v>53</v>
      </c>
      <c r="AU78" s="26" t="s">
        <v>17</v>
      </c>
      <c r="AV78" s="26" t="s">
        <v>17</v>
      </c>
      <c r="AW78" s="26" t="s">
        <v>18</v>
      </c>
      <c r="AX78" s="107" t="s">
        <v>54</v>
      </c>
      <c r="AY78" s="107" t="s">
        <v>54</v>
      </c>
      <c r="AZ78" s="26" t="s">
        <v>17</v>
      </c>
      <c r="BA78" s="26" t="s">
        <v>17</v>
      </c>
      <c r="BB78" s="26" t="s">
        <v>17</v>
      </c>
      <c r="BC78" s="26" t="s">
        <v>18</v>
      </c>
      <c r="BD78" s="107" t="s">
        <v>53</v>
      </c>
      <c r="BE78">
        <v>18.75</v>
      </c>
      <c r="BF78" s="1">
        <f t="shared" si="47"/>
        <v>0</v>
      </c>
      <c r="BG78" s="1">
        <f t="shared" si="48"/>
        <v>0</v>
      </c>
      <c r="BH78" s="1">
        <f t="shared" si="40"/>
        <v>0</v>
      </c>
      <c r="BI78" s="1">
        <f t="shared" si="41"/>
        <v>0</v>
      </c>
      <c r="BJ78" s="1">
        <f t="shared" si="42"/>
        <v>0</v>
      </c>
      <c r="BK78" s="95">
        <f t="shared" si="31"/>
        <v>0</v>
      </c>
      <c r="BL78" s="95">
        <f t="shared" si="32"/>
        <v>0</v>
      </c>
      <c r="BN78" s="1">
        <f t="shared" si="43"/>
        <v>28</v>
      </c>
      <c r="BO78" s="1">
        <f t="shared" si="44"/>
        <v>6</v>
      </c>
      <c r="BP78" s="1">
        <f t="shared" si="45"/>
        <v>0</v>
      </c>
      <c r="BQ78" s="1">
        <f t="shared" si="46"/>
        <v>0</v>
      </c>
      <c r="BR78" s="1">
        <f t="shared" si="33"/>
        <v>0</v>
      </c>
      <c r="BS78" s="95">
        <f>COUNTIF($G78:$BD78, "AM_D")</f>
        <v>8</v>
      </c>
      <c r="BT78" s="95">
        <f>COUNTIF($G78:$BD78, "AF_D")</f>
        <v>8</v>
      </c>
    </row>
    <row r="79" spans="1:72" x14ac:dyDescent="0.3">
      <c r="A79" s="56">
        <v>181</v>
      </c>
      <c r="B79" s="56">
        <v>20</v>
      </c>
      <c r="C79" s="109">
        <f t="shared" si="39"/>
        <v>44742.4375</v>
      </c>
      <c r="D79" s="101">
        <f>(C79-C78)</f>
        <v>0.25</v>
      </c>
      <c r="E79" s="102">
        <f t="shared" si="37"/>
        <v>19</v>
      </c>
      <c r="F79" s="91">
        <f>F78+D79</f>
        <v>19</v>
      </c>
      <c r="G79" s="26" t="s">
        <v>17</v>
      </c>
      <c r="H79" s="26" t="s">
        <v>17</v>
      </c>
      <c r="I79" s="26" t="s">
        <v>17</v>
      </c>
      <c r="J79" s="26" t="s">
        <v>18</v>
      </c>
      <c r="K79" s="107" t="s">
        <v>53</v>
      </c>
      <c r="L79" s="26" t="s">
        <v>17</v>
      </c>
      <c r="M79" s="26" t="s">
        <v>17</v>
      </c>
      <c r="N79" s="26" t="s">
        <v>17</v>
      </c>
      <c r="O79" s="107" t="s">
        <v>53</v>
      </c>
      <c r="P79" s="107" t="s">
        <v>54</v>
      </c>
      <c r="Q79" s="26" t="s">
        <v>17</v>
      </c>
      <c r="R79" s="26" t="s">
        <v>17</v>
      </c>
      <c r="S79" s="26" t="s">
        <v>17</v>
      </c>
      <c r="T79" s="26" t="s">
        <v>18</v>
      </c>
      <c r="U79" s="107" t="s">
        <v>54</v>
      </c>
      <c r="V79" s="26" t="s">
        <v>17</v>
      </c>
      <c r="W79" s="26" t="s">
        <v>17</v>
      </c>
      <c r="X79" s="26" t="s">
        <v>17</v>
      </c>
      <c r="Y79" s="26" t="s">
        <v>17</v>
      </c>
      <c r="Z79" s="107" t="s">
        <v>54</v>
      </c>
      <c r="AA79" s="26" t="s">
        <v>17</v>
      </c>
      <c r="AB79" s="26" t="s">
        <v>17</v>
      </c>
      <c r="AC79" s="107" t="s">
        <v>54</v>
      </c>
      <c r="AD79" s="107" t="s">
        <v>53</v>
      </c>
      <c r="AE79" s="107" t="s">
        <v>54</v>
      </c>
      <c r="AF79" s="26" t="s">
        <v>17</v>
      </c>
      <c r="AG79" s="26" t="s">
        <v>17</v>
      </c>
      <c r="AH79" s="26" t="s">
        <v>17</v>
      </c>
      <c r="AI79" s="26" t="s">
        <v>18</v>
      </c>
      <c r="AJ79" s="107" t="s">
        <v>53</v>
      </c>
      <c r="AK79" s="26" t="s">
        <v>17</v>
      </c>
      <c r="AL79" s="26" t="s">
        <v>17</v>
      </c>
      <c r="AM79" s="26" t="s">
        <v>18</v>
      </c>
      <c r="AN79" s="107" t="s">
        <v>53</v>
      </c>
      <c r="AO79" s="107" t="s">
        <v>53</v>
      </c>
      <c r="AP79" s="26" t="s">
        <v>17</v>
      </c>
      <c r="AQ79" s="26" t="s">
        <v>17</v>
      </c>
      <c r="AR79" s="26" t="s">
        <v>17</v>
      </c>
      <c r="AS79" s="107" t="s">
        <v>54</v>
      </c>
      <c r="AT79" s="107" t="s">
        <v>53</v>
      </c>
      <c r="AU79" s="26" t="s">
        <v>17</v>
      </c>
      <c r="AV79" s="26" t="s">
        <v>17</v>
      </c>
      <c r="AW79" s="26" t="s">
        <v>18</v>
      </c>
      <c r="AX79" s="107" t="s">
        <v>54</v>
      </c>
      <c r="AY79" s="107" t="s">
        <v>54</v>
      </c>
      <c r="AZ79" s="26" t="s">
        <v>17</v>
      </c>
      <c r="BA79" s="26" t="s">
        <v>17</v>
      </c>
      <c r="BB79" s="26" t="s">
        <v>17</v>
      </c>
      <c r="BC79" s="26" t="s">
        <v>18</v>
      </c>
      <c r="BD79" s="107" t="s">
        <v>53</v>
      </c>
      <c r="BE79">
        <v>19</v>
      </c>
      <c r="BF79" s="1">
        <f t="shared" si="47"/>
        <v>0</v>
      </c>
      <c r="BG79" s="1">
        <f t="shared" si="48"/>
        <v>0</v>
      </c>
      <c r="BH79" s="1">
        <f t="shared" si="40"/>
        <v>0</v>
      </c>
      <c r="BI79" s="1">
        <f t="shared" si="41"/>
        <v>0</v>
      </c>
      <c r="BJ79" s="1">
        <f t="shared" si="42"/>
        <v>0</v>
      </c>
      <c r="BK79" s="95">
        <f t="shared" si="31"/>
        <v>0</v>
      </c>
      <c r="BL79" s="95">
        <f t="shared" si="32"/>
        <v>0</v>
      </c>
      <c r="BN79" s="1">
        <f t="shared" si="43"/>
        <v>28</v>
      </c>
      <c r="BO79" s="1">
        <f t="shared" si="44"/>
        <v>6</v>
      </c>
      <c r="BP79" s="1">
        <f t="shared" si="45"/>
        <v>0</v>
      </c>
      <c r="BQ79" s="1">
        <f t="shared" si="46"/>
        <v>0</v>
      </c>
      <c r="BR79" s="1">
        <f t="shared" si="33"/>
        <v>0</v>
      </c>
      <c r="BS79" s="95">
        <f>COUNTIF($G79:$BD79, "AM_D")</f>
        <v>8</v>
      </c>
      <c r="BT79" s="95">
        <f t="shared" si="35"/>
        <v>8</v>
      </c>
    </row>
    <row r="82" spans="65:78" x14ac:dyDescent="0.3">
      <c r="BM82" s="1">
        <v>0</v>
      </c>
      <c r="BN82">
        <f>BN4-BN3</f>
        <v>0</v>
      </c>
      <c r="BO82">
        <f t="shared" ref="BO82:BT82" si="49">BO4-BO3</f>
        <v>0</v>
      </c>
      <c r="BP82">
        <f t="shared" si="49"/>
        <v>0</v>
      </c>
      <c r="BQ82">
        <f t="shared" si="49"/>
        <v>0</v>
      </c>
      <c r="BR82">
        <f t="shared" si="49"/>
        <v>0</v>
      </c>
      <c r="BS82">
        <f t="shared" si="49"/>
        <v>0</v>
      </c>
      <c r="BT82">
        <f t="shared" si="49"/>
        <v>0</v>
      </c>
      <c r="BU82">
        <f>BN82+BN3</f>
        <v>0</v>
      </c>
      <c r="BV82">
        <f>BO82+BO3</f>
        <v>0</v>
      </c>
      <c r="BW82">
        <f>BP82+BP3</f>
        <v>0</v>
      </c>
      <c r="BX82">
        <f>BQ82+BQ3</f>
        <v>0</v>
      </c>
      <c r="BY82">
        <f>BR82+BR3</f>
        <v>0</v>
      </c>
      <c r="BZ82">
        <f>BS82+BS3</f>
        <v>0</v>
      </c>
    </row>
    <row r="83" spans="65:78" x14ac:dyDescent="0.3">
      <c r="BM83" s="1">
        <v>0.25</v>
      </c>
      <c r="BN83">
        <f t="shared" ref="BN83:BT146" si="50">BN5-BN4</f>
        <v>28</v>
      </c>
      <c r="BO83">
        <f t="shared" si="50"/>
        <v>0</v>
      </c>
      <c r="BP83">
        <f t="shared" si="50"/>
        <v>0</v>
      </c>
      <c r="BQ83">
        <f t="shared" si="50"/>
        <v>0</v>
      </c>
      <c r="BR83">
        <f t="shared" si="50"/>
        <v>0</v>
      </c>
      <c r="BS83">
        <f t="shared" si="50"/>
        <v>0</v>
      </c>
      <c r="BT83">
        <f t="shared" si="50"/>
        <v>0</v>
      </c>
      <c r="BU83">
        <f t="shared" ref="BU83:BZ83" si="51">BN83+BN4</f>
        <v>28</v>
      </c>
      <c r="BV83">
        <f t="shared" si="51"/>
        <v>0</v>
      </c>
      <c r="BW83">
        <f t="shared" si="51"/>
        <v>0</v>
      </c>
      <c r="BX83">
        <f t="shared" si="51"/>
        <v>0</v>
      </c>
      <c r="BY83">
        <f t="shared" si="51"/>
        <v>0</v>
      </c>
      <c r="BZ83">
        <f t="shared" si="51"/>
        <v>0</v>
      </c>
    </row>
    <row r="84" spans="65:78" x14ac:dyDescent="0.3">
      <c r="BM84" s="1">
        <v>0.5</v>
      </c>
      <c r="BN84">
        <f t="shared" si="50"/>
        <v>0</v>
      </c>
      <c r="BO84">
        <f t="shared" si="50"/>
        <v>0</v>
      </c>
      <c r="BP84">
        <f t="shared" si="50"/>
        <v>0</v>
      </c>
      <c r="BQ84">
        <f t="shared" si="50"/>
        <v>0</v>
      </c>
      <c r="BR84">
        <f t="shared" si="50"/>
        <v>0</v>
      </c>
      <c r="BS84">
        <f t="shared" si="50"/>
        <v>0</v>
      </c>
      <c r="BT84">
        <f t="shared" si="50"/>
        <v>0</v>
      </c>
      <c r="BU84">
        <f t="shared" ref="BU84:BZ84" si="52">BN84+BN5</f>
        <v>28</v>
      </c>
      <c r="BV84">
        <f t="shared" si="52"/>
        <v>0</v>
      </c>
      <c r="BW84">
        <f t="shared" si="52"/>
        <v>0</v>
      </c>
      <c r="BX84">
        <f t="shared" si="52"/>
        <v>0</v>
      </c>
      <c r="BY84">
        <f t="shared" si="52"/>
        <v>0</v>
      </c>
      <c r="BZ84">
        <f t="shared" si="52"/>
        <v>0</v>
      </c>
    </row>
    <row r="85" spans="65:78" x14ac:dyDescent="0.3">
      <c r="BM85" s="1">
        <v>0.75</v>
      </c>
      <c r="BN85">
        <f t="shared" si="50"/>
        <v>0</v>
      </c>
      <c r="BO85">
        <f t="shared" si="50"/>
        <v>0</v>
      </c>
      <c r="BP85">
        <f t="shared" si="50"/>
        <v>0</v>
      </c>
      <c r="BQ85">
        <f t="shared" si="50"/>
        <v>0</v>
      </c>
      <c r="BR85">
        <f t="shared" si="50"/>
        <v>0</v>
      </c>
      <c r="BS85">
        <f t="shared" si="50"/>
        <v>0</v>
      </c>
      <c r="BT85">
        <f t="shared" si="50"/>
        <v>0</v>
      </c>
      <c r="BU85">
        <f t="shared" ref="BU85:BZ85" si="53">BN85+BN6</f>
        <v>28</v>
      </c>
      <c r="BV85">
        <f t="shared" si="53"/>
        <v>0</v>
      </c>
      <c r="BW85">
        <f t="shared" si="53"/>
        <v>0</v>
      </c>
      <c r="BX85">
        <f t="shared" si="53"/>
        <v>0</v>
      </c>
      <c r="BY85">
        <f t="shared" si="53"/>
        <v>0</v>
      </c>
      <c r="BZ85">
        <f t="shared" si="53"/>
        <v>0</v>
      </c>
    </row>
    <row r="86" spans="65:78" x14ac:dyDescent="0.3">
      <c r="BM86" s="1">
        <v>1</v>
      </c>
      <c r="BN86">
        <f t="shared" si="50"/>
        <v>0</v>
      </c>
      <c r="BO86">
        <f t="shared" si="50"/>
        <v>0</v>
      </c>
      <c r="BP86">
        <f t="shared" si="50"/>
        <v>0</v>
      </c>
      <c r="BQ86">
        <f t="shared" si="50"/>
        <v>0</v>
      </c>
      <c r="BR86">
        <f t="shared" si="50"/>
        <v>0</v>
      </c>
      <c r="BS86">
        <f t="shared" si="50"/>
        <v>0</v>
      </c>
      <c r="BT86">
        <f t="shared" si="50"/>
        <v>0</v>
      </c>
      <c r="BU86">
        <f t="shared" ref="BU86:BZ86" si="54">BN86+BN7</f>
        <v>28</v>
      </c>
      <c r="BV86">
        <f t="shared" si="54"/>
        <v>0</v>
      </c>
      <c r="BW86">
        <f t="shared" si="54"/>
        <v>0</v>
      </c>
      <c r="BX86">
        <f t="shared" si="54"/>
        <v>0</v>
      </c>
      <c r="BY86">
        <f t="shared" si="54"/>
        <v>0</v>
      </c>
      <c r="BZ86">
        <f t="shared" si="54"/>
        <v>0</v>
      </c>
    </row>
    <row r="87" spans="65:78" x14ac:dyDescent="0.3">
      <c r="BM87" s="1">
        <v>1.25</v>
      </c>
      <c r="BN87">
        <f t="shared" si="50"/>
        <v>0</v>
      </c>
      <c r="BO87">
        <f t="shared" si="50"/>
        <v>5</v>
      </c>
      <c r="BP87">
        <f t="shared" si="50"/>
        <v>0</v>
      </c>
      <c r="BQ87">
        <f t="shared" si="50"/>
        <v>0</v>
      </c>
      <c r="BR87">
        <f t="shared" si="50"/>
        <v>0</v>
      </c>
      <c r="BS87">
        <f t="shared" si="50"/>
        <v>0</v>
      </c>
      <c r="BT87">
        <f t="shared" si="50"/>
        <v>0</v>
      </c>
      <c r="BU87">
        <f t="shared" ref="BU87:BZ87" si="55">BN87+BN8</f>
        <v>28</v>
      </c>
      <c r="BV87">
        <f t="shared" si="55"/>
        <v>5</v>
      </c>
      <c r="BW87">
        <f t="shared" si="55"/>
        <v>0</v>
      </c>
      <c r="BX87">
        <f t="shared" si="55"/>
        <v>0</v>
      </c>
      <c r="BY87">
        <f t="shared" si="55"/>
        <v>0</v>
      </c>
      <c r="BZ87">
        <f t="shared" si="55"/>
        <v>0</v>
      </c>
    </row>
    <row r="88" spans="65:78" x14ac:dyDescent="0.3">
      <c r="BM88" s="1">
        <v>1.5</v>
      </c>
      <c r="BN88">
        <f t="shared" si="50"/>
        <v>0</v>
      </c>
      <c r="BO88">
        <f t="shared" si="50"/>
        <v>0</v>
      </c>
      <c r="BP88">
        <f t="shared" si="50"/>
        <v>0</v>
      </c>
      <c r="BQ88">
        <f t="shared" si="50"/>
        <v>0</v>
      </c>
      <c r="BR88">
        <f t="shared" si="50"/>
        <v>0</v>
      </c>
      <c r="BS88">
        <f t="shared" si="50"/>
        <v>0</v>
      </c>
      <c r="BT88">
        <f t="shared" si="50"/>
        <v>0</v>
      </c>
      <c r="BU88">
        <f t="shared" ref="BU88:BZ88" si="56">BN88+BN9</f>
        <v>28</v>
      </c>
      <c r="BV88">
        <f t="shared" si="56"/>
        <v>5</v>
      </c>
      <c r="BW88">
        <f t="shared" si="56"/>
        <v>0</v>
      </c>
      <c r="BX88">
        <f t="shared" si="56"/>
        <v>0</v>
      </c>
      <c r="BY88">
        <f t="shared" si="56"/>
        <v>0</v>
      </c>
      <c r="BZ88">
        <f t="shared" si="56"/>
        <v>0</v>
      </c>
    </row>
    <row r="89" spans="65:78" x14ac:dyDescent="0.3">
      <c r="BM89" s="1">
        <v>1.75</v>
      </c>
      <c r="BN89">
        <f t="shared" si="50"/>
        <v>0</v>
      </c>
      <c r="BO89">
        <f t="shared" si="50"/>
        <v>1</v>
      </c>
      <c r="BP89">
        <f t="shared" si="50"/>
        <v>0</v>
      </c>
      <c r="BQ89">
        <f t="shared" si="50"/>
        <v>0</v>
      </c>
      <c r="BR89">
        <f t="shared" si="50"/>
        <v>0</v>
      </c>
      <c r="BS89">
        <f t="shared" si="50"/>
        <v>0</v>
      </c>
      <c r="BT89">
        <f t="shared" si="50"/>
        <v>0</v>
      </c>
      <c r="BU89">
        <f t="shared" ref="BU89:BZ89" si="57">BN89+BN10</f>
        <v>28</v>
      </c>
      <c r="BV89">
        <f t="shared" si="57"/>
        <v>6</v>
      </c>
      <c r="BW89">
        <f t="shared" si="57"/>
        <v>0</v>
      </c>
      <c r="BX89">
        <f t="shared" si="57"/>
        <v>0</v>
      </c>
      <c r="BY89">
        <f t="shared" si="57"/>
        <v>0</v>
      </c>
      <c r="BZ89">
        <f t="shared" si="57"/>
        <v>0</v>
      </c>
    </row>
    <row r="90" spans="65:78" x14ac:dyDescent="0.3">
      <c r="BM90" s="1">
        <v>2</v>
      </c>
      <c r="BN90">
        <f t="shared" si="50"/>
        <v>0</v>
      </c>
      <c r="BO90">
        <f t="shared" si="50"/>
        <v>0</v>
      </c>
      <c r="BP90">
        <f t="shared" si="50"/>
        <v>0</v>
      </c>
      <c r="BQ90">
        <f t="shared" si="50"/>
        <v>0</v>
      </c>
      <c r="BR90">
        <f t="shared" si="50"/>
        <v>0</v>
      </c>
      <c r="BS90">
        <f t="shared" si="50"/>
        <v>0</v>
      </c>
      <c r="BT90">
        <f t="shared" si="50"/>
        <v>0</v>
      </c>
      <c r="BU90">
        <f t="shared" ref="BU90:BZ90" si="58">BN90+BN11</f>
        <v>28</v>
      </c>
      <c r="BV90">
        <f t="shared" si="58"/>
        <v>6</v>
      </c>
      <c r="BW90">
        <f t="shared" si="58"/>
        <v>0</v>
      </c>
      <c r="BX90">
        <f t="shared" si="58"/>
        <v>0</v>
      </c>
      <c r="BY90">
        <f t="shared" si="58"/>
        <v>0</v>
      </c>
      <c r="BZ90">
        <f t="shared" si="58"/>
        <v>0</v>
      </c>
    </row>
    <row r="91" spans="65:78" x14ac:dyDescent="0.3">
      <c r="BM91" s="1">
        <v>2.25</v>
      </c>
      <c r="BN91">
        <f t="shared" si="50"/>
        <v>0</v>
      </c>
      <c r="BO91">
        <f t="shared" si="50"/>
        <v>0</v>
      </c>
      <c r="BP91">
        <f t="shared" si="50"/>
        <v>0</v>
      </c>
      <c r="BQ91">
        <f t="shared" si="50"/>
        <v>0</v>
      </c>
      <c r="BR91">
        <f t="shared" si="50"/>
        <v>0</v>
      </c>
      <c r="BS91">
        <f t="shared" si="50"/>
        <v>0</v>
      </c>
      <c r="BT91">
        <f t="shared" si="50"/>
        <v>0</v>
      </c>
      <c r="BU91">
        <f t="shared" ref="BU91:BZ91" si="59">BN91+BN12</f>
        <v>28</v>
      </c>
      <c r="BV91">
        <f t="shared" si="59"/>
        <v>6</v>
      </c>
      <c r="BW91">
        <f t="shared" si="59"/>
        <v>0</v>
      </c>
      <c r="BX91">
        <f t="shared" si="59"/>
        <v>0</v>
      </c>
      <c r="BY91">
        <f t="shared" si="59"/>
        <v>0</v>
      </c>
      <c r="BZ91">
        <f t="shared" si="59"/>
        <v>0</v>
      </c>
    </row>
    <row r="92" spans="65:78" x14ac:dyDescent="0.3">
      <c r="BM92" s="1">
        <v>2.5</v>
      </c>
      <c r="BN92">
        <f t="shared" si="50"/>
        <v>0</v>
      </c>
      <c r="BO92">
        <f t="shared" si="50"/>
        <v>0</v>
      </c>
      <c r="BP92">
        <f t="shared" si="50"/>
        <v>0</v>
      </c>
      <c r="BQ92">
        <f t="shared" si="50"/>
        <v>0</v>
      </c>
      <c r="BR92">
        <f t="shared" si="50"/>
        <v>0</v>
      </c>
      <c r="BS92">
        <f t="shared" si="50"/>
        <v>0</v>
      </c>
      <c r="BT92">
        <f t="shared" si="50"/>
        <v>0</v>
      </c>
      <c r="BU92">
        <f t="shared" ref="BU92:BZ92" si="60">BN92+BN13</f>
        <v>28</v>
      </c>
      <c r="BV92">
        <f t="shared" si="60"/>
        <v>6</v>
      </c>
      <c r="BW92">
        <f t="shared" si="60"/>
        <v>0</v>
      </c>
      <c r="BX92">
        <f t="shared" si="60"/>
        <v>0</v>
      </c>
      <c r="BY92">
        <f t="shared" si="60"/>
        <v>0</v>
      </c>
      <c r="BZ92">
        <f t="shared" si="60"/>
        <v>0</v>
      </c>
    </row>
    <row r="93" spans="65:78" x14ac:dyDescent="0.3">
      <c r="BM93" s="1">
        <v>2.75</v>
      </c>
      <c r="BN93">
        <f t="shared" si="50"/>
        <v>0</v>
      </c>
      <c r="BO93">
        <f t="shared" si="50"/>
        <v>0</v>
      </c>
      <c r="BP93">
        <f t="shared" si="50"/>
        <v>0</v>
      </c>
      <c r="BQ93">
        <f t="shared" si="50"/>
        <v>0</v>
      </c>
      <c r="BR93">
        <f t="shared" si="50"/>
        <v>0</v>
      </c>
      <c r="BS93">
        <f t="shared" si="50"/>
        <v>0</v>
      </c>
      <c r="BT93">
        <f t="shared" si="50"/>
        <v>0</v>
      </c>
      <c r="BU93">
        <f t="shared" ref="BU93:BZ93" si="61">BN93+BN14</f>
        <v>28</v>
      </c>
      <c r="BV93">
        <f t="shared" si="61"/>
        <v>6</v>
      </c>
      <c r="BW93">
        <f t="shared" si="61"/>
        <v>0</v>
      </c>
      <c r="BX93">
        <f t="shared" si="61"/>
        <v>0</v>
      </c>
      <c r="BY93">
        <f t="shared" si="61"/>
        <v>0</v>
      </c>
      <c r="BZ93">
        <f t="shared" si="61"/>
        <v>0</v>
      </c>
    </row>
    <row r="94" spans="65:78" x14ac:dyDescent="0.3">
      <c r="BM94" s="1">
        <v>3</v>
      </c>
      <c r="BN94">
        <f t="shared" si="50"/>
        <v>0</v>
      </c>
      <c r="BO94">
        <f t="shared" si="50"/>
        <v>0</v>
      </c>
      <c r="BP94">
        <f t="shared" si="50"/>
        <v>0</v>
      </c>
      <c r="BQ94">
        <f t="shared" si="50"/>
        <v>0</v>
      </c>
      <c r="BR94">
        <f t="shared" si="50"/>
        <v>0</v>
      </c>
      <c r="BS94">
        <f t="shared" si="50"/>
        <v>0</v>
      </c>
      <c r="BT94">
        <f t="shared" si="50"/>
        <v>0</v>
      </c>
      <c r="BU94">
        <f t="shared" ref="BU94:BZ94" si="62">BN94+BN15</f>
        <v>28</v>
      </c>
      <c r="BV94">
        <f t="shared" si="62"/>
        <v>6</v>
      </c>
      <c r="BW94">
        <f t="shared" si="62"/>
        <v>0</v>
      </c>
      <c r="BX94">
        <f t="shared" si="62"/>
        <v>0</v>
      </c>
      <c r="BY94">
        <f t="shared" si="62"/>
        <v>0</v>
      </c>
      <c r="BZ94">
        <f t="shared" si="62"/>
        <v>0</v>
      </c>
    </row>
    <row r="95" spans="65:78" x14ac:dyDescent="0.3">
      <c r="BM95" s="1">
        <v>3.25</v>
      </c>
      <c r="BN95">
        <f t="shared" si="50"/>
        <v>0</v>
      </c>
      <c r="BO95">
        <f t="shared" si="50"/>
        <v>0</v>
      </c>
      <c r="BP95">
        <f t="shared" si="50"/>
        <v>0</v>
      </c>
      <c r="BQ95">
        <f t="shared" si="50"/>
        <v>0</v>
      </c>
      <c r="BR95">
        <f t="shared" si="50"/>
        <v>0</v>
      </c>
      <c r="BS95">
        <f t="shared" si="50"/>
        <v>0</v>
      </c>
      <c r="BT95">
        <f t="shared" si="50"/>
        <v>0</v>
      </c>
      <c r="BU95">
        <f t="shared" ref="BU95:BZ95" si="63">BN95+BN16</f>
        <v>28</v>
      </c>
      <c r="BV95">
        <f t="shared" si="63"/>
        <v>6</v>
      </c>
      <c r="BW95">
        <f t="shared" si="63"/>
        <v>0</v>
      </c>
      <c r="BX95">
        <f t="shared" si="63"/>
        <v>0</v>
      </c>
      <c r="BY95">
        <f t="shared" si="63"/>
        <v>0</v>
      </c>
      <c r="BZ95">
        <f t="shared" si="63"/>
        <v>0</v>
      </c>
    </row>
    <row r="96" spans="65:78" x14ac:dyDescent="0.3">
      <c r="BM96" s="1">
        <v>3.5</v>
      </c>
      <c r="BN96">
        <f t="shared" si="50"/>
        <v>0</v>
      </c>
      <c r="BO96">
        <f t="shared" si="50"/>
        <v>0</v>
      </c>
      <c r="BP96">
        <f t="shared" si="50"/>
        <v>0</v>
      </c>
      <c r="BQ96">
        <f t="shared" si="50"/>
        <v>0</v>
      </c>
      <c r="BR96">
        <f t="shared" si="50"/>
        <v>0</v>
      </c>
      <c r="BS96">
        <f t="shared" si="50"/>
        <v>0</v>
      </c>
      <c r="BT96">
        <f t="shared" si="50"/>
        <v>0</v>
      </c>
      <c r="BU96">
        <f t="shared" ref="BU96:BZ96" si="64">BN96+BN17</f>
        <v>28</v>
      </c>
      <c r="BV96">
        <f t="shared" si="64"/>
        <v>6</v>
      </c>
      <c r="BW96">
        <f t="shared" si="64"/>
        <v>0</v>
      </c>
      <c r="BX96">
        <f t="shared" si="64"/>
        <v>0</v>
      </c>
      <c r="BY96">
        <f t="shared" si="64"/>
        <v>0</v>
      </c>
      <c r="BZ96">
        <f t="shared" si="64"/>
        <v>0</v>
      </c>
    </row>
    <row r="97" spans="65:78" x14ac:dyDescent="0.3">
      <c r="BM97" s="1">
        <v>3.75</v>
      </c>
      <c r="BN97">
        <f t="shared" si="50"/>
        <v>0</v>
      </c>
      <c r="BO97">
        <f t="shared" si="50"/>
        <v>0</v>
      </c>
      <c r="BP97">
        <f t="shared" si="50"/>
        <v>0</v>
      </c>
      <c r="BQ97">
        <f t="shared" si="50"/>
        <v>0</v>
      </c>
      <c r="BR97">
        <f t="shared" si="50"/>
        <v>0</v>
      </c>
      <c r="BS97">
        <f t="shared" si="50"/>
        <v>0</v>
      </c>
      <c r="BT97">
        <f t="shared" si="50"/>
        <v>0</v>
      </c>
      <c r="BU97">
        <f t="shared" ref="BU97:BZ97" si="65">BN97+BN18</f>
        <v>28</v>
      </c>
      <c r="BV97">
        <f t="shared" si="65"/>
        <v>6</v>
      </c>
      <c r="BW97">
        <f t="shared" si="65"/>
        <v>0</v>
      </c>
      <c r="BX97">
        <f t="shared" si="65"/>
        <v>0</v>
      </c>
      <c r="BY97">
        <f t="shared" si="65"/>
        <v>0</v>
      </c>
      <c r="BZ97">
        <f t="shared" si="65"/>
        <v>0</v>
      </c>
    </row>
    <row r="98" spans="65:78" x14ac:dyDescent="0.3">
      <c r="BM98" s="1">
        <v>4</v>
      </c>
      <c r="BN98">
        <f t="shared" si="50"/>
        <v>0</v>
      </c>
      <c r="BO98">
        <f t="shared" si="50"/>
        <v>0</v>
      </c>
      <c r="BP98">
        <f t="shared" si="50"/>
        <v>0</v>
      </c>
      <c r="BQ98">
        <f t="shared" si="50"/>
        <v>0</v>
      </c>
      <c r="BR98">
        <f t="shared" si="50"/>
        <v>0</v>
      </c>
      <c r="BS98">
        <f t="shared" si="50"/>
        <v>0</v>
      </c>
      <c r="BT98">
        <f t="shared" si="50"/>
        <v>0</v>
      </c>
      <c r="BU98">
        <f t="shared" ref="BU98:BZ98" si="66">BN98+BN19</f>
        <v>28</v>
      </c>
      <c r="BV98">
        <f t="shared" si="66"/>
        <v>6</v>
      </c>
      <c r="BW98">
        <f t="shared" si="66"/>
        <v>0</v>
      </c>
      <c r="BX98">
        <f t="shared" si="66"/>
        <v>0</v>
      </c>
      <c r="BY98">
        <f t="shared" si="66"/>
        <v>0</v>
      </c>
      <c r="BZ98">
        <f t="shared" si="66"/>
        <v>0</v>
      </c>
    </row>
    <row r="99" spans="65:78" x14ac:dyDescent="0.3">
      <c r="BM99" s="1">
        <v>4.25</v>
      </c>
      <c r="BN99">
        <f t="shared" si="50"/>
        <v>0</v>
      </c>
      <c r="BO99">
        <f t="shared" si="50"/>
        <v>0</v>
      </c>
      <c r="BP99">
        <f t="shared" si="50"/>
        <v>0</v>
      </c>
      <c r="BQ99">
        <f t="shared" si="50"/>
        <v>0</v>
      </c>
      <c r="BR99">
        <f t="shared" si="50"/>
        <v>0</v>
      </c>
      <c r="BS99">
        <f t="shared" si="50"/>
        <v>0</v>
      </c>
      <c r="BT99">
        <f t="shared" si="50"/>
        <v>0</v>
      </c>
      <c r="BU99">
        <f t="shared" ref="BU99:BZ99" si="67">BN99+BN20</f>
        <v>28</v>
      </c>
      <c r="BV99">
        <f t="shared" si="67"/>
        <v>6</v>
      </c>
      <c r="BW99">
        <f t="shared" si="67"/>
        <v>0</v>
      </c>
      <c r="BX99">
        <f t="shared" si="67"/>
        <v>0</v>
      </c>
      <c r="BY99">
        <f t="shared" si="67"/>
        <v>0</v>
      </c>
      <c r="BZ99">
        <f t="shared" si="67"/>
        <v>0</v>
      </c>
    </row>
    <row r="100" spans="65:78" x14ac:dyDescent="0.3">
      <c r="BM100" s="1">
        <v>4.5</v>
      </c>
      <c r="BN100">
        <f t="shared" si="50"/>
        <v>0</v>
      </c>
      <c r="BO100">
        <f t="shared" si="50"/>
        <v>0</v>
      </c>
      <c r="BP100">
        <f t="shared" si="50"/>
        <v>0</v>
      </c>
      <c r="BQ100">
        <f t="shared" si="50"/>
        <v>0</v>
      </c>
      <c r="BR100">
        <f t="shared" si="50"/>
        <v>0</v>
      </c>
      <c r="BS100">
        <f t="shared" si="50"/>
        <v>0</v>
      </c>
      <c r="BT100">
        <f t="shared" si="50"/>
        <v>0</v>
      </c>
      <c r="BU100">
        <f t="shared" ref="BU100:BZ100" si="68">BN100+BN21</f>
        <v>28</v>
      </c>
      <c r="BV100">
        <f t="shared" si="68"/>
        <v>6</v>
      </c>
      <c r="BW100">
        <f t="shared" si="68"/>
        <v>0</v>
      </c>
      <c r="BX100">
        <f t="shared" si="68"/>
        <v>0</v>
      </c>
      <c r="BY100">
        <f t="shared" si="68"/>
        <v>0</v>
      </c>
      <c r="BZ100">
        <f t="shared" si="68"/>
        <v>0</v>
      </c>
    </row>
    <row r="101" spans="65:78" x14ac:dyDescent="0.3">
      <c r="BM101" s="1">
        <v>4.75</v>
      </c>
      <c r="BN101">
        <f t="shared" si="50"/>
        <v>0</v>
      </c>
      <c r="BO101">
        <f t="shared" si="50"/>
        <v>0</v>
      </c>
      <c r="BP101">
        <f t="shared" si="50"/>
        <v>0</v>
      </c>
      <c r="BQ101">
        <f t="shared" si="50"/>
        <v>0</v>
      </c>
      <c r="BR101">
        <f t="shared" si="50"/>
        <v>0</v>
      </c>
      <c r="BS101">
        <f t="shared" si="50"/>
        <v>0</v>
      </c>
      <c r="BT101">
        <f t="shared" si="50"/>
        <v>0</v>
      </c>
      <c r="BU101">
        <f t="shared" ref="BU101:BZ101" si="69">BN101+BN22</f>
        <v>28</v>
      </c>
      <c r="BV101">
        <f t="shared" si="69"/>
        <v>6</v>
      </c>
      <c r="BW101">
        <f t="shared" si="69"/>
        <v>0</v>
      </c>
      <c r="BX101">
        <f t="shared" si="69"/>
        <v>0</v>
      </c>
      <c r="BY101">
        <f t="shared" si="69"/>
        <v>0</v>
      </c>
      <c r="BZ101">
        <f t="shared" si="69"/>
        <v>0</v>
      </c>
    </row>
    <row r="102" spans="65:78" x14ac:dyDescent="0.3">
      <c r="BM102" s="1">
        <v>5</v>
      </c>
      <c r="BN102">
        <f t="shared" si="50"/>
        <v>0</v>
      </c>
      <c r="BO102">
        <f t="shared" si="50"/>
        <v>0</v>
      </c>
      <c r="BP102">
        <f t="shared" si="50"/>
        <v>0</v>
      </c>
      <c r="BQ102">
        <f t="shared" si="50"/>
        <v>0</v>
      </c>
      <c r="BR102">
        <f t="shared" si="50"/>
        <v>0</v>
      </c>
      <c r="BS102">
        <f t="shared" si="50"/>
        <v>0</v>
      </c>
      <c r="BT102">
        <f t="shared" si="50"/>
        <v>0</v>
      </c>
      <c r="BU102">
        <f t="shared" ref="BU102:BZ102" si="70">BN102+BN23</f>
        <v>28</v>
      </c>
      <c r="BV102">
        <f t="shared" si="70"/>
        <v>6</v>
      </c>
      <c r="BW102">
        <f t="shared" si="70"/>
        <v>0</v>
      </c>
      <c r="BX102">
        <f t="shared" si="70"/>
        <v>0</v>
      </c>
      <c r="BY102">
        <f t="shared" si="70"/>
        <v>0</v>
      </c>
      <c r="BZ102">
        <f t="shared" si="70"/>
        <v>0</v>
      </c>
    </row>
    <row r="103" spans="65:78" x14ac:dyDescent="0.3">
      <c r="BM103" s="1">
        <v>5.25</v>
      </c>
      <c r="BN103">
        <f t="shared" si="50"/>
        <v>0</v>
      </c>
      <c r="BO103">
        <f t="shared" si="50"/>
        <v>0</v>
      </c>
      <c r="BP103">
        <f t="shared" si="50"/>
        <v>0</v>
      </c>
      <c r="BQ103">
        <f t="shared" si="50"/>
        <v>0</v>
      </c>
      <c r="BR103">
        <f t="shared" si="50"/>
        <v>0</v>
      </c>
      <c r="BS103">
        <f t="shared" si="50"/>
        <v>0</v>
      </c>
      <c r="BT103">
        <f t="shared" si="50"/>
        <v>0</v>
      </c>
      <c r="BU103">
        <f t="shared" ref="BU103:BZ103" si="71">BN103+BN24</f>
        <v>28</v>
      </c>
      <c r="BV103">
        <f t="shared" si="71"/>
        <v>6</v>
      </c>
      <c r="BW103">
        <f t="shared" si="71"/>
        <v>0</v>
      </c>
      <c r="BX103">
        <f t="shared" si="71"/>
        <v>0</v>
      </c>
      <c r="BY103">
        <f t="shared" si="71"/>
        <v>0</v>
      </c>
      <c r="BZ103">
        <f t="shared" si="71"/>
        <v>0</v>
      </c>
    </row>
    <row r="104" spans="65:78" x14ac:dyDescent="0.3">
      <c r="BM104" s="1">
        <v>5.5</v>
      </c>
      <c r="BN104">
        <f t="shared" si="50"/>
        <v>0</v>
      </c>
      <c r="BO104">
        <f t="shared" si="50"/>
        <v>0</v>
      </c>
      <c r="BP104">
        <f t="shared" si="50"/>
        <v>0</v>
      </c>
      <c r="BQ104">
        <f t="shared" si="50"/>
        <v>0</v>
      </c>
      <c r="BR104">
        <f t="shared" si="50"/>
        <v>0</v>
      </c>
      <c r="BS104">
        <f t="shared" si="50"/>
        <v>0</v>
      </c>
      <c r="BT104">
        <f t="shared" si="50"/>
        <v>0</v>
      </c>
      <c r="BU104">
        <f t="shared" ref="BU104:BZ104" si="72">BN104+BN25</f>
        <v>28</v>
      </c>
      <c r="BV104">
        <f t="shared" si="72"/>
        <v>6</v>
      </c>
      <c r="BW104">
        <f t="shared" si="72"/>
        <v>0</v>
      </c>
      <c r="BX104">
        <f t="shared" si="72"/>
        <v>0</v>
      </c>
      <c r="BY104">
        <f t="shared" si="72"/>
        <v>0</v>
      </c>
      <c r="BZ104">
        <f t="shared" si="72"/>
        <v>0</v>
      </c>
    </row>
    <row r="105" spans="65:78" x14ac:dyDescent="0.3">
      <c r="BM105" s="1">
        <v>5.75</v>
      </c>
      <c r="BN105">
        <f t="shared" si="50"/>
        <v>0</v>
      </c>
      <c r="BO105">
        <f t="shared" si="50"/>
        <v>0</v>
      </c>
      <c r="BP105">
        <f t="shared" si="50"/>
        <v>0</v>
      </c>
      <c r="BQ105">
        <f t="shared" si="50"/>
        <v>0</v>
      </c>
      <c r="BR105">
        <f t="shared" si="50"/>
        <v>0</v>
      </c>
      <c r="BS105">
        <f t="shared" si="50"/>
        <v>0</v>
      </c>
      <c r="BT105">
        <f t="shared" si="50"/>
        <v>0</v>
      </c>
      <c r="BU105">
        <f t="shared" ref="BU105:BZ105" si="73">BN105+BN26</f>
        <v>28</v>
      </c>
      <c r="BV105">
        <f t="shared" si="73"/>
        <v>6</v>
      </c>
      <c r="BW105">
        <f t="shared" si="73"/>
        <v>0</v>
      </c>
      <c r="BX105">
        <f t="shared" si="73"/>
        <v>0</v>
      </c>
      <c r="BY105">
        <f t="shared" si="73"/>
        <v>0</v>
      </c>
      <c r="BZ105">
        <f t="shared" si="73"/>
        <v>0</v>
      </c>
    </row>
    <row r="106" spans="65:78" x14ac:dyDescent="0.3">
      <c r="BM106" s="1">
        <v>6</v>
      </c>
      <c r="BN106">
        <f t="shared" si="50"/>
        <v>0</v>
      </c>
      <c r="BO106">
        <f t="shared" si="50"/>
        <v>0</v>
      </c>
      <c r="BP106">
        <f t="shared" si="50"/>
        <v>0</v>
      </c>
      <c r="BQ106">
        <f t="shared" si="50"/>
        <v>0</v>
      </c>
      <c r="BR106">
        <f t="shared" si="50"/>
        <v>0</v>
      </c>
      <c r="BS106">
        <f t="shared" si="50"/>
        <v>0</v>
      </c>
      <c r="BT106">
        <f t="shared" si="50"/>
        <v>0</v>
      </c>
      <c r="BU106">
        <f t="shared" ref="BU106:BZ106" si="74">BN106+BN27</f>
        <v>28</v>
      </c>
      <c r="BV106">
        <f t="shared" si="74"/>
        <v>6</v>
      </c>
      <c r="BW106">
        <f t="shared" si="74"/>
        <v>0</v>
      </c>
      <c r="BX106">
        <f t="shared" si="74"/>
        <v>0</v>
      </c>
      <c r="BY106">
        <f t="shared" si="74"/>
        <v>0</v>
      </c>
      <c r="BZ106">
        <f t="shared" si="74"/>
        <v>0</v>
      </c>
    </row>
    <row r="107" spans="65:78" x14ac:dyDescent="0.3">
      <c r="BM107" s="1">
        <v>6.25</v>
      </c>
      <c r="BN107">
        <f t="shared" si="50"/>
        <v>0</v>
      </c>
      <c r="BO107">
        <f t="shared" si="50"/>
        <v>0</v>
      </c>
      <c r="BP107">
        <f t="shared" si="50"/>
        <v>0</v>
      </c>
      <c r="BQ107">
        <f t="shared" si="50"/>
        <v>0</v>
      </c>
      <c r="BR107">
        <f t="shared" si="50"/>
        <v>0</v>
      </c>
      <c r="BS107">
        <f t="shared" si="50"/>
        <v>0</v>
      </c>
      <c r="BT107">
        <f t="shared" si="50"/>
        <v>0</v>
      </c>
      <c r="BU107">
        <f t="shared" ref="BU107:BZ107" si="75">BN107+BN28</f>
        <v>28</v>
      </c>
      <c r="BV107">
        <f t="shared" si="75"/>
        <v>6</v>
      </c>
      <c r="BW107">
        <f t="shared" si="75"/>
        <v>0</v>
      </c>
      <c r="BX107">
        <f t="shared" si="75"/>
        <v>0</v>
      </c>
      <c r="BY107">
        <f t="shared" si="75"/>
        <v>0</v>
      </c>
      <c r="BZ107">
        <f t="shared" si="75"/>
        <v>0</v>
      </c>
    </row>
    <row r="108" spans="65:78" x14ac:dyDescent="0.3">
      <c r="BM108" s="1">
        <v>6.5</v>
      </c>
      <c r="BN108">
        <f t="shared" si="50"/>
        <v>0</v>
      </c>
      <c r="BO108">
        <f t="shared" si="50"/>
        <v>0</v>
      </c>
      <c r="BP108">
        <f t="shared" si="50"/>
        <v>0</v>
      </c>
      <c r="BQ108">
        <f t="shared" si="50"/>
        <v>0</v>
      </c>
      <c r="BR108">
        <f t="shared" si="50"/>
        <v>0</v>
      </c>
      <c r="BS108">
        <f t="shared" si="50"/>
        <v>0</v>
      </c>
      <c r="BT108">
        <f t="shared" si="50"/>
        <v>0</v>
      </c>
      <c r="BU108">
        <f t="shared" ref="BU108:BZ108" si="76">BN108+BN29</f>
        <v>28</v>
      </c>
      <c r="BV108">
        <f t="shared" si="76"/>
        <v>6</v>
      </c>
      <c r="BW108">
        <f t="shared" si="76"/>
        <v>0</v>
      </c>
      <c r="BX108">
        <f t="shared" si="76"/>
        <v>0</v>
      </c>
      <c r="BY108">
        <f t="shared" si="76"/>
        <v>0</v>
      </c>
      <c r="BZ108">
        <f t="shared" si="76"/>
        <v>0</v>
      </c>
    </row>
    <row r="109" spans="65:78" x14ac:dyDescent="0.3">
      <c r="BM109" s="1">
        <v>6.75</v>
      </c>
      <c r="BN109">
        <f t="shared" si="50"/>
        <v>0</v>
      </c>
      <c r="BO109">
        <f t="shared" si="50"/>
        <v>0</v>
      </c>
      <c r="BP109">
        <f t="shared" si="50"/>
        <v>0</v>
      </c>
      <c r="BQ109">
        <f t="shared" si="50"/>
        <v>0</v>
      </c>
      <c r="BR109">
        <f t="shared" si="50"/>
        <v>0</v>
      </c>
      <c r="BS109">
        <f t="shared" si="50"/>
        <v>0</v>
      </c>
      <c r="BT109">
        <f t="shared" si="50"/>
        <v>0</v>
      </c>
      <c r="BU109">
        <f t="shared" ref="BU109:BZ109" si="77">BN109+BN30</f>
        <v>28</v>
      </c>
      <c r="BV109">
        <f t="shared" si="77"/>
        <v>6</v>
      </c>
      <c r="BW109">
        <f t="shared" si="77"/>
        <v>0</v>
      </c>
      <c r="BX109">
        <f t="shared" si="77"/>
        <v>0</v>
      </c>
      <c r="BY109">
        <f t="shared" si="77"/>
        <v>0</v>
      </c>
      <c r="BZ109">
        <f t="shared" si="77"/>
        <v>0</v>
      </c>
    </row>
    <row r="110" spans="65:78" x14ac:dyDescent="0.3">
      <c r="BM110" s="1">
        <v>7</v>
      </c>
      <c r="BN110">
        <f t="shared" si="50"/>
        <v>0</v>
      </c>
      <c r="BO110">
        <f t="shared" si="50"/>
        <v>0</v>
      </c>
      <c r="BP110">
        <f t="shared" si="50"/>
        <v>0</v>
      </c>
      <c r="BQ110">
        <f t="shared" si="50"/>
        <v>0</v>
      </c>
      <c r="BR110">
        <f t="shared" si="50"/>
        <v>0</v>
      </c>
      <c r="BS110">
        <f t="shared" si="50"/>
        <v>0</v>
      </c>
      <c r="BT110">
        <f t="shared" si="50"/>
        <v>0</v>
      </c>
      <c r="BU110">
        <f t="shared" ref="BU110:BZ110" si="78">BN110+BN31</f>
        <v>28</v>
      </c>
      <c r="BV110">
        <f t="shared" si="78"/>
        <v>6</v>
      </c>
      <c r="BW110">
        <f t="shared" si="78"/>
        <v>0</v>
      </c>
      <c r="BX110">
        <f t="shared" si="78"/>
        <v>0</v>
      </c>
      <c r="BY110">
        <f t="shared" si="78"/>
        <v>0</v>
      </c>
      <c r="BZ110">
        <f t="shared" si="78"/>
        <v>0</v>
      </c>
    </row>
    <row r="111" spans="65:78" x14ac:dyDescent="0.3">
      <c r="BM111" s="1">
        <v>7.25</v>
      </c>
      <c r="BN111">
        <f t="shared" si="50"/>
        <v>0</v>
      </c>
      <c r="BO111">
        <f t="shared" si="50"/>
        <v>0</v>
      </c>
      <c r="BP111">
        <f t="shared" si="50"/>
        <v>0</v>
      </c>
      <c r="BQ111">
        <f t="shared" si="50"/>
        <v>0</v>
      </c>
      <c r="BR111">
        <f t="shared" si="50"/>
        <v>0</v>
      </c>
      <c r="BS111">
        <f t="shared" si="50"/>
        <v>0</v>
      </c>
      <c r="BT111">
        <f t="shared" si="50"/>
        <v>0</v>
      </c>
      <c r="BU111">
        <f t="shared" ref="BU111:BZ111" si="79">BN111+BN32</f>
        <v>28</v>
      </c>
      <c r="BV111">
        <f t="shared" si="79"/>
        <v>6</v>
      </c>
      <c r="BW111">
        <f t="shared" si="79"/>
        <v>0</v>
      </c>
      <c r="BX111">
        <f t="shared" si="79"/>
        <v>0</v>
      </c>
      <c r="BY111">
        <f t="shared" si="79"/>
        <v>0</v>
      </c>
      <c r="BZ111">
        <f t="shared" si="79"/>
        <v>0</v>
      </c>
    </row>
    <row r="112" spans="65:78" x14ac:dyDescent="0.3">
      <c r="BM112" s="1">
        <v>7.5</v>
      </c>
      <c r="BN112">
        <f t="shared" si="50"/>
        <v>0</v>
      </c>
      <c r="BO112">
        <f t="shared" si="50"/>
        <v>0</v>
      </c>
      <c r="BP112">
        <f t="shared" si="50"/>
        <v>0</v>
      </c>
      <c r="BQ112">
        <f t="shared" si="50"/>
        <v>0</v>
      </c>
      <c r="BR112">
        <f t="shared" si="50"/>
        <v>0</v>
      </c>
      <c r="BS112">
        <f t="shared" si="50"/>
        <v>0</v>
      </c>
      <c r="BT112">
        <f t="shared" si="50"/>
        <v>0</v>
      </c>
      <c r="BU112">
        <f t="shared" ref="BU112:BZ112" si="80">BN112+BN33</f>
        <v>28</v>
      </c>
      <c r="BV112">
        <f t="shared" si="80"/>
        <v>6</v>
      </c>
      <c r="BW112">
        <f t="shared" si="80"/>
        <v>0</v>
      </c>
      <c r="BX112">
        <f t="shared" si="80"/>
        <v>0</v>
      </c>
      <c r="BY112">
        <f t="shared" si="80"/>
        <v>0</v>
      </c>
      <c r="BZ112">
        <f t="shared" si="80"/>
        <v>0</v>
      </c>
    </row>
    <row r="113" spans="65:78" x14ac:dyDescent="0.3">
      <c r="BM113" s="1">
        <v>7.75</v>
      </c>
      <c r="BN113">
        <f t="shared" si="50"/>
        <v>0</v>
      </c>
      <c r="BO113">
        <f t="shared" si="50"/>
        <v>0</v>
      </c>
      <c r="BP113">
        <f t="shared" si="50"/>
        <v>0</v>
      </c>
      <c r="BQ113">
        <f t="shared" si="50"/>
        <v>0</v>
      </c>
      <c r="BR113">
        <f t="shared" si="50"/>
        <v>0</v>
      </c>
      <c r="BS113">
        <f t="shared" si="50"/>
        <v>0</v>
      </c>
      <c r="BT113">
        <f t="shared" si="50"/>
        <v>0</v>
      </c>
      <c r="BU113">
        <f t="shared" ref="BU113:BZ113" si="81">BN113+BN34</f>
        <v>28</v>
      </c>
      <c r="BV113">
        <f t="shared" si="81"/>
        <v>6</v>
      </c>
      <c r="BW113">
        <f t="shared" si="81"/>
        <v>0</v>
      </c>
      <c r="BX113">
        <f t="shared" si="81"/>
        <v>0</v>
      </c>
      <c r="BY113">
        <f t="shared" si="81"/>
        <v>0</v>
      </c>
      <c r="BZ113">
        <f t="shared" si="81"/>
        <v>0</v>
      </c>
    </row>
    <row r="114" spans="65:78" x14ac:dyDescent="0.3">
      <c r="BM114" s="1">
        <v>8</v>
      </c>
      <c r="BN114">
        <f t="shared" si="50"/>
        <v>0</v>
      </c>
      <c r="BO114">
        <f t="shared" si="50"/>
        <v>0</v>
      </c>
      <c r="BP114">
        <f t="shared" si="50"/>
        <v>0</v>
      </c>
      <c r="BQ114">
        <f t="shared" si="50"/>
        <v>0</v>
      </c>
      <c r="BR114">
        <f t="shared" si="50"/>
        <v>0</v>
      </c>
      <c r="BS114">
        <f t="shared" si="50"/>
        <v>0</v>
      </c>
      <c r="BT114">
        <f t="shared" ref="BT114" si="82">BT36-BT35</f>
        <v>0</v>
      </c>
      <c r="BU114">
        <f t="shared" ref="BU114:BZ114" si="83">BN114+BN35</f>
        <v>28</v>
      </c>
      <c r="BV114">
        <f t="shared" si="83"/>
        <v>6</v>
      </c>
      <c r="BW114">
        <f t="shared" si="83"/>
        <v>0</v>
      </c>
      <c r="BX114">
        <f t="shared" si="83"/>
        <v>0</v>
      </c>
      <c r="BY114">
        <f t="shared" si="83"/>
        <v>0</v>
      </c>
      <c r="BZ114">
        <f t="shared" si="83"/>
        <v>0</v>
      </c>
    </row>
    <row r="115" spans="65:78" x14ac:dyDescent="0.3">
      <c r="BM115" s="1">
        <v>8.25</v>
      </c>
      <c r="BN115">
        <f t="shared" si="50"/>
        <v>0</v>
      </c>
      <c r="BO115">
        <f t="shared" ref="BO115:BT115" si="84">BO37-BO36</f>
        <v>0</v>
      </c>
      <c r="BP115">
        <f t="shared" si="84"/>
        <v>0</v>
      </c>
      <c r="BQ115">
        <f t="shared" si="84"/>
        <v>0</v>
      </c>
      <c r="BR115">
        <f t="shared" si="84"/>
        <v>0</v>
      </c>
      <c r="BS115">
        <f t="shared" si="84"/>
        <v>0</v>
      </c>
      <c r="BT115">
        <f t="shared" si="84"/>
        <v>0</v>
      </c>
      <c r="BU115">
        <f t="shared" ref="BU115:BZ115" si="85">BN115+BN36</f>
        <v>28</v>
      </c>
      <c r="BV115">
        <f t="shared" si="85"/>
        <v>6</v>
      </c>
      <c r="BW115">
        <f t="shared" si="85"/>
        <v>0</v>
      </c>
      <c r="BX115">
        <f t="shared" si="85"/>
        <v>0</v>
      </c>
      <c r="BY115">
        <f t="shared" si="85"/>
        <v>0</v>
      </c>
      <c r="BZ115">
        <f t="shared" si="85"/>
        <v>0</v>
      </c>
    </row>
    <row r="116" spans="65:78" x14ac:dyDescent="0.3">
      <c r="BM116" s="1">
        <v>8.5</v>
      </c>
      <c r="BN116">
        <f t="shared" si="50"/>
        <v>0</v>
      </c>
      <c r="BO116">
        <f t="shared" ref="BO116:BT116" si="86">BO38-BO37</f>
        <v>0</v>
      </c>
      <c r="BP116">
        <f t="shared" si="86"/>
        <v>0</v>
      </c>
      <c r="BQ116">
        <f t="shared" si="86"/>
        <v>0</v>
      </c>
      <c r="BR116">
        <f t="shared" si="86"/>
        <v>0</v>
      </c>
      <c r="BS116">
        <f t="shared" si="86"/>
        <v>0</v>
      </c>
      <c r="BT116">
        <f t="shared" si="86"/>
        <v>0</v>
      </c>
      <c r="BU116">
        <f t="shared" ref="BU116:BZ116" si="87">BN116+BN37</f>
        <v>28</v>
      </c>
      <c r="BV116">
        <f t="shared" si="87"/>
        <v>6</v>
      </c>
      <c r="BW116">
        <f t="shared" si="87"/>
        <v>0</v>
      </c>
      <c r="BX116">
        <f t="shared" si="87"/>
        <v>0</v>
      </c>
      <c r="BY116">
        <f t="shared" si="87"/>
        <v>0</v>
      </c>
      <c r="BZ116">
        <f t="shared" si="87"/>
        <v>0</v>
      </c>
    </row>
    <row r="117" spans="65:78" x14ac:dyDescent="0.3">
      <c r="BM117" s="1">
        <v>8.75</v>
      </c>
      <c r="BN117">
        <f t="shared" si="50"/>
        <v>0</v>
      </c>
      <c r="BO117">
        <f t="shared" ref="BO117:BT117" si="88">BO39-BO38</f>
        <v>0</v>
      </c>
      <c r="BP117">
        <f t="shared" si="88"/>
        <v>0</v>
      </c>
      <c r="BQ117">
        <f t="shared" si="88"/>
        <v>0</v>
      </c>
      <c r="BR117">
        <f t="shared" si="88"/>
        <v>0</v>
      </c>
      <c r="BS117">
        <f t="shared" si="88"/>
        <v>0</v>
      </c>
      <c r="BT117">
        <f t="shared" si="88"/>
        <v>0</v>
      </c>
      <c r="BU117">
        <f t="shared" ref="BU117:BZ117" si="89">BN117+BN38</f>
        <v>28</v>
      </c>
      <c r="BV117">
        <f t="shared" si="89"/>
        <v>6</v>
      </c>
      <c r="BW117">
        <f t="shared" si="89"/>
        <v>0</v>
      </c>
      <c r="BX117">
        <f t="shared" si="89"/>
        <v>0</v>
      </c>
      <c r="BY117">
        <f t="shared" si="89"/>
        <v>0</v>
      </c>
      <c r="BZ117">
        <f t="shared" si="89"/>
        <v>0</v>
      </c>
    </row>
    <row r="118" spans="65:78" x14ac:dyDescent="0.3">
      <c r="BM118" s="1">
        <v>9</v>
      </c>
      <c r="BN118">
        <f t="shared" si="50"/>
        <v>0</v>
      </c>
      <c r="BO118">
        <f t="shared" ref="BO118:BT118" si="90">BO40-BO39</f>
        <v>0</v>
      </c>
      <c r="BP118">
        <f t="shared" si="90"/>
        <v>0</v>
      </c>
      <c r="BQ118">
        <f t="shared" si="90"/>
        <v>0</v>
      </c>
      <c r="BR118">
        <f t="shared" si="90"/>
        <v>0</v>
      </c>
      <c r="BS118">
        <f t="shared" si="90"/>
        <v>0</v>
      </c>
      <c r="BT118">
        <f t="shared" si="90"/>
        <v>0</v>
      </c>
      <c r="BU118">
        <f t="shared" ref="BU118:BZ118" si="91">BN118+BN39</f>
        <v>28</v>
      </c>
      <c r="BV118">
        <f t="shared" si="91"/>
        <v>6</v>
      </c>
      <c r="BW118">
        <f t="shared" si="91"/>
        <v>0</v>
      </c>
      <c r="BX118">
        <f t="shared" si="91"/>
        <v>0</v>
      </c>
      <c r="BY118">
        <f t="shared" si="91"/>
        <v>0</v>
      </c>
      <c r="BZ118">
        <f t="shared" si="91"/>
        <v>0</v>
      </c>
    </row>
    <row r="119" spans="65:78" x14ac:dyDescent="0.3">
      <c r="BM119" s="1">
        <v>9.25</v>
      </c>
      <c r="BN119">
        <f t="shared" si="50"/>
        <v>0</v>
      </c>
      <c r="BO119">
        <f t="shared" ref="BO119:BT119" si="92">BO41-BO40</f>
        <v>0</v>
      </c>
      <c r="BP119">
        <f t="shared" si="92"/>
        <v>0</v>
      </c>
      <c r="BQ119">
        <f t="shared" si="92"/>
        <v>0</v>
      </c>
      <c r="BR119">
        <f t="shared" si="92"/>
        <v>0</v>
      </c>
      <c r="BS119">
        <f t="shared" si="92"/>
        <v>0</v>
      </c>
      <c r="BT119">
        <f t="shared" si="92"/>
        <v>0</v>
      </c>
      <c r="BU119">
        <f t="shared" ref="BU119:BZ119" si="93">BN119+BN40</f>
        <v>28</v>
      </c>
      <c r="BV119">
        <f t="shared" si="93"/>
        <v>6</v>
      </c>
      <c r="BW119">
        <f t="shared" si="93"/>
        <v>0</v>
      </c>
      <c r="BX119">
        <f t="shared" si="93"/>
        <v>0</v>
      </c>
      <c r="BY119">
        <f t="shared" si="93"/>
        <v>0</v>
      </c>
      <c r="BZ119">
        <f t="shared" si="93"/>
        <v>0</v>
      </c>
    </row>
    <row r="120" spans="65:78" x14ac:dyDescent="0.3">
      <c r="BM120" s="1">
        <v>9.5</v>
      </c>
      <c r="BN120">
        <f t="shared" si="50"/>
        <v>0</v>
      </c>
      <c r="BO120">
        <f t="shared" ref="BO120:BT120" si="94">BO42-BO41</f>
        <v>0</v>
      </c>
      <c r="BP120">
        <f t="shared" si="94"/>
        <v>0</v>
      </c>
      <c r="BQ120">
        <f t="shared" si="94"/>
        <v>0</v>
      </c>
      <c r="BR120">
        <f t="shared" si="94"/>
        <v>0</v>
      </c>
      <c r="BS120">
        <f t="shared" si="94"/>
        <v>0</v>
      </c>
      <c r="BT120">
        <f t="shared" si="94"/>
        <v>0</v>
      </c>
      <c r="BU120">
        <f t="shared" ref="BU120:BZ120" si="95">BN120+BN41</f>
        <v>28</v>
      </c>
      <c r="BV120">
        <f t="shared" si="95"/>
        <v>6</v>
      </c>
      <c r="BW120">
        <f t="shared" si="95"/>
        <v>0</v>
      </c>
      <c r="BX120">
        <f t="shared" si="95"/>
        <v>0</v>
      </c>
      <c r="BY120">
        <f t="shared" si="95"/>
        <v>0</v>
      </c>
      <c r="BZ120">
        <f t="shared" si="95"/>
        <v>0</v>
      </c>
    </row>
    <row r="121" spans="65:78" x14ac:dyDescent="0.3">
      <c r="BM121" s="1">
        <v>9.75</v>
      </c>
      <c r="BN121">
        <f t="shared" si="50"/>
        <v>0</v>
      </c>
      <c r="BO121">
        <f t="shared" ref="BO121:BT121" si="96">BO43-BO42</f>
        <v>0</v>
      </c>
      <c r="BP121">
        <f t="shared" si="96"/>
        <v>0</v>
      </c>
      <c r="BQ121">
        <f t="shared" si="96"/>
        <v>0</v>
      </c>
      <c r="BR121">
        <f t="shared" si="96"/>
        <v>0</v>
      </c>
      <c r="BS121">
        <f t="shared" si="96"/>
        <v>0</v>
      </c>
      <c r="BT121">
        <f t="shared" si="96"/>
        <v>0</v>
      </c>
      <c r="BU121">
        <f t="shared" ref="BU121:BZ121" si="97">BN121+BN42</f>
        <v>28</v>
      </c>
      <c r="BV121">
        <f t="shared" si="97"/>
        <v>6</v>
      </c>
      <c r="BW121">
        <f t="shared" si="97"/>
        <v>0</v>
      </c>
      <c r="BX121">
        <f t="shared" si="97"/>
        <v>0</v>
      </c>
      <c r="BY121">
        <f t="shared" si="97"/>
        <v>0</v>
      </c>
      <c r="BZ121">
        <f t="shared" si="97"/>
        <v>0</v>
      </c>
    </row>
    <row r="122" spans="65:78" x14ac:dyDescent="0.3">
      <c r="BM122" s="1">
        <v>10</v>
      </c>
      <c r="BN122">
        <f t="shared" si="50"/>
        <v>0</v>
      </c>
      <c r="BO122">
        <f t="shared" ref="BO122:BT122" si="98">BO44-BO43</f>
        <v>0</v>
      </c>
      <c r="BP122">
        <f t="shared" si="98"/>
        <v>0</v>
      </c>
      <c r="BQ122">
        <f t="shared" si="98"/>
        <v>0</v>
      </c>
      <c r="BR122">
        <f t="shared" si="98"/>
        <v>0</v>
      </c>
      <c r="BS122">
        <f t="shared" si="98"/>
        <v>0</v>
      </c>
      <c r="BT122">
        <f t="shared" si="98"/>
        <v>0</v>
      </c>
      <c r="BU122">
        <f t="shared" ref="BU122:BZ122" si="99">BN122+BN43</f>
        <v>28</v>
      </c>
      <c r="BV122">
        <f t="shared" si="99"/>
        <v>6</v>
      </c>
      <c r="BW122">
        <f t="shared" si="99"/>
        <v>0</v>
      </c>
      <c r="BX122">
        <f t="shared" si="99"/>
        <v>0</v>
      </c>
      <c r="BY122">
        <f t="shared" si="99"/>
        <v>0</v>
      </c>
      <c r="BZ122">
        <f t="shared" si="99"/>
        <v>0</v>
      </c>
    </row>
    <row r="123" spans="65:78" x14ac:dyDescent="0.3">
      <c r="BM123" s="1">
        <v>10.25</v>
      </c>
      <c r="BN123">
        <f t="shared" si="50"/>
        <v>0</v>
      </c>
      <c r="BO123">
        <f t="shared" ref="BO123:BT123" si="100">BO45-BO44</f>
        <v>0</v>
      </c>
      <c r="BP123">
        <f t="shared" si="100"/>
        <v>0</v>
      </c>
      <c r="BQ123">
        <f t="shared" si="100"/>
        <v>0</v>
      </c>
      <c r="BR123">
        <f t="shared" si="100"/>
        <v>0</v>
      </c>
      <c r="BS123">
        <f t="shared" si="100"/>
        <v>0</v>
      </c>
      <c r="BT123">
        <f t="shared" si="100"/>
        <v>0</v>
      </c>
      <c r="BU123">
        <f t="shared" ref="BU123:BZ123" si="101">BN123+BN44</f>
        <v>28</v>
      </c>
      <c r="BV123">
        <f t="shared" si="101"/>
        <v>6</v>
      </c>
      <c r="BW123">
        <f t="shared" si="101"/>
        <v>0</v>
      </c>
      <c r="BX123">
        <f t="shared" si="101"/>
        <v>0</v>
      </c>
      <c r="BY123">
        <f t="shared" si="101"/>
        <v>0</v>
      </c>
      <c r="BZ123">
        <f t="shared" si="101"/>
        <v>0</v>
      </c>
    </row>
    <row r="124" spans="65:78" x14ac:dyDescent="0.3">
      <c r="BM124" s="1">
        <v>10.5</v>
      </c>
      <c r="BN124">
        <f t="shared" si="50"/>
        <v>0</v>
      </c>
      <c r="BO124">
        <f t="shared" ref="BO124:BT124" si="102">BO46-BO45</f>
        <v>0</v>
      </c>
      <c r="BP124">
        <f t="shared" si="102"/>
        <v>0</v>
      </c>
      <c r="BQ124">
        <f t="shared" si="102"/>
        <v>0</v>
      </c>
      <c r="BR124">
        <f t="shared" si="102"/>
        <v>0</v>
      </c>
      <c r="BS124">
        <f t="shared" si="102"/>
        <v>0</v>
      </c>
      <c r="BT124">
        <f t="shared" si="102"/>
        <v>0</v>
      </c>
      <c r="BU124">
        <f t="shared" ref="BU124:BZ124" si="103">BN124+BN45</f>
        <v>28</v>
      </c>
      <c r="BV124">
        <f t="shared" si="103"/>
        <v>6</v>
      </c>
      <c r="BW124">
        <f t="shared" si="103"/>
        <v>0</v>
      </c>
      <c r="BX124">
        <f t="shared" si="103"/>
        <v>0</v>
      </c>
      <c r="BY124">
        <f t="shared" si="103"/>
        <v>0</v>
      </c>
      <c r="BZ124">
        <f t="shared" si="103"/>
        <v>0</v>
      </c>
    </row>
    <row r="125" spans="65:78" x14ac:dyDescent="0.3">
      <c r="BM125" s="1">
        <v>10.75</v>
      </c>
      <c r="BN125">
        <f t="shared" si="50"/>
        <v>0</v>
      </c>
      <c r="BO125">
        <f t="shared" ref="BO125:BT125" si="104">BO47-BO46</f>
        <v>0</v>
      </c>
      <c r="BP125">
        <f t="shared" si="104"/>
        <v>0</v>
      </c>
      <c r="BQ125">
        <f t="shared" si="104"/>
        <v>0</v>
      </c>
      <c r="BR125">
        <f t="shared" si="104"/>
        <v>0</v>
      </c>
      <c r="BS125">
        <f t="shared" si="104"/>
        <v>0</v>
      </c>
      <c r="BT125">
        <f t="shared" si="104"/>
        <v>0</v>
      </c>
      <c r="BU125">
        <f t="shared" ref="BU125:BZ125" si="105">BN125+BN46</f>
        <v>28</v>
      </c>
      <c r="BV125">
        <f t="shared" si="105"/>
        <v>6</v>
      </c>
      <c r="BW125">
        <f t="shared" si="105"/>
        <v>0</v>
      </c>
      <c r="BX125">
        <f t="shared" si="105"/>
        <v>0</v>
      </c>
      <c r="BY125">
        <f t="shared" si="105"/>
        <v>0</v>
      </c>
      <c r="BZ125">
        <f t="shared" si="105"/>
        <v>0</v>
      </c>
    </row>
    <row r="126" spans="65:78" x14ac:dyDescent="0.3">
      <c r="BM126" s="1">
        <v>11</v>
      </c>
      <c r="BN126">
        <f t="shared" si="50"/>
        <v>0</v>
      </c>
      <c r="BO126">
        <f t="shared" ref="BO126:BT126" si="106">BO48-BO47</f>
        <v>0</v>
      </c>
      <c r="BP126">
        <f t="shared" si="106"/>
        <v>0</v>
      </c>
      <c r="BQ126">
        <f t="shared" si="106"/>
        <v>0</v>
      </c>
      <c r="BR126">
        <f t="shared" si="106"/>
        <v>0</v>
      </c>
      <c r="BS126">
        <f t="shared" si="106"/>
        <v>0</v>
      </c>
      <c r="BT126">
        <f t="shared" si="106"/>
        <v>0</v>
      </c>
      <c r="BU126">
        <f t="shared" ref="BU126:BZ126" si="107">BN126+BN47</f>
        <v>28</v>
      </c>
      <c r="BV126">
        <f t="shared" si="107"/>
        <v>6</v>
      </c>
      <c r="BW126">
        <f t="shared" si="107"/>
        <v>0</v>
      </c>
      <c r="BX126">
        <f t="shared" si="107"/>
        <v>0</v>
      </c>
      <c r="BY126">
        <f t="shared" si="107"/>
        <v>0</v>
      </c>
      <c r="BZ126">
        <f t="shared" si="107"/>
        <v>0</v>
      </c>
    </row>
    <row r="127" spans="65:78" x14ac:dyDescent="0.3">
      <c r="BM127">
        <v>11.25</v>
      </c>
      <c r="BN127">
        <f t="shared" si="50"/>
        <v>0</v>
      </c>
      <c r="BO127">
        <f t="shared" ref="BO127:BT127" si="108">BO49-BO48</f>
        <v>0</v>
      </c>
      <c r="BP127">
        <f t="shared" si="108"/>
        <v>0</v>
      </c>
      <c r="BQ127">
        <f t="shared" si="108"/>
        <v>0</v>
      </c>
      <c r="BR127">
        <f t="shared" si="108"/>
        <v>0</v>
      </c>
      <c r="BS127">
        <f t="shared" si="108"/>
        <v>1</v>
      </c>
      <c r="BT127">
        <f t="shared" si="108"/>
        <v>0</v>
      </c>
      <c r="BU127">
        <f t="shared" ref="BU127:BZ127" si="109">BN127+BN48</f>
        <v>28</v>
      </c>
      <c r="BV127">
        <f t="shared" si="109"/>
        <v>6</v>
      </c>
      <c r="BW127">
        <f t="shared" si="109"/>
        <v>0</v>
      </c>
      <c r="BX127">
        <f t="shared" si="109"/>
        <v>0</v>
      </c>
      <c r="BY127">
        <f t="shared" si="109"/>
        <v>0</v>
      </c>
      <c r="BZ127">
        <f t="shared" si="109"/>
        <v>1</v>
      </c>
    </row>
    <row r="128" spans="65:78" x14ac:dyDescent="0.3">
      <c r="BM128">
        <v>11.5</v>
      </c>
      <c r="BN128">
        <f t="shared" si="50"/>
        <v>0</v>
      </c>
      <c r="BO128">
        <f t="shared" ref="BO128:BT128" si="110">BO50-BO49</f>
        <v>0</v>
      </c>
      <c r="BP128">
        <f t="shared" si="110"/>
        <v>0</v>
      </c>
      <c r="BQ128">
        <f t="shared" si="110"/>
        <v>0</v>
      </c>
      <c r="BR128">
        <f t="shared" si="110"/>
        <v>0</v>
      </c>
      <c r="BS128">
        <f t="shared" si="110"/>
        <v>0</v>
      </c>
      <c r="BT128">
        <f t="shared" si="110"/>
        <v>0</v>
      </c>
      <c r="BU128">
        <f t="shared" ref="BU128:BZ128" si="111">BN128+BN49</f>
        <v>28</v>
      </c>
      <c r="BV128">
        <f t="shared" si="111"/>
        <v>6</v>
      </c>
      <c r="BW128">
        <f t="shared" si="111"/>
        <v>0</v>
      </c>
      <c r="BX128">
        <f t="shared" si="111"/>
        <v>0</v>
      </c>
      <c r="BY128">
        <f t="shared" si="111"/>
        <v>0</v>
      </c>
      <c r="BZ128">
        <f t="shared" si="111"/>
        <v>1</v>
      </c>
    </row>
    <row r="129" spans="65:78" x14ac:dyDescent="0.3">
      <c r="BM129">
        <v>11.75</v>
      </c>
      <c r="BN129">
        <f t="shared" si="50"/>
        <v>0</v>
      </c>
      <c r="BO129">
        <f t="shared" ref="BO129:BT129" si="112">BO51-BO50</f>
        <v>0</v>
      </c>
      <c r="BP129">
        <f t="shared" si="112"/>
        <v>0</v>
      </c>
      <c r="BQ129">
        <f t="shared" si="112"/>
        <v>0</v>
      </c>
      <c r="BR129">
        <f t="shared" si="112"/>
        <v>0</v>
      </c>
      <c r="BS129">
        <f t="shared" si="112"/>
        <v>0</v>
      </c>
      <c r="BT129">
        <f t="shared" si="112"/>
        <v>0</v>
      </c>
      <c r="BU129">
        <f t="shared" ref="BU129:BZ129" si="113">BN129+BN50</f>
        <v>28</v>
      </c>
      <c r="BV129">
        <f t="shared" si="113"/>
        <v>6</v>
      </c>
      <c r="BW129">
        <f t="shared" si="113"/>
        <v>0</v>
      </c>
      <c r="BX129">
        <f t="shared" si="113"/>
        <v>0</v>
      </c>
      <c r="BY129">
        <f t="shared" si="113"/>
        <v>0</v>
      </c>
      <c r="BZ129">
        <f t="shared" si="113"/>
        <v>1</v>
      </c>
    </row>
    <row r="130" spans="65:78" x14ac:dyDescent="0.3">
      <c r="BM130">
        <v>12</v>
      </c>
      <c r="BN130">
        <f t="shared" si="50"/>
        <v>0</v>
      </c>
      <c r="BO130">
        <f t="shared" ref="BO130:BT130" si="114">BO52-BO51</f>
        <v>0</v>
      </c>
      <c r="BP130">
        <f t="shared" si="114"/>
        <v>0</v>
      </c>
      <c r="BQ130">
        <f t="shared" si="114"/>
        <v>0</v>
      </c>
      <c r="BR130">
        <f t="shared" si="114"/>
        <v>0</v>
      </c>
      <c r="BS130">
        <f t="shared" si="114"/>
        <v>1</v>
      </c>
      <c r="BT130">
        <f t="shared" si="114"/>
        <v>1</v>
      </c>
      <c r="BU130">
        <f t="shared" ref="BU130:BZ130" si="115">BN130+BN51</f>
        <v>28</v>
      </c>
      <c r="BV130">
        <f t="shared" si="115"/>
        <v>6</v>
      </c>
      <c r="BW130">
        <f t="shared" si="115"/>
        <v>0</v>
      </c>
      <c r="BX130">
        <f t="shared" si="115"/>
        <v>0</v>
      </c>
      <c r="BY130">
        <f t="shared" si="115"/>
        <v>0</v>
      </c>
      <c r="BZ130">
        <f t="shared" si="115"/>
        <v>2</v>
      </c>
    </row>
    <row r="131" spans="65:78" x14ac:dyDescent="0.3">
      <c r="BM131">
        <v>12.25</v>
      </c>
      <c r="BN131">
        <f t="shared" si="50"/>
        <v>0</v>
      </c>
      <c r="BO131">
        <f t="shared" ref="BO131:BT131" si="116">BO53-BO52</f>
        <v>0</v>
      </c>
      <c r="BP131">
        <f t="shared" si="116"/>
        <v>0</v>
      </c>
      <c r="BQ131">
        <f t="shared" si="116"/>
        <v>0</v>
      </c>
      <c r="BR131">
        <f t="shared" si="116"/>
        <v>0</v>
      </c>
      <c r="BS131">
        <f t="shared" si="116"/>
        <v>0</v>
      </c>
      <c r="BT131">
        <f t="shared" si="116"/>
        <v>1</v>
      </c>
      <c r="BU131">
        <f t="shared" ref="BU131:BZ131" si="117">BN131+BN52</f>
        <v>28</v>
      </c>
      <c r="BV131">
        <f t="shared" si="117"/>
        <v>6</v>
      </c>
      <c r="BW131">
        <f t="shared" si="117"/>
        <v>0</v>
      </c>
      <c r="BX131">
        <f t="shared" si="117"/>
        <v>0</v>
      </c>
      <c r="BY131">
        <f t="shared" si="117"/>
        <v>0</v>
      </c>
      <c r="BZ131">
        <f t="shared" si="117"/>
        <v>2</v>
      </c>
    </row>
    <row r="132" spans="65:78" x14ac:dyDescent="0.3">
      <c r="BM132">
        <v>12.5</v>
      </c>
      <c r="BN132">
        <f t="shared" si="50"/>
        <v>0</v>
      </c>
      <c r="BO132">
        <f t="shared" ref="BO132:BT132" si="118">BO54-BO53</f>
        <v>0</v>
      </c>
      <c r="BP132">
        <f t="shared" si="118"/>
        <v>0</v>
      </c>
      <c r="BQ132">
        <f t="shared" si="118"/>
        <v>0</v>
      </c>
      <c r="BR132">
        <f t="shared" si="118"/>
        <v>0</v>
      </c>
      <c r="BS132">
        <f t="shared" si="118"/>
        <v>0</v>
      </c>
      <c r="BT132">
        <f t="shared" si="118"/>
        <v>0</v>
      </c>
      <c r="BU132">
        <f t="shared" ref="BU132:BZ132" si="119">BN132+BN53</f>
        <v>28</v>
      </c>
      <c r="BV132">
        <f t="shared" si="119"/>
        <v>6</v>
      </c>
      <c r="BW132">
        <f t="shared" si="119"/>
        <v>0</v>
      </c>
      <c r="BX132">
        <f t="shared" si="119"/>
        <v>0</v>
      </c>
      <c r="BY132">
        <f t="shared" si="119"/>
        <v>0</v>
      </c>
      <c r="BZ132">
        <f t="shared" si="119"/>
        <v>2</v>
      </c>
    </row>
    <row r="133" spans="65:78" x14ac:dyDescent="0.3">
      <c r="BM133">
        <v>12.75</v>
      </c>
      <c r="BN133">
        <f t="shared" si="50"/>
        <v>0</v>
      </c>
      <c r="BO133">
        <f t="shared" ref="BO133:BT133" si="120">BO55-BO54</f>
        <v>0</v>
      </c>
      <c r="BP133">
        <f t="shared" si="120"/>
        <v>0</v>
      </c>
      <c r="BQ133">
        <f t="shared" si="120"/>
        <v>0</v>
      </c>
      <c r="BR133">
        <f t="shared" si="120"/>
        <v>0</v>
      </c>
      <c r="BS133">
        <f t="shared" si="120"/>
        <v>1</v>
      </c>
      <c r="BT133">
        <f t="shared" si="120"/>
        <v>0</v>
      </c>
      <c r="BU133">
        <f t="shared" ref="BU133:BZ133" si="121">BN133+BN54</f>
        <v>28</v>
      </c>
      <c r="BV133">
        <f t="shared" si="121"/>
        <v>6</v>
      </c>
      <c r="BW133">
        <f t="shared" si="121"/>
        <v>0</v>
      </c>
      <c r="BX133">
        <f t="shared" si="121"/>
        <v>0</v>
      </c>
      <c r="BY133">
        <f t="shared" si="121"/>
        <v>0</v>
      </c>
      <c r="BZ133">
        <f t="shared" si="121"/>
        <v>3</v>
      </c>
    </row>
    <row r="134" spans="65:78" x14ac:dyDescent="0.3">
      <c r="BM134">
        <v>13</v>
      </c>
      <c r="BN134">
        <f t="shared" si="50"/>
        <v>0</v>
      </c>
      <c r="BO134">
        <f t="shared" ref="BO134:BT134" si="122">BO56-BO55</f>
        <v>0</v>
      </c>
      <c r="BP134">
        <f t="shared" si="122"/>
        <v>0</v>
      </c>
      <c r="BQ134">
        <f t="shared" si="122"/>
        <v>0</v>
      </c>
      <c r="BR134">
        <f t="shared" si="122"/>
        <v>0</v>
      </c>
      <c r="BS134">
        <f t="shared" si="122"/>
        <v>0</v>
      </c>
      <c r="BT134">
        <f t="shared" si="122"/>
        <v>0</v>
      </c>
      <c r="BU134">
        <f t="shared" ref="BU134:BZ134" si="123">BN134+BN55</f>
        <v>28</v>
      </c>
      <c r="BV134">
        <f t="shared" si="123"/>
        <v>6</v>
      </c>
      <c r="BW134">
        <f t="shared" si="123"/>
        <v>0</v>
      </c>
      <c r="BX134">
        <f t="shared" si="123"/>
        <v>0</v>
      </c>
      <c r="BY134">
        <f t="shared" si="123"/>
        <v>0</v>
      </c>
      <c r="BZ134">
        <f t="shared" si="123"/>
        <v>3</v>
      </c>
    </row>
    <row r="135" spans="65:78" x14ac:dyDescent="0.3">
      <c r="BM135">
        <v>13.25</v>
      </c>
      <c r="BN135">
        <f t="shared" si="50"/>
        <v>0</v>
      </c>
      <c r="BO135">
        <f t="shared" ref="BO135:BT135" si="124">BO57-BO56</f>
        <v>0</v>
      </c>
      <c r="BP135">
        <f t="shared" si="124"/>
        <v>0</v>
      </c>
      <c r="BQ135">
        <f t="shared" si="124"/>
        <v>0</v>
      </c>
      <c r="BR135">
        <f t="shared" si="124"/>
        <v>0</v>
      </c>
      <c r="BS135">
        <f t="shared" si="124"/>
        <v>0</v>
      </c>
      <c r="BT135">
        <f t="shared" si="124"/>
        <v>0</v>
      </c>
      <c r="BU135">
        <f t="shared" ref="BU135:BZ135" si="125">BN135+BN56</f>
        <v>28</v>
      </c>
      <c r="BV135">
        <f t="shared" si="125"/>
        <v>6</v>
      </c>
      <c r="BW135">
        <f t="shared" si="125"/>
        <v>0</v>
      </c>
      <c r="BX135">
        <f t="shared" si="125"/>
        <v>0</v>
      </c>
      <c r="BY135">
        <f t="shared" si="125"/>
        <v>0</v>
      </c>
      <c r="BZ135">
        <f t="shared" si="125"/>
        <v>3</v>
      </c>
    </row>
    <row r="136" spans="65:78" x14ac:dyDescent="0.3">
      <c r="BM136">
        <v>13.5</v>
      </c>
      <c r="BN136">
        <f t="shared" si="50"/>
        <v>0</v>
      </c>
      <c r="BO136">
        <f t="shared" ref="BO136:BT136" si="126">BO58-BO57</f>
        <v>0</v>
      </c>
      <c r="BP136">
        <f t="shared" si="126"/>
        <v>0</v>
      </c>
      <c r="BQ136">
        <f t="shared" si="126"/>
        <v>0</v>
      </c>
      <c r="BR136">
        <f t="shared" si="126"/>
        <v>0</v>
      </c>
      <c r="BS136">
        <f t="shared" si="126"/>
        <v>1</v>
      </c>
      <c r="BT136">
        <f t="shared" si="126"/>
        <v>0</v>
      </c>
      <c r="BU136">
        <f t="shared" ref="BU136:BZ136" si="127">BN136+BN57</f>
        <v>28</v>
      </c>
      <c r="BV136">
        <f t="shared" si="127"/>
        <v>6</v>
      </c>
      <c r="BW136">
        <f t="shared" si="127"/>
        <v>0</v>
      </c>
      <c r="BX136">
        <f t="shared" si="127"/>
        <v>0</v>
      </c>
      <c r="BY136">
        <f t="shared" si="127"/>
        <v>0</v>
      </c>
      <c r="BZ136">
        <f t="shared" si="127"/>
        <v>4</v>
      </c>
    </row>
    <row r="137" spans="65:78" x14ac:dyDescent="0.3">
      <c r="BM137">
        <v>13.75</v>
      </c>
      <c r="BN137">
        <f t="shared" si="50"/>
        <v>0</v>
      </c>
      <c r="BO137">
        <f t="shared" ref="BO137:BT137" si="128">BO59-BO58</f>
        <v>0</v>
      </c>
      <c r="BP137">
        <f t="shared" si="128"/>
        <v>0</v>
      </c>
      <c r="BQ137">
        <f t="shared" si="128"/>
        <v>0</v>
      </c>
      <c r="BR137">
        <f t="shared" si="128"/>
        <v>0</v>
      </c>
      <c r="BS137">
        <f t="shared" si="128"/>
        <v>0</v>
      </c>
      <c r="BT137">
        <f t="shared" si="128"/>
        <v>0</v>
      </c>
      <c r="BU137">
        <f t="shared" ref="BU137:BZ137" si="129">BN137+BN58</f>
        <v>28</v>
      </c>
      <c r="BV137">
        <f t="shared" si="129"/>
        <v>6</v>
      </c>
      <c r="BW137">
        <f t="shared" si="129"/>
        <v>0</v>
      </c>
      <c r="BX137">
        <f t="shared" si="129"/>
        <v>0</v>
      </c>
      <c r="BY137">
        <f t="shared" si="129"/>
        <v>0</v>
      </c>
      <c r="BZ137">
        <f t="shared" si="129"/>
        <v>4</v>
      </c>
    </row>
    <row r="138" spans="65:78" x14ac:dyDescent="0.3">
      <c r="BM138">
        <v>14</v>
      </c>
      <c r="BN138">
        <f t="shared" si="50"/>
        <v>0</v>
      </c>
      <c r="BO138">
        <f t="shared" ref="BO138:BT138" si="130">BO60-BO59</f>
        <v>0</v>
      </c>
      <c r="BP138">
        <f t="shared" si="130"/>
        <v>0</v>
      </c>
      <c r="BQ138">
        <f t="shared" si="130"/>
        <v>0</v>
      </c>
      <c r="BR138">
        <f t="shared" si="130"/>
        <v>0</v>
      </c>
      <c r="BS138">
        <f t="shared" si="130"/>
        <v>0</v>
      </c>
      <c r="BT138">
        <f t="shared" si="130"/>
        <v>0</v>
      </c>
      <c r="BU138">
        <f t="shared" ref="BU138:BZ138" si="131">BN138+BN59</f>
        <v>28</v>
      </c>
      <c r="BV138">
        <f t="shared" si="131"/>
        <v>6</v>
      </c>
      <c r="BW138">
        <f t="shared" si="131"/>
        <v>0</v>
      </c>
      <c r="BX138">
        <f t="shared" si="131"/>
        <v>0</v>
      </c>
      <c r="BY138">
        <f t="shared" si="131"/>
        <v>0</v>
      </c>
      <c r="BZ138">
        <f t="shared" si="131"/>
        <v>4</v>
      </c>
    </row>
    <row r="139" spans="65:78" x14ac:dyDescent="0.3">
      <c r="BM139">
        <v>14.25</v>
      </c>
      <c r="BN139">
        <f t="shared" si="50"/>
        <v>0</v>
      </c>
      <c r="BO139">
        <f t="shared" ref="BO139:BT139" si="132">BO61-BO60</f>
        <v>0</v>
      </c>
      <c r="BP139">
        <f t="shared" si="132"/>
        <v>0</v>
      </c>
      <c r="BQ139">
        <f t="shared" si="132"/>
        <v>0</v>
      </c>
      <c r="BR139">
        <f t="shared" si="132"/>
        <v>0</v>
      </c>
      <c r="BS139">
        <f t="shared" si="132"/>
        <v>1</v>
      </c>
      <c r="BT139">
        <f t="shared" si="132"/>
        <v>0</v>
      </c>
      <c r="BU139">
        <f t="shared" ref="BU139:BZ139" si="133">BN139+BN60</f>
        <v>28</v>
      </c>
      <c r="BV139">
        <f t="shared" si="133"/>
        <v>6</v>
      </c>
      <c r="BW139">
        <f t="shared" si="133"/>
        <v>0</v>
      </c>
      <c r="BX139">
        <f t="shared" si="133"/>
        <v>0</v>
      </c>
      <c r="BY139">
        <f t="shared" si="133"/>
        <v>0</v>
      </c>
      <c r="BZ139">
        <f t="shared" si="133"/>
        <v>5</v>
      </c>
    </row>
    <row r="140" spans="65:78" x14ac:dyDescent="0.3">
      <c r="BM140">
        <v>14.5</v>
      </c>
      <c r="BN140">
        <f t="shared" si="50"/>
        <v>0</v>
      </c>
      <c r="BO140">
        <f t="shared" ref="BO140:BT140" si="134">BO62-BO61</f>
        <v>0</v>
      </c>
      <c r="BP140">
        <f t="shared" si="134"/>
        <v>0</v>
      </c>
      <c r="BQ140">
        <f t="shared" si="134"/>
        <v>0</v>
      </c>
      <c r="BR140">
        <f t="shared" si="134"/>
        <v>0</v>
      </c>
      <c r="BS140">
        <f t="shared" si="134"/>
        <v>0</v>
      </c>
      <c r="BT140">
        <f t="shared" si="134"/>
        <v>0</v>
      </c>
      <c r="BU140">
        <f t="shared" ref="BU140:BZ140" si="135">BN140+BN61</f>
        <v>28</v>
      </c>
      <c r="BV140">
        <f t="shared" si="135"/>
        <v>6</v>
      </c>
      <c r="BW140">
        <f t="shared" si="135"/>
        <v>0</v>
      </c>
      <c r="BX140">
        <f t="shared" si="135"/>
        <v>0</v>
      </c>
      <c r="BY140">
        <f t="shared" si="135"/>
        <v>0</v>
      </c>
      <c r="BZ140">
        <f t="shared" si="135"/>
        <v>5</v>
      </c>
    </row>
    <row r="141" spans="65:78" x14ac:dyDescent="0.3">
      <c r="BM141">
        <v>14.75</v>
      </c>
      <c r="BN141">
        <f t="shared" si="50"/>
        <v>0</v>
      </c>
      <c r="BO141">
        <f t="shared" ref="BO141:BT141" si="136">BO63-BO62</f>
        <v>0</v>
      </c>
      <c r="BP141">
        <f t="shared" si="136"/>
        <v>0</v>
      </c>
      <c r="BQ141">
        <f t="shared" si="136"/>
        <v>0</v>
      </c>
      <c r="BR141">
        <f t="shared" si="136"/>
        <v>0</v>
      </c>
      <c r="BS141">
        <f t="shared" si="136"/>
        <v>0</v>
      </c>
      <c r="BT141">
        <f t="shared" si="136"/>
        <v>0</v>
      </c>
      <c r="BU141">
        <f t="shared" ref="BU141:BZ141" si="137">BN141+BN62</f>
        <v>28</v>
      </c>
      <c r="BV141">
        <f t="shared" si="137"/>
        <v>6</v>
      </c>
      <c r="BW141">
        <f t="shared" si="137"/>
        <v>0</v>
      </c>
      <c r="BX141">
        <f t="shared" si="137"/>
        <v>0</v>
      </c>
      <c r="BY141">
        <f t="shared" si="137"/>
        <v>0</v>
      </c>
      <c r="BZ141">
        <f t="shared" si="137"/>
        <v>5</v>
      </c>
    </row>
    <row r="142" spans="65:78" x14ac:dyDescent="0.3">
      <c r="BM142">
        <v>15</v>
      </c>
      <c r="BN142">
        <f t="shared" si="50"/>
        <v>0</v>
      </c>
      <c r="BO142">
        <f t="shared" ref="BO142:BT142" si="138">BO64-BO63</f>
        <v>0</v>
      </c>
      <c r="BP142">
        <f t="shared" si="138"/>
        <v>0</v>
      </c>
      <c r="BQ142">
        <f t="shared" si="138"/>
        <v>0</v>
      </c>
      <c r="BR142">
        <f t="shared" si="138"/>
        <v>0</v>
      </c>
      <c r="BS142">
        <f t="shared" si="138"/>
        <v>1</v>
      </c>
      <c r="BT142">
        <f t="shared" si="138"/>
        <v>0</v>
      </c>
      <c r="BU142">
        <f t="shared" ref="BU142:BZ142" si="139">BN142+BN63</f>
        <v>28</v>
      </c>
      <c r="BV142">
        <f t="shared" si="139"/>
        <v>6</v>
      </c>
      <c r="BW142">
        <f t="shared" si="139"/>
        <v>0</v>
      </c>
      <c r="BX142">
        <f t="shared" si="139"/>
        <v>0</v>
      </c>
      <c r="BY142">
        <f t="shared" si="139"/>
        <v>0</v>
      </c>
      <c r="BZ142">
        <f t="shared" si="139"/>
        <v>6</v>
      </c>
    </row>
    <row r="143" spans="65:78" x14ac:dyDescent="0.3">
      <c r="BM143">
        <v>15.25</v>
      </c>
      <c r="BN143">
        <f t="shared" si="50"/>
        <v>0</v>
      </c>
      <c r="BO143">
        <f t="shared" ref="BO143:BT143" si="140">BO65-BO64</f>
        <v>0</v>
      </c>
      <c r="BP143">
        <f t="shared" si="140"/>
        <v>0</v>
      </c>
      <c r="BQ143">
        <f t="shared" si="140"/>
        <v>0</v>
      </c>
      <c r="BR143">
        <f t="shared" si="140"/>
        <v>0</v>
      </c>
      <c r="BS143">
        <f t="shared" si="140"/>
        <v>0</v>
      </c>
      <c r="BT143">
        <f t="shared" si="140"/>
        <v>2</v>
      </c>
      <c r="BU143">
        <f t="shared" ref="BU143:BZ143" si="141">BN143+BN64</f>
        <v>28</v>
      </c>
      <c r="BV143">
        <f t="shared" si="141"/>
        <v>6</v>
      </c>
      <c r="BW143">
        <f t="shared" si="141"/>
        <v>0</v>
      </c>
      <c r="BX143">
        <f t="shared" si="141"/>
        <v>0</v>
      </c>
      <c r="BY143">
        <f t="shared" si="141"/>
        <v>0</v>
      </c>
      <c r="BZ143">
        <f t="shared" si="141"/>
        <v>6</v>
      </c>
    </row>
    <row r="144" spans="65:78" x14ac:dyDescent="0.3">
      <c r="BM144">
        <v>15.5</v>
      </c>
      <c r="BN144">
        <f t="shared" si="50"/>
        <v>0</v>
      </c>
      <c r="BO144">
        <f t="shared" ref="BO144:BT144" si="142">BO66-BO65</f>
        <v>0</v>
      </c>
      <c r="BP144">
        <f t="shared" si="142"/>
        <v>0</v>
      </c>
      <c r="BQ144">
        <f t="shared" si="142"/>
        <v>0</v>
      </c>
      <c r="BR144">
        <f t="shared" si="142"/>
        <v>0</v>
      </c>
      <c r="BS144">
        <f t="shared" si="142"/>
        <v>1</v>
      </c>
      <c r="BT144">
        <f t="shared" si="142"/>
        <v>0</v>
      </c>
      <c r="BU144">
        <f t="shared" ref="BU144:BZ144" si="143">BN144+BN65</f>
        <v>28</v>
      </c>
      <c r="BV144">
        <f t="shared" si="143"/>
        <v>6</v>
      </c>
      <c r="BW144">
        <f t="shared" si="143"/>
        <v>0</v>
      </c>
      <c r="BX144">
        <f t="shared" si="143"/>
        <v>0</v>
      </c>
      <c r="BY144">
        <f t="shared" si="143"/>
        <v>0</v>
      </c>
      <c r="BZ144">
        <f t="shared" si="143"/>
        <v>7</v>
      </c>
    </row>
    <row r="145" spans="65:78" x14ac:dyDescent="0.3">
      <c r="BM145">
        <v>15.75</v>
      </c>
      <c r="BN145">
        <f t="shared" si="50"/>
        <v>0</v>
      </c>
      <c r="BO145">
        <f t="shared" ref="BO145:BT145" si="144">BO67-BO66</f>
        <v>0</v>
      </c>
      <c r="BP145">
        <f t="shared" si="144"/>
        <v>0</v>
      </c>
      <c r="BQ145">
        <f t="shared" si="144"/>
        <v>0</v>
      </c>
      <c r="BR145">
        <f t="shared" si="144"/>
        <v>0</v>
      </c>
      <c r="BS145">
        <f t="shared" si="144"/>
        <v>0</v>
      </c>
      <c r="BT145">
        <f t="shared" si="144"/>
        <v>0</v>
      </c>
      <c r="BU145">
        <f t="shared" ref="BU145:BZ145" si="145">BN145+BN66</f>
        <v>28</v>
      </c>
      <c r="BV145">
        <f t="shared" si="145"/>
        <v>6</v>
      </c>
      <c r="BW145">
        <f t="shared" si="145"/>
        <v>0</v>
      </c>
      <c r="BX145">
        <f t="shared" si="145"/>
        <v>0</v>
      </c>
      <c r="BY145">
        <f t="shared" si="145"/>
        <v>0</v>
      </c>
      <c r="BZ145">
        <f t="shared" si="145"/>
        <v>7</v>
      </c>
    </row>
    <row r="146" spans="65:78" x14ac:dyDescent="0.3">
      <c r="BM146">
        <v>16</v>
      </c>
      <c r="BN146">
        <f t="shared" si="50"/>
        <v>0</v>
      </c>
      <c r="BO146">
        <f t="shared" ref="BO146:BT146" si="146">BO68-BO67</f>
        <v>0</v>
      </c>
      <c r="BP146">
        <f t="shared" si="146"/>
        <v>0</v>
      </c>
      <c r="BQ146">
        <f t="shared" si="146"/>
        <v>0</v>
      </c>
      <c r="BR146">
        <f t="shared" si="146"/>
        <v>0</v>
      </c>
      <c r="BS146">
        <f t="shared" si="146"/>
        <v>0</v>
      </c>
      <c r="BT146">
        <f t="shared" si="146"/>
        <v>2</v>
      </c>
      <c r="BU146">
        <f t="shared" ref="BU146:BZ146" si="147">BN146+BN67</f>
        <v>28</v>
      </c>
      <c r="BV146">
        <f t="shared" si="147"/>
        <v>6</v>
      </c>
      <c r="BW146">
        <f t="shared" si="147"/>
        <v>0</v>
      </c>
      <c r="BX146">
        <f t="shared" si="147"/>
        <v>0</v>
      </c>
      <c r="BY146">
        <f t="shared" si="147"/>
        <v>0</v>
      </c>
      <c r="BZ146">
        <f t="shared" si="147"/>
        <v>7</v>
      </c>
    </row>
    <row r="147" spans="65:78" x14ac:dyDescent="0.3">
      <c r="BM147">
        <v>16.25</v>
      </c>
      <c r="BN147">
        <f t="shared" ref="BN147:BT158" si="148">BN69-BN68</f>
        <v>0</v>
      </c>
      <c r="BO147">
        <f t="shared" si="148"/>
        <v>0</v>
      </c>
      <c r="BP147">
        <f t="shared" si="148"/>
        <v>0</v>
      </c>
      <c r="BQ147">
        <f t="shared" si="148"/>
        <v>0</v>
      </c>
      <c r="BR147">
        <f t="shared" si="148"/>
        <v>0</v>
      </c>
      <c r="BS147">
        <f t="shared" si="148"/>
        <v>0</v>
      </c>
      <c r="BT147">
        <f t="shared" si="148"/>
        <v>1</v>
      </c>
      <c r="BU147">
        <f t="shared" ref="BU147:BZ147" si="149">BN147+BN68</f>
        <v>28</v>
      </c>
      <c r="BV147">
        <f t="shared" si="149"/>
        <v>6</v>
      </c>
      <c r="BW147">
        <f t="shared" si="149"/>
        <v>0</v>
      </c>
      <c r="BX147">
        <f t="shared" si="149"/>
        <v>0</v>
      </c>
      <c r="BY147">
        <f t="shared" si="149"/>
        <v>0</v>
      </c>
      <c r="BZ147">
        <f t="shared" si="149"/>
        <v>7</v>
      </c>
    </row>
    <row r="148" spans="65:78" x14ac:dyDescent="0.3">
      <c r="BM148">
        <v>16.5</v>
      </c>
      <c r="BN148">
        <f t="shared" si="148"/>
        <v>0</v>
      </c>
      <c r="BO148">
        <f t="shared" si="148"/>
        <v>0</v>
      </c>
      <c r="BP148">
        <f t="shared" si="148"/>
        <v>0</v>
      </c>
      <c r="BQ148">
        <f t="shared" si="148"/>
        <v>0</v>
      </c>
      <c r="BR148">
        <f t="shared" si="148"/>
        <v>0</v>
      </c>
      <c r="BS148">
        <f t="shared" si="148"/>
        <v>0</v>
      </c>
      <c r="BT148">
        <f t="shared" si="148"/>
        <v>0</v>
      </c>
      <c r="BU148">
        <f t="shared" ref="BU148:BZ148" si="150">BN148+BN69</f>
        <v>28</v>
      </c>
      <c r="BV148">
        <f t="shared" si="150"/>
        <v>6</v>
      </c>
      <c r="BW148">
        <f t="shared" si="150"/>
        <v>0</v>
      </c>
      <c r="BX148">
        <f t="shared" si="150"/>
        <v>0</v>
      </c>
      <c r="BY148">
        <f t="shared" si="150"/>
        <v>0</v>
      </c>
      <c r="BZ148">
        <f t="shared" si="150"/>
        <v>7</v>
      </c>
    </row>
    <row r="149" spans="65:78" x14ac:dyDescent="0.3">
      <c r="BM149">
        <v>16.75</v>
      </c>
      <c r="BN149">
        <f t="shared" si="148"/>
        <v>0</v>
      </c>
      <c r="BO149">
        <f t="shared" si="148"/>
        <v>0</v>
      </c>
      <c r="BP149">
        <f t="shared" si="148"/>
        <v>0</v>
      </c>
      <c r="BQ149">
        <f t="shared" si="148"/>
        <v>0</v>
      </c>
      <c r="BR149">
        <f t="shared" si="148"/>
        <v>0</v>
      </c>
      <c r="BS149">
        <f t="shared" si="148"/>
        <v>0</v>
      </c>
      <c r="BT149">
        <f t="shared" si="148"/>
        <v>0</v>
      </c>
      <c r="BU149">
        <f t="shared" ref="BU149:BZ149" si="151">BN149+BN70</f>
        <v>28</v>
      </c>
      <c r="BV149">
        <f t="shared" si="151"/>
        <v>6</v>
      </c>
      <c r="BW149">
        <f t="shared" si="151"/>
        <v>0</v>
      </c>
      <c r="BX149">
        <f t="shared" si="151"/>
        <v>0</v>
      </c>
      <c r="BY149">
        <f t="shared" si="151"/>
        <v>0</v>
      </c>
      <c r="BZ149">
        <f t="shared" si="151"/>
        <v>7</v>
      </c>
    </row>
    <row r="150" spans="65:78" x14ac:dyDescent="0.3">
      <c r="BM150">
        <v>17</v>
      </c>
      <c r="BN150">
        <f t="shared" si="148"/>
        <v>0</v>
      </c>
      <c r="BO150">
        <f t="shared" si="148"/>
        <v>0</v>
      </c>
      <c r="BP150">
        <f t="shared" si="148"/>
        <v>0</v>
      </c>
      <c r="BQ150">
        <f t="shared" si="148"/>
        <v>0</v>
      </c>
      <c r="BR150">
        <f t="shared" si="148"/>
        <v>0</v>
      </c>
      <c r="BS150">
        <f t="shared" si="148"/>
        <v>0</v>
      </c>
      <c r="BT150">
        <f t="shared" si="148"/>
        <v>0</v>
      </c>
      <c r="BU150">
        <f t="shared" ref="BU150:BZ150" si="152">BN150+BN71</f>
        <v>28</v>
      </c>
      <c r="BV150">
        <f t="shared" si="152"/>
        <v>6</v>
      </c>
      <c r="BW150">
        <f t="shared" si="152"/>
        <v>0</v>
      </c>
      <c r="BX150">
        <f t="shared" si="152"/>
        <v>0</v>
      </c>
      <c r="BY150">
        <f t="shared" si="152"/>
        <v>0</v>
      </c>
      <c r="BZ150">
        <f t="shared" si="152"/>
        <v>7</v>
      </c>
    </row>
    <row r="151" spans="65:78" x14ac:dyDescent="0.3">
      <c r="BM151">
        <v>17.25</v>
      </c>
      <c r="BN151">
        <f t="shared" si="148"/>
        <v>0</v>
      </c>
      <c r="BO151">
        <f t="shared" si="148"/>
        <v>0</v>
      </c>
      <c r="BP151">
        <f t="shared" si="148"/>
        <v>0</v>
      </c>
      <c r="BQ151">
        <f t="shared" si="148"/>
        <v>0</v>
      </c>
      <c r="BR151">
        <f t="shared" si="148"/>
        <v>0</v>
      </c>
      <c r="BS151">
        <f t="shared" si="148"/>
        <v>0</v>
      </c>
      <c r="BT151">
        <f t="shared" si="148"/>
        <v>0</v>
      </c>
      <c r="BU151">
        <f t="shared" ref="BU151:BZ151" si="153">BN151+BN72</f>
        <v>28</v>
      </c>
      <c r="BV151">
        <f t="shared" si="153"/>
        <v>6</v>
      </c>
      <c r="BW151">
        <f t="shared" si="153"/>
        <v>0</v>
      </c>
      <c r="BX151">
        <f t="shared" si="153"/>
        <v>0</v>
      </c>
      <c r="BY151">
        <f t="shared" si="153"/>
        <v>0</v>
      </c>
      <c r="BZ151">
        <f t="shared" si="153"/>
        <v>7</v>
      </c>
    </row>
    <row r="152" spans="65:78" x14ac:dyDescent="0.3">
      <c r="BM152">
        <v>17.5</v>
      </c>
      <c r="BN152">
        <f t="shared" si="148"/>
        <v>0</v>
      </c>
      <c r="BO152">
        <f t="shared" si="148"/>
        <v>0</v>
      </c>
      <c r="BP152">
        <f t="shared" si="148"/>
        <v>0</v>
      </c>
      <c r="BQ152">
        <f t="shared" si="148"/>
        <v>0</v>
      </c>
      <c r="BR152">
        <f t="shared" si="148"/>
        <v>0</v>
      </c>
      <c r="BS152">
        <f t="shared" si="148"/>
        <v>0</v>
      </c>
      <c r="BT152">
        <f t="shared" si="148"/>
        <v>0</v>
      </c>
      <c r="BU152">
        <f t="shared" ref="BU152:BZ152" si="154">BN152+BN73</f>
        <v>28</v>
      </c>
      <c r="BV152">
        <f t="shared" si="154"/>
        <v>6</v>
      </c>
      <c r="BW152">
        <f t="shared" si="154"/>
        <v>0</v>
      </c>
      <c r="BX152">
        <f t="shared" si="154"/>
        <v>0</v>
      </c>
      <c r="BY152">
        <f t="shared" si="154"/>
        <v>0</v>
      </c>
      <c r="BZ152">
        <f t="shared" si="154"/>
        <v>7</v>
      </c>
    </row>
    <row r="153" spans="65:78" x14ac:dyDescent="0.3">
      <c r="BM153">
        <v>17.75</v>
      </c>
      <c r="BN153">
        <f t="shared" si="148"/>
        <v>0</v>
      </c>
      <c r="BO153">
        <f t="shared" si="148"/>
        <v>0</v>
      </c>
      <c r="BP153">
        <f t="shared" si="148"/>
        <v>0</v>
      </c>
      <c r="BQ153">
        <f t="shared" si="148"/>
        <v>0</v>
      </c>
      <c r="BR153">
        <f t="shared" si="148"/>
        <v>0</v>
      </c>
      <c r="BS153">
        <f t="shared" si="148"/>
        <v>0</v>
      </c>
      <c r="BT153">
        <f t="shared" si="148"/>
        <v>0</v>
      </c>
      <c r="BU153">
        <f t="shared" ref="BU153:BZ153" si="155">BN153+BN74</f>
        <v>28</v>
      </c>
      <c r="BV153">
        <f t="shared" si="155"/>
        <v>6</v>
      </c>
      <c r="BW153">
        <f t="shared" si="155"/>
        <v>0</v>
      </c>
      <c r="BX153">
        <f t="shared" si="155"/>
        <v>0</v>
      </c>
      <c r="BY153">
        <f t="shared" si="155"/>
        <v>0</v>
      </c>
      <c r="BZ153">
        <f t="shared" si="155"/>
        <v>7</v>
      </c>
    </row>
    <row r="154" spans="65:78" x14ac:dyDescent="0.3">
      <c r="BM154">
        <v>18</v>
      </c>
      <c r="BN154">
        <f t="shared" si="148"/>
        <v>0</v>
      </c>
      <c r="BO154">
        <f t="shared" si="148"/>
        <v>0</v>
      </c>
      <c r="BP154">
        <f t="shared" si="148"/>
        <v>0</v>
      </c>
      <c r="BQ154">
        <f t="shared" si="148"/>
        <v>0</v>
      </c>
      <c r="BR154">
        <f t="shared" si="148"/>
        <v>0</v>
      </c>
      <c r="BS154">
        <f t="shared" si="148"/>
        <v>0</v>
      </c>
      <c r="BT154">
        <f t="shared" si="148"/>
        <v>0</v>
      </c>
      <c r="BU154">
        <f t="shared" ref="BU154:BZ154" si="156">BN154+BN75</f>
        <v>28</v>
      </c>
      <c r="BV154">
        <f t="shared" si="156"/>
        <v>6</v>
      </c>
      <c r="BW154">
        <f t="shared" si="156"/>
        <v>0</v>
      </c>
      <c r="BX154">
        <f t="shared" si="156"/>
        <v>0</v>
      </c>
      <c r="BY154">
        <f t="shared" si="156"/>
        <v>0</v>
      </c>
      <c r="BZ154">
        <f t="shared" si="156"/>
        <v>7</v>
      </c>
    </row>
    <row r="155" spans="65:78" x14ac:dyDescent="0.3">
      <c r="BM155">
        <v>18.25</v>
      </c>
      <c r="BN155">
        <f t="shared" si="148"/>
        <v>0</v>
      </c>
      <c r="BO155">
        <f t="shared" si="148"/>
        <v>0</v>
      </c>
      <c r="BP155">
        <f t="shared" si="148"/>
        <v>0</v>
      </c>
      <c r="BQ155">
        <f t="shared" si="148"/>
        <v>0</v>
      </c>
      <c r="BR155">
        <f t="shared" si="148"/>
        <v>0</v>
      </c>
      <c r="BS155">
        <f t="shared" si="148"/>
        <v>0</v>
      </c>
      <c r="BT155">
        <f t="shared" si="148"/>
        <v>0</v>
      </c>
      <c r="BU155">
        <f t="shared" ref="BU155:BZ155" si="157">BN155+BN76</f>
        <v>28</v>
      </c>
      <c r="BV155">
        <f t="shared" si="157"/>
        <v>6</v>
      </c>
      <c r="BW155">
        <f t="shared" si="157"/>
        <v>0</v>
      </c>
      <c r="BX155">
        <f t="shared" si="157"/>
        <v>0</v>
      </c>
      <c r="BY155">
        <f t="shared" si="157"/>
        <v>0</v>
      </c>
      <c r="BZ155">
        <f t="shared" si="157"/>
        <v>7</v>
      </c>
    </row>
    <row r="156" spans="65:78" x14ac:dyDescent="0.3">
      <c r="BM156">
        <v>18.5</v>
      </c>
      <c r="BN156">
        <f t="shared" si="148"/>
        <v>0</v>
      </c>
      <c r="BO156">
        <f t="shared" si="148"/>
        <v>0</v>
      </c>
      <c r="BP156">
        <f t="shared" si="148"/>
        <v>0</v>
      </c>
      <c r="BQ156">
        <f t="shared" si="148"/>
        <v>0</v>
      </c>
      <c r="BR156">
        <f t="shared" si="148"/>
        <v>0</v>
      </c>
      <c r="BS156">
        <f t="shared" si="148"/>
        <v>1</v>
      </c>
      <c r="BT156">
        <f t="shared" si="148"/>
        <v>1</v>
      </c>
      <c r="BU156">
        <f t="shared" ref="BU156:BZ156" si="158">BN156+BN77</f>
        <v>28</v>
      </c>
      <c r="BV156">
        <f t="shared" si="158"/>
        <v>6</v>
      </c>
      <c r="BW156">
        <f t="shared" si="158"/>
        <v>0</v>
      </c>
      <c r="BX156">
        <f t="shared" si="158"/>
        <v>0</v>
      </c>
      <c r="BY156">
        <f t="shared" si="158"/>
        <v>0</v>
      </c>
      <c r="BZ156">
        <f t="shared" si="158"/>
        <v>8</v>
      </c>
    </row>
    <row r="157" spans="65:78" x14ac:dyDescent="0.3">
      <c r="BM157">
        <v>18.75</v>
      </c>
      <c r="BN157">
        <f t="shared" si="148"/>
        <v>0</v>
      </c>
      <c r="BO157">
        <f t="shared" si="148"/>
        <v>0</v>
      </c>
      <c r="BP157">
        <f t="shared" si="148"/>
        <v>0</v>
      </c>
      <c r="BQ157">
        <f t="shared" si="148"/>
        <v>0</v>
      </c>
      <c r="BR157">
        <f t="shared" si="148"/>
        <v>0</v>
      </c>
      <c r="BS157">
        <f t="shared" si="148"/>
        <v>0</v>
      </c>
      <c r="BT157">
        <f t="shared" si="148"/>
        <v>0</v>
      </c>
      <c r="BU157">
        <f t="shared" ref="BU157:BZ157" si="159">BN157+BN78</f>
        <v>28</v>
      </c>
      <c r="BV157">
        <f t="shared" si="159"/>
        <v>6</v>
      </c>
      <c r="BW157">
        <f t="shared" si="159"/>
        <v>0</v>
      </c>
      <c r="BX157">
        <f t="shared" si="159"/>
        <v>0</v>
      </c>
      <c r="BY157">
        <f t="shared" si="159"/>
        <v>0</v>
      </c>
      <c r="BZ157">
        <f t="shared" si="159"/>
        <v>8</v>
      </c>
    </row>
    <row r="158" spans="65:78" x14ac:dyDescent="0.3">
      <c r="BM158">
        <v>19</v>
      </c>
      <c r="BN158">
        <f t="shared" si="148"/>
        <v>-28</v>
      </c>
      <c r="BO158">
        <f t="shared" si="148"/>
        <v>-6</v>
      </c>
      <c r="BP158">
        <f t="shared" si="148"/>
        <v>0</v>
      </c>
      <c r="BQ158">
        <f t="shared" si="148"/>
        <v>0</v>
      </c>
      <c r="BR158">
        <f t="shared" si="148"/>
        <v>0</v>
      </c>
      <c r="BS158">
        <f t="shared" si="148"/>
        <v>-8</v>
      </c>
      <c r="BT158">
        <f t="shared" si="148"/>
        <v>-8</v>
      </c>
      <c r="BU158">
        <f t="shared" ref="BU158:BZ158" si="160">BN158+BN79</f>
        <v>0</v>
      </c>
      <c r="BV158">
        <f t="shared" si="160"/>
        <v>0</v>
      </c>
      <c r="BW158">
        <f t="shared" si="160"/>
        <v>0</v>
      </c>
      <c r="BX158">
        <f t="shared" si="160"/>
        <v>0</v>
      </c>
      <c r="BY158">
        <f t="shared" si="160"/>
        <v>0</v>
      </c>
      <c r="BZ158">
        <f t="shared" si="160"/>
        <v>0</v>
      </c>
    </row>
  </sheetData>
  <mergeCells count="7">
    <mergeCell ref="BN1:BR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2976-6278-4EE8-8D11-FCD59027C4FE}">
  <dimension ref="A1:BR58"/>
  <sheetViews>
    <sheetView zoomScale="85" zoomScaleNormal="85" workbookViewId="0">
      <selection activeCell="K29" sqref="K29"/>
    </sheetView>
  </sheetViews>
  <sheetFormatPr defaultRowHeight="14.4" x14ac:dyDescent="0.3"/>
  <cols>
    <col min="3" max="3" width="12.21875" bestFit="1" customWidth="1"/>
    <col min="4" max="4" width="12.88671875" bestFit="1" customWidth="1"/>
    <col min="5" max="5" width="19.5546875" style="65" customWidth="1"/>
    <col min="6" max="6" width="12.109375" style="40" customWidth="1"/>
    <col min="65" max="65" width="3.77734375" customWidth="1"/>
  </cols>
  <sheetData>
    <row r="1" spans="1:70" x14ac:dyDescent="0.3">
      <c r="A1" s="73" t="s">
        <v>0</v>
      </c>
      <c r="B1" s="74" t="s">
        <v>30</v>
      </c>
      <c r="C1" s="73" t="s">
        <v>1</v>
      </c>
      <c r="D1" s="73" t="s">
        <v>23</v>
      </c>
      <c r="E1" s="81" t="s">
        <v>24</v>
      </c>
      <c r="F1" s="79" t="s">
        <v>50</v>
      </c>
      <c r="G1" s="80" t="s">
        <v>12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62"/>
      <c r="BF1" s="50" t="s">
        <v>15</v>
      </c>
      <c r="BG1" s="27"/>
      <c r="BH1" s="27"/>
      <c r="BI1" s="27"/>
      <c r="BJ1" s="27"/>
      <c r="BK1" s="27"/>
      <c r="BL1" s="27"/>
      <c r="BM1" s="32"/>
      <c r="BN1" s="27" t="s">
        <v>16</v>
      </c>
      <c r="BO1" s="27"/>
      <c r="BP1" s="27"/>
      <c r="BQ1" s="27"/>
      <c r="BR1" s="27"/>
    </row>
    <row r="2" spans="1:70" x14ac:dyDescent="0.3">
      <c r="A2" s="73"/>
      <c r="B2" s="74"/>
      <c r="C2" s="73"/>
      <c r="D2" s="73"/>
      <c r="E2" s="81"/>
      <c r="F2" s="79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62" t="s">
        <v>50</v>
      </c>
      <c r="BF2" s="22" t="s">
        <v>9</v>
      </c>
      <c r="BG2" s="23" t="s">
        <v>5</v>
      </c>
      <c r="BH2" s="16" t="s">
        <v>8</v>
      </c>
      <c r="BI2" s="17" t="s">
        <v>10</v>
      </c>
      <c r="BJ2" s="18" t="s">
        <v>11</v>
      </c>
      <c r="BK2" s="19" t="s">
        <v>13</v>
      </c>
      <c r="BL2" s="20" t="s">
        <v>14</v>
      </c>
      <c r="BM2" s="32"/>
      <c r="BN2" s="22" t="s">
        <v>9</v>
      </c>
      <c r="BO2" s="23" t="s">
        <v>5</v>
      </c>
      <c r="BP2" s="16" t="s">
        <v>8</v>
      </c>
      <c r="BQ2" s="17" t="s">
        <v>10</v>
      </c>
      <c r="BR2" s="18" t="s">
        <v>11</v>
      </c>
    </row>
    <row r="3" spans="1:70" x14ac:dyDescent="0.3">
      <c r="A3" s="56">
        <v>172</v>
      </c>
      <c r="B3" s="56">
        <v>1</v>
      </c>
      <c r="C3" s="24">
        <v>44733.458333333336</v>
      </c>
      <c r="D3" s="33">
        <v>0</v>
      </c>
      <c r="E3" s="64">
        <v>0</v>
      </c>
      <c r="F3" s="61">
        <v>0</v>
      </c>
      <c r="G3" s="26" t="s">
        <v>4</v>
      </c>
      <c r="H3" s="26" t="s">
        <v>4</v>
      </c>
      <c r="I3" s="26" t="s">
        <v>4</v>
      </c>
      <c r="J3" s="26" t="s">
        <v>4</v>
      </c>
      <c r="K3" s="26" t="s">
        <v>4</v>
      </c>
      <c r="L3" s="26" t="s">
        <v>4</v>
      </c>
      <c r="M3" s="26" t="s">
        <v>4</v>
      </c>
      <c r="N3" s="26" t="s">
        <v>4</v>
      </c>
      <c r="O3" s="26" t="s">
        <v>4</v>
      </c>
      <c r="P3" s="26" t="s">
        <v>4</v>
      </c>
      <c r="Q3" s="26" t="s">
        <v>4</v>
      </c>
      <c r="R3" s="26" t="s">
        <v>4</v>
      </c>
      <c r="S3" s="26" t="s">
        <v>4</v>
      </c>
      <c r="T3" s="26" t="s">
        <v>4</v>
      </c>
      <c r="U3" s="26" t="s">
        <v>4</v>
      </c>
      <c r="V3" s="26" t="s">
        <v>4</v>
      </c>
      <c r="W3" s="26" t="s">
        <v>4</v>
      </c>
      <c r="X3" s="26" t="s">
        <v>4</v>
      </c>
      <c r="Y3" s="26" t="s">
        <v>4</v>
      </c>
      <c r="Z3" s="26" t="s">
        <v>4</v>
      </c>
      <c r="AA3" s="26" t="s">
        <v>4</v>
      </c>
      <c r="AB3" s="26" t="s">
        <v>4</v>
      </c>
      <c r="AC3" s="26" t="s">
        <v>4</v>
      </c>
      <c r="AD3" s="26" t="s">
        <v>4</v>
      </c>
      <c r="AE3" s="26" t="s">
        <v>4</v>
      </c>
      <c r="AF3" s="26" t="s">
        <v>4</v>
      </c>
      <c r="AG3" s="26" t="s">
        <v>4</v>
      </c>
      <c r="AH3" s="26" t="s">
        <v>4</v>
      </c>
      <c r="AI3" s="26" t="s">
        <v>4</v>
      </c>
      <c r="AJ3" s="26" t="s">
        <v>4</v>
      </c>
      <c r="AK3" s="26" t="s">
        <v>4</v>
      </c>
      <c r="AL3" s="26" t="s">
        <v>4</v>
      </c>
      <c r="AM3" s="26" t="s">
        <v>4</v>
      </c>
      <c r="AN3" s="26" t="s">
        <v>4</v>
      </c>
      <c r="AO3" s="26" t="s">
        <v>4</v>
      </c>
      <c r="AP3" s="26" t="s">
        <v>4</v>
      </c>
      <c r="AQ3" s="26" t="s">
        <v>4</v>
      </c>
      <c r="AR3" s="26" t="s">
        <v>4</v>
      </c>
      <c r="AS3" s="26" t="s">
        <v>4</v>
      </c>
      <c r="AT3" s="26" t="s">
        <v>4</v>
      </c>
      <c r="AU3" s="26" t="s">
        <v>4</v>
      </c>
      <c r="AV3" s="26" t="s">
        <v>4</v>
      </c>
      <c r="AW3" s="26" t="s">
        <v>4</v>
      </c>
      <c r="AX3" s="26" t="s">
        <v>4</v>
      </c>
      <c r="AY3" s="26" t="s">
        <v>4</v>
      </c>
      <c r="AZ3" s="26" t="s">
        <v>4</v>
      </c>
      <c r="BA3" s="26" t="s">
        <v>4</v>
      </c>
      <c r="BB3" s="26" t="s">
        <v>4</v>
      </c>
      <c r="BC3" s="26" t="s">
        <v>4</v>
      </c>
      <c r="BD3" s="26" t="s">
        <v>4</v>
      </c>
      <c r="BE3" s="30">
        <v>0</v>
      </c>
      <c r="BF3" s="1">
        <f>COUNTIF($G3:$BD3, "E")</f>
        <v>50</v>
      </c>
      <c r="BG3" s="1">
        <f>COUNTIF($G3:$BD3, "L1")</f>
        <v>0</v>
      </c>
      <c r="BH3" s="1">
        <f>COUNTIF($G3:$BD3, "L2")</f>
        <v>0</v>
      </c>
      <c r="BI3" s="1">
        <f>COUNTIF($G3:$BD3, "L3")</f>
        <v>0</v>
      </c>
      <c r="BJ3" s="1">
        <f>COUNTIF($G3:$BD3, "P")</f>
        <v>0</v>
      </c>
      <c r="BK3" s="1">
        <f>COUNTIF($G3:$BD3, "AM")</f>
        <v>0</v>
      </c>
      <c r="BL3" s="1">
        <f>COUNTIF($G3:$BD3, "AF")</f>
        <v>0</v>
      </c>
      <c r="BN3" s="1">
        <f>COUNTIF($G3:$BD3, "E_D")</f>
        <v>0</v>
      </c>
      <c r="BO3" s="1">
        <f>COUNTIF($G3:$BD3, "L1_D")</f>
        <v>0</v>
      </c>
      <c r="BP3" s="1">
        <f>COUNTIF($G3:$BD3, "L2_D")</f>
        <v>0</v>
      </c>
      <c r="BQ3" s="1">
        <f>COUNTIF($G3:$BD3, "L3_D")</f>
        <v>0</v>
      </c>
      <c r="BR3" s="1">
        <f>COUNTIF($G3:$BD3, "P_D")</f>
        <v>0</v>
      </c>
    </row>
    <row r="4" spans="1:70" x14ac:dyDescent="0.3">
      <c r="A4" s="56">
        <v>172</v>
      </c>
      <c r="B4" s="56">
        <v>1</v>
      </c>
      <c r="C4" s="24">
        <v>44733.708333333336</v>
      </c>
      <c r="D4" s="33">
        <f>(C4-C3)</f>
        <v>0.25</v>
      </c>
      <c r="E4" s="64">
        <f>D4+E3</f>
        <v>0.25</v>
      </c>
      <c r="F4" s="61">
        <f>D4+F3</f>
        <v>0.25</v>
      </c>
      <c r="G4" s="26" t="s">
        <v>4</v>
      </c>
      <c r="H4" s="26" t="s">
        <v>4</v>
      </c>
      <c r="I4" s="26" t="s">
        <v>4</v>
      </c>
      <c r="J4" s="26" t="s">
        <v>4</v>
      </c>
      <c r="K4" s="26" t="s">
        <v>4</v>
      </c>
      <c r="L4" s="26" t="s">
        <v>4</v>
      </c>
      <c r="M4" s="26" t="s">
        <v>4</v>
      </c>
      <c r="N4" s="26" t="s">
        <v>4</v>
      </c>
      <c r="O4" s="26" t="s">
        <v>4</v>
      </c>
      <c r="P4" s="26" t="s">
        <v>4</v>
      </c>
      <c r="Q4" s="26" t="s">
        <v>4</v>
      </c>
      <c r="R4" s="26" t="s">
        <v>5</v>
      </c>
      <c r="S4" s="26" t="s">
        <v>4</v>
      </c>
      <c r="T4" s="26" t="s">
        <v>4</v>
      </c>
      <c r="U4" s="26" t="s">
        <v>4</v>
      </c>
      <c r="V4" s="26" t="s">
        <v>5</v>
      </c>
      <c r="W4" s="26" t="s">
        <v>4</v>
      </c>
      <c r="X4" s="26" t="s">
        <v>4</v>
      </c>
      <c r="Y4" s="26" t="s">
        <v>4</v>
      </c>
      <c r="Z4" s="26" t="s">
        <v>4</v>
      </c>
      <c r="AA4" s="26" t="s">
        <v>4</v>
      </c>
      <c r="AB4" s="26" t="s">
        <v>4</v>
      </c>
      <c r="AC4" s="26" t="s">
        <v>4</v>
      </c>
      <c r="AD4" s="26" t="s">
        <v>5</v>
      </c>
      <c r="AE4" s="26" t="s">
        <v>4</v>
      </c>
      <c r="AF4" s="26" t="s">
        <v>4</v>
      </c>
      <c r="AG4" s="26" t="s">
        <v>4</v>
      </c>
      <c r="AH4" s="26" t="s">
        <v>5</v>
      </c>
      <c r="AI4" s="26" t="s">
        <v>4</v>
      </c>
      <c r="AJ4" s="26" t="s">
        <v>4</v>
      </c>
      <c r="AK4" s="26" t="s">
        <v>4</v>
      </c>
      <c r="AL4" s="26" t="s">
        <v>4</v>
      </c>
      <c r="AM4" s="26" t="s">
        <v>4</v>
      </c>
      <c r="AN4" s="26" t="s">
        <v>4</v>
      </c>
      <c r="AO4" s="26" t="s">
        <v>4</v>
      </c>
      <c r="AP4" s="26" t="s">
        <v>4</v>
      </c>
      <c r="AQ4" s="26" t="s">
        <v>4</v>
      </c>
      <c r="AR4" s="26" t="s">
        <v>4</v>
      </c>
      <c r="AS4" s="26" t="s">
        <v>4</v>
      </c>
      <c r="AT4" s="26" t="s">
        <v>4</v>
      </c>
      <c r="AU4" s="26" t="s">
        <v>4</v>
      </c>
      <c r="AV4" s="26" t="s">
        <v>4</v>
      </c>
      <c r="AW4" s="26" t="s">
        <v>4</v>
      </c>
      <c r="AX4" s="26" t="s">
        <v>4</v>
      </c>
      <c r="AY4" s="26" t="s">
        <v>4</v>
      </c>
      <c r="AZ4" s="26" t="s">
        <v>4</v>
      </c>
      <c r="BA4" s="26" t="s">
        <v>4</v>
      </c>
      <c r="BB4" s="26" t="s">
        <v>4</v>
      </c>
      <c r="BC4" s="26" t="s">
        <v>4</v>
      </c>
      <c r="BD4" s="26" t="s">
        <v>4</v>
      </c>
      <c r="BE4" s="30">
        <v>0.25</v>
      </c>
      <c r="BF4" s="1">
        <f t="shared" ref="BF4:BF37" si="0">COUNTIF($G4:$BD4, "E")</f>
        <v>46</v>
      </c>
      <c r="BG4" s="1">
        <f t="shared" ref="BG4:BG37" si="1">COUNTIF($G4:$BD4, "L1")</f>
        <v>4</v>
      </c>
      <c r="BH4" s="1">
        <f t="shared" ref="BH4:BH37" si="2">COUNTIF($G4:$BD4, "L2")</f>
        <v>0</v>
      </c>
      <c r="BI4" s="1">
        <f t="shared" ref="BI4:BI37" si="3">COUNTIF($G4:$BD4, "L3")</f>
        <v>0</v>
      </c>
      <c r="BJ4" s="1">
        <f t="shared" ref="BJ4:BJ37" si="4">COUNTIF($G4:$BD4, "P")</f>
        <v>0</v>
      </c>
      <c r="BK4" s="1">
        <f t="shared" ref="BK4:BK37" si="5">COUNTIF($G4:$BD4, "AM")</f>
        <v>0</v>
      </c>
      <c r="BL4" s="1">
        <f t="shared" ref="BL4:BL37" si="6">COUNTIF($G4:$BD4, "AF")</f>
        <v>0</v>
      </c>
      <c r="BN4" s="1">
        <f t="shared" ref="BN4:BN37" si="7">COUNTIF($G4:$BD4, "E_D")</f>
        <v>0</v>
      </c>
      <c r="BO4" s="1">
        <f t="shared" ref="BO4:BO37" si="8">COUNTIF($G4:$BD4, "L1_D")</f>
        <v>0</v>
      </c>
      <c r="BP4" s="1">
        <f t="shared" ref="BP4:BP37" si="9">COUNTIF($G4:$BD4, "L2_D")</f>
        <v>0</v>
      </c>
      <c r="BQ4" s="1">
        <f t="shared" ref="BQ4:BQ37" si="10">COUNTIF($G4:$BD4, "L3_D")</f>
        <v>0</v>
      </c>
      <c r="BR4" s="1">
        <f t="shared" ref="BR4:BR32" si="11">COUNTIF($G4:$BD4, "P_D")</f>
        <v>0</v>
      </c>
    </row>
    <row r="5" spans="1:70" x14ac:dyDescent="0.3">
      <c r="A5" s="56">
        <v>172</v>
      </c>
      <c r="B5" s="56">
        <v>1</v>
      </c>
      <c r="C5" s="24">
        <v>44733.958333333336</v>
      </c>
      <c r="D5" s="33">
        <f>(C5-C4)</f>
        <v>0.25</v>
      </c>
      <c r="E5" s="64">
        <f>D5+E4</f>
        <v>0.5</v>
      </c>
      <c r="F5" s="61">
        <f t="shared" ref="F5:F37" si="12">D5+F4</f>
        <v>0.5</v>
      </c>
      <c r="G5" s="26" t="s">
        <v>4</v>
      </c>
      <c r="H5" s="26" t="s">
        <v>4</v>
      </c>
      <c r="I5" s="26" t="s">
        <v>4</v>
      </c>
      <c r="J5" s="26" t="s">
        <v>4</v>
      </c>
      <c r="K5" s="26" t="s">
        <v>4</v>
      </c>
      <c r="L5" s="26" t="s">
        <v>5</v>
      </c>
      <c r="M5" s="26" t="s">
        <v>5</v>
      </c>
      <c r="N5" s="26" t="s">
        <v>5</v>
      </c>
      <c r="O5" s="26" t="s">
        <v>4</v>
      </c>
      <c r="P5" s="26" t="s">
        <v>4</v>
      </c>
      <c r="Q5" s="26" t="s">
        <v>5</v>
      </c>
      <c r="R5" s="26" t="s">
        <v>5</v>
      </c>
      <c r="S5" s="26" t="s">
        <v>4</v>
      </c>
      <c r="T5" s="26" t="s">
        <v>4</v>
      </c>
      <c r="U5" s="26" t="s">
        <v>4</v>
      </c>
      <c r="V5" s="26" t="s">
        <v>5</v>
      </c>
      <c r="W5" s="26" t="s">
        <v>4</v>
      </c>
      <c r="X5" s="26" t="s">
        <v>4</v>
      </c>
      <c r="Y5" s="26" t="s">
        <v>4</v>
      </c>
      <c r="Z5" s="26" t="s">
        <v>5</v>
      </c>
      <c r="AA5" s="26" t="s">
        <v>4</v>
      </c>
      <c r="AB5" s="26" t="s">
        <v>4</v>
      </c>
      <c r="AC5" s="26" t="s">
        <v>5</v>
      </c>
      <c r="AD5" s="26" t="s">
        <v>5</v>
      </c>
      <c r="AE5" s="26" t="s">
        <v>4</v>
      </c>
      <c r="AF5" s="26" t="s">
        <v>4</v>
      </c>
      <c r="AG5" s="26" t="s">
        <v>5</v>
      </c>
      <c r="AH5" s="26" t="s">
        <v>5</v>
      </c>
      <c r="AI5" s="26" t="s">
        <v>4</v>
      </c>
      <c r="AJ5" s="26" t="s">
        <v>4</v>
      </c>
      <c r="AK5" s="26" t="s">
        <v>4</v>
      </c>
      <c r="AL5" s="26" t="s">
        <v>5</v>
      </c>
      <c r="AM5" s="26" t="s">
        <v>4</v>
      </c>
      <c r="AN5" s="26" t="s">
        <v>4</v>
      </c>
      <c r="AO5" s="26" t="s">
        <v>5</v>
      </c>
      <c r="AP5" s="26" t="s">
        <v>5</v>
      </c>
      <c r="AQ5" s="26" t="s">
        <v>4</v>
      </c>
      <c r="AR5" s="26" t="s">
        <v>4</v>
      </c>
      <c r="AS5" s="26" t="s">
        <v>4</v>
      </c>
      <c r="AT5" s="26" t="s">
        <v>5</v>
      </c>
      <c r="AU5" s="26" t="s">
        <v>4</v>
      </c>
      <c r="AV5" s="26" t="s">
        <v>4</v>
      </c>
      <c r="AW5" s="26" t="s">
        <v>5</v>
      </c>
      <c r="AX5" s="26" t="s">
        <v>5</v>
      </c>
      <c r="AY5" s="26" t="s">
        <v>4</v>
      </c>
      <c r="AZ5" s="26" t="s">
        <v>5</v>
      </c>
      <c r="BA5" s="26" t="s">
        <v>5</v>
      </c>
      <c r="BB5" s="26" t="s">
        <v>5</v>
      </c>
      <c r="BC5" s="26" t="s">
        <v>4</v>
      </c>
      <c r="BD5" s="26" t="s">
        <v>4</v>
      </c>
      <c r="BE5" s="30">
        <v>0.5</v>
      </c>
      <c r="BF5" s="1">
        <f t="shared" si="0"/>
        <v>30</v>
      </c>
      <c r="BG5" s="1">
        <f t="shared" si="1"/>
        <v>20</v>
      </c>
      <c r="BH5" s="1">
        <f t="shared" si="2"/>
        <v>0</v>
      </c>
      <c r="BI5" s="1">
        <f t="shared" si="3"/>
        <v>0</v>
      </c>
      <c r="BJ5" s="1">
        <f t="shared" si="4"/>
        <v>0</v>
      </c>
      <c r="BK5" s="1">
        <f t="shared" si="5"/>
        <v>0</v>
      </c>
      <c r="BL5" s="1">
        <f t="shared" si="6"/>
        <v>0</v>
      </c>
      <c r="BN5" s="1">
        <f t="shared" si="7"/>
        <v>0</v>
      </c>
      <c r="BO5" s="1">
        <f t="shared" si="8"/>
        <v>0</v>
      </c>
      <c r="BP5" s="1">
        <f t="shared" si="9"/>
        <v>0</v>
      </c>
      <c r="BQ5" s="1">
        <f t="shared" si="10"/>
        <v>0</v>
      </c>
      <c r="BR5" s="1">
        <f t="shared" si="11"/>
        <v>0</v>
      </c>
    </row>
    <row r="6" spans="1:70" x14ac:dyDescent="0.3">
      <c r="A6" s="56">
        <f>A3+1</f>
        <v>173</v>
      </c>
      <c r="B6" s="56">
        <v>2</v>
      </c>
      <c r="C6" s="24">
        <v>44734.208333333336</v>
      </c>
      <c r="D6" s="33">
        <f>(C6-C5)</f>
        <v>0.25</v>
      </c>
      <c r="E6" s="64">
        <f>D6+E5</f>
        <v>0.75</v>
      </c>
      <c r="F6" s="61">
        <f>D6+F5</f>
        <v>0.75</v>
      </c>
      <c r="G6" s="26" t="s">
        <v>4</v>
      </c>
      <c r="H6" s="26" t="s">
        <v>4</v>
      </c>
      <c r="I6" s="26" t="s">
        <v>4</v>
      </c>
      <c r="J6" s="26" t="s">
        <v>4</v>
      </c>
      <c r="K6" s="26" t="s">
        <v>4</v>
      </c>
      <c r="L6" s="26" t="s">
        <v>5</v>
      </c>
      <c r="M6" s="26" t="s">
        <v>5</v>
      </c>
      <c r="N6" s="26" t="s">
        <v>5</v>
      </c>
      <c r="O6" s="26" t="s">
        <v>4</v>
      </c>
      <c r="P6" s="26" t="s">
        <v>4</v>
      </c>
      <c r="Q6" s="26" t="s">
        <v>5</v>
      </c>
      <c r="R6" s="26" t="s">
        <v>5</v>
      </c>
      <c r="S6" s="63" t="s">
        <v>17</v>
      </c>
      <c r="T6" s="63" t="s">
        <v>17</v>
      </c>
      <c r="U6" s="26" t="s">
        <v>4</v>
      </c>
      <c r="V6" s="26" t="s">
        <v>5</v>
      </c>
      <c r="W6" s="63" t="s">
        <v>17</v>
      </c>
      <c r="X6" s="63" t="s">
        <v>17</v>
      </c>
      <c r="Y6" s="26" t="s">
        <v>4</v>
      </c>
      <c r="Z6" s="26" t="s">
        <v>5</v>
      </c>
      <c r="AA6" s="63" t="s">
        <v>17</v>
      </c>
      <c r="AB6" s="63" t="s">
        <v>17</v>
      </c>
      <c r="AC6" s="26" t="s">
        <v>5</v>
      </c>
      <c r="AD6" s="26" t="s">
        <v>5</v>
      </c>
      <c r="AE6" s="26" t="s">
        <v>4</v>
      </c>
      <c r="AF6" s="26" t="s">
        <v>4</v>
      </c>
      <c r="AG6" s="26" t="s">
        <v>5</v>
      </c>
      <c r="AH6" s="26" t="s">
        <v>5</v>
      </c>
      <c r="AI6" s="26" t="s">
        <v>4</v>
      </c>
      <c r="AJ6" s="26" t="s">
        <v>4</v>
      </c>
      <c r="AK6" s="26" t="s">
        <v>4</v>
      </c>
      <c r="AL6" s="26" t="s">
        <v>5</v>
      </c>
      <c r="AM6" s="26" t="s">
        <v>4</v>
      </c>
      <c r="AN6" s="26" t="s">
        <v>4</v>
      </c>
      <c r="AO6" s="26" t="s">
        <v>5</v>
      </c>
      <c r="AP6" s="26" t="s">
        <v>5</v>
      </c>
      <c r="AQ6" s="26" t="s">
        <v>4</v>
      </c>
      <c r="AR6" s="26" t="s">
        <v>4</v>
      </c>
      <c r="AS6" s="26" t="s">
        <v>4</v>
      </c>
      <c r="AT6" s="26" t="s">
        <v>5</v>
      </c>
      <c r="AU6" s="26" t="s">
        <v>4</v>
      </c>
      <c r="AV6" s="26" t="s">
        <v>4</v>
      </c>
      <c r="AW6" s="26" t="s">
        <v>5</v>
      </c>
      <c r="AX6" s="26" t="s">
        <v>5</v>
      </c>
      <c r="AY6" s="26" t="s">
        <v>4</v>
      </c>
      <c r="AZ6" s="26" t="s">
        <v>5</v>
      </c>
      <c r="BA6" s="26" t="s">
        <v>5</v>
      </c>
      <c r="BB6" s="26" t="s">
        <v>5</v>
      </c>
      <c r="BC6" s="26" t="s">
        <v>4</v>
      </c>
      <c r="BD6" s="26" t="s">
        <v>4</v>
      </c>
      <c r="BE6" s="30">
        <v>0.75</v>
      </c>
      <c r="BF6" s="1">
        <f t="shared" si="0"/>
        <v>24</v>
      </c>
      <c r="BG6" s="1">
        <f t="shared" si="1"/>
        <v>20</v>
      </c>
      <c r="BH6" s="1">
        <f t="shared" si="2"/>
        <v>0</v>
      </c>
      <c r="BI6" s="1">
        <f t="shared" si="3"/>
        <v>0</v>
      </c>
      <c r="BJ6" s="1">
        <f t="shared" si="4"/>
        <v>0</v>
      </c>
      <c r="BK6" s="1">
        <f t="shared" si="5"/>
        <v>0</v>
      </c>
      <c r="BL6" s="1">
        <f t="shared" si="6"/>
        <v>0</v>
      </c>
      <c r="BN6" s="1">
        <f t="shared" si="7"/>
        <v>6</v>
      </c>
      <c r="BO6" s="1">
        <f t="shared" si="8"/>
        <v>0</v>
      </c>
      <c r="BP6" s="1">
        <f t="shared" si="9"/>
        <v>0</v>
      </c>
      <c r="BQ6" s="1">
        <f t="shared" si="10"/>
        <v>0</v>
      </c>
      <c r="BR6" s="1">
        <f t="shared" si="11"/>
        <v>0</v>
      </c>
    </row>
    <row r="7" spans="1:70" x14ac:dyDescent="0.3">
      <c r="A7" s="56">
        <f>A4+1</f>
        <v>173</v>
      </c>
      <c r="B7" s="56">
        <v>2</v>
      </c>
      <c r="C7" s="24">
        <v>44734.458333333336</v>
      </c>
      <c r="D7" s="33">
        <f t="shared" ref="D7" si="13">(C7-C6)</f>
        <v>0.25</v>
      </c>
      <c r="E7" s="64">
        <f t="shared" ref="E7:E37" si="14">D7+E6</f>
        <v>1</v>
      </c>
      <c r="F7" s="61">
        <f t="shared" si="12"/>
        <v>1</v>
      </c>
      <c r="G7" s="63" t="s">
        <v>17</v>
      </c>
      <c r="H7" s="63" t="s">
        <v>17</v>
      </c>
      <c r="I7" s="26" t="s">
        <v>4</v>
      </c>
      <c r="J7" s="26" t="s">
        <v>4</v>
      </c>
      <c r="K7" s="63" t="s">
        <v>17</v>
      </c>
      <c r="L7" s="26" t="s">
        <v>5</v>
      </c>
      <c r="M7" s="26" t="s">
        <v>5</v>
      </c>
      <c r="N7" s="26" t="s">
        <v>5</v>
      </c>
      <c r="O7" s="63" t="s">
        <v>17</v>
      </c>
      <c r="P7" s="26" t="s">
        <v>5</v>
      </c>
      <c r="Q7" s="26" t="s">
        <v>5</v>
      </c>
      <c r="R7" s="26" t="s">
        <v>5</v>
      </c>
      <c r="S7" s="63" t="s">
        <v>17</v>
      </c>
      <c r="T7" s="63" t="s">
        <v>17</v>
      </c>
      <c r="U7" s="26" t="s">
        <v>5</v>
      </c>
      <c r="V7" s="26" t="s">
        <v>5</v>
      </c>
      <c r="W7" s="63" t="s">
        <v>17</v>
      </c>
      <c r="X7" s="63" t="s">
        <v>17</v>
      </c>
      <c r="Y7" s="26" t="s">
        <v>5</v>
      </c>
      <c r="Z7" s="26" t="s">
        <v>5</v>
      </c>
      <c r="AA7" s="63" t="s">
        <v>17</v>
      </c>
      <c r="AB7" s="63" t="s">
        <v>17</v>
      </c>
      <c r="AC7" s="26" t="s">
        <v>5</v>
      </c>
      <c r="AD7" s="26" t="s">
        <v>5</v>
      </c>
      <c r="AE7" s="63" t="s">
        <v>17</v>
      </c>
      <c r="AF7" s="26" t="s">
        <v>5</v>
      </c>
      <c r="AG7" s="26" t="s">
        <v>5</v>
      </c>
      <c r="AH7" s="26" t="s">
        <v>5</v>
      </c>
      <c r="AI7" s="26" t="s">
        <v>4</v>
      </c>
      <c r="AJ7" s="26" t="s">
        <v>5</v>
      </c>
      <c r="AK7" s="26" t="s">
        <v>5</v>
      </c>
      <c r="AL7" s="26" t="s">
        <v>5</v>
      </c>
      <c r="AM7" s="26" t="s">
        <v>5</v>
      </c>
      <c r="AN7" s="26" t="s">
        <v>5</v>
      </c>
      <c r="AO7" s="26" t="s">
        <v>5</v>
      </c>
      <c r="AP7" s="26" t="s">
        <v>5</v>
      </c>
      <c r="AQ7" s="63" t="s">
        <v>17</v>
      </c>
      <c r="AR7" s="63" t="s">
        <v>17</v>
      </c>
      <c r="AS7" s="26" t="s">
        <v>5</v>
      </c>
      <c r="AT7" s="26" t="s">
        <v>5</v>
      </c>
      <c r="AU7" s="63" t="s">
        <v>17</v>
      </c>
      <c r="AV7" s="63" t="s">
        <v>17</v>
      </c>
      <c r="AW7" s="26" t="s">
        <v>5</v>
      </c>
      <c r="AX7" s="26" t="s">
        <v>5</v>
      </c>
      <c r="AY7" s="63" t="s">
        <v>17</v>
      </c>
      <c r="AZ7" s="26" t="s">
        <v>5</v>
      </c>
      <c r="BA7" s="26" t="s">
        <v>5</v>
      </c>
      <c r="BB7" s="26" t="s">
        <v>5</v>
      </c>
      <c r="BC7" s="26" t="s">
        <v>5</v>
      </c>
      <c r="BD7" s="26" t="s">
        <v>5</v>
      </c>
      <c r="BE7" s="30">
        <v>1</v>
      </c>
      <c r="BF7" s="1">
        <f t="shared" si="0"/>
        <v>3</v>
      </c>
      <c r="BG7" s="1">
        <f t="shared" si="1"/>
        <v>31</v>
      </c>
      <c r="BH7" s="1">
        <f t="shared" si="2"/>
        <v>0</v>
      </c>
      <c r="BI7" s="1">
        <f t="shared" si="3"/>
        <v>0</v>
      </c>
      <c r="BJ7" s="1">
        <f t="shared" si="4"/>
        <v>0</v>
      </c>
      <c r="BK7" s="1">
        <f t="shared" si="5"/>
        <v>0</v>
      </c>
      <c r="BL7" s="1">
        <f t="shared" si="6"/>
        <v>0</v>
      </c>
      <c r="BN7" s="1">
        <f t="shared" si="7"/>
        <v>16</v>
      </c>
      <c r="BO7" s="1">
        <f t="shared" si="8"/>
        <v>0</v>
      </c>
      <c r="BP7" s="1">
        <f t="shared" si="9"/>
        <v>0</v>
      </c>
      <c r="BQ7" s="1">
        <f t="shared" si="10"/>
        <v>0</v>
      </c>
      <c r="BR7" s="1">
        <f t="shared" si="11"/>
        <v>0</v>
      </c>
    </row>
    <row r="8" spans="1:70" x14ac:dyDescent="0.3">
      <c r="A8" s="56">
        <f>A5+1</f>
        <v>173</v>
      </c>
      <c r="B8" s="56">
        <v>2</v>
      </c>
      <c r="C8" s="24">
        <v>44734.708333333336</v>
      </c>
      <c r="D8" s="33">
        <f>(C8-C7)</f>
        <v>0.25</v>
      </c>
      <c r="E8" s="64">
        <f t="shared" si="14"/>
        <v>1.25</v>
      </c>
      <c r="F8" s="61">
        <f t="shared" si="12"/>
        <v>1.25</v>
      </c>
      <c r="G8" s="63" t="s">
        <v>17</v>
      </c>
      <c r="H8" s="63" t="s">
        <v>17</v>
      </c>
      <c r="I8" s="26" t="s">
        <v>5</v>
      </c>
      <c r="J8" s="26" t="s">
        <v>5</v>
      </c>
      <c r="K8" s="63" t="s">
        <v>17</v>
      </c>
      <c r="L8" s="26" t="s">
        <v>5</v>
      </c>
      <c r="M8" s="26" t="s">
        <v>5</v>
      </c>
      <c r="N8" s="26" t="s">
        <v>5</v>
      </c>
      <c r="O8" s="63" t="s">
        <v>17</v>
      </c>
      <c r="P8" s="26" t="s">
        <v>5</v>
      </c>
      <c r="Q8" s="26" t="s">
        <v>5</v>
      </c>
      <c r="R8" s="26" t="s">
        <v>5</v>
      </c>
      <c r="S8" s="63" t="s">
        <v>17</v>
      </c>
      <c r="T8" s="63" t="s">
        <v>17</v>
      </c>
      <c r="U8" s="26" t="s">
        <v>5</v>
      </c>
      <c r="V8" s="26" t="s">
        <v>5</v>
      </c>
      <c r="W8" s="63" t="s">
        <v>17</v>
      </c>
      <c r="X8" s="63" t="s">
        <v>17</v>
      </c>
      <c r="Y8" s="26" t="s">
        <v>5</v>
      </c>
      <c r="Z8" s="26" t="s">
        <v>5</v>
      </c>
      <c r="AA8" s="63" t="s">
        <v>17</v>
      </c>
      <c r="AB8" s="63" t="s">
        <v>17</v>
      </c>
      <c r="AC8" s="26" t="s">
        <v>5</v>
      </c>
      <c r="AD8" s="26" t="s">
        <v>5</v>
      </c>
      <c r="AE8" s="63" t="s">
        <v>17</v>
      </c>
      <c r="AF8" s="26" t="s">
        <v>5</v>
      </c>
      <c r="AG8" s="26" t="s">
        <v>5</v>
      </c>
      <c r="AH8" s="26" t="s">
        <v>5</v>
      </c>
      <c r="AI8" s="26" t="s">
        <v>4</v>
      </c>
      <c r="AJ8" s="26" t="s">
        <v>5</v>
      </c>
      <c r="AK8" s="26" t="s">
        <v>5</v>
      </c>
      <c r="AL8" s="26" t="s">
        <v>5</v>
      </c>
      <c r="AM8" s="26" t="s">
        <v>5</v>
      </c>
      <c r="AN8" s="26" t="s">
        <v>5</v>
      </c>
      <c r="AO8" s="26" t="s">
        <v>5</v>
      </c>
      <c r="AP8" s="26" t="s">
        <v>5</v>
      </c>
      <c r="AQ8" s="63" t="s">
        <v>17</v>
      </c>
      <c r="AR8" s="63" t="s">
        <v>17</v>
      </c>
      <c r="AS8" s="26" t="s">
        <v>5</v>
      </c>
      <c r="AT8" s="26" t="s">
        <v>5</v>
      </c>
      <c r="AU8" s="63" t="s">
        <v>17</v>
      </c>
      <c r="AV8" s="63" t="s">
        <v>17</v>
      </c>
      <c r="AW8" s="26" t="s">
        <v>5</v>
      </c>
      <c r="AX8" s="26" t="s">
        <v>5</v>
      </c>
      <c r="AY8" s="63" t="s">
        <v>17</v>
      </c>
      <c r="AZ8" s="26" t="s">
        <v>5</v>
      </c>
      <c r="BA8" s="26" t="s">
        <v>5</v>
      </c>
      <c r="BB8" s="26" t="s">
        <v>5</v>
      </c>
      <c r="BC8" s="26" t="s">
        <v>5</v>
      </c>
      <c r="BD8" s="26" t="s">
        <v>5</v>
      </c>
      <c r="BE8" s="30">
        <v>1.25</v>
      </c>
      <c r="BF8" s="1">
        <f t="shared" si="0"/>
        <v>1</v>
      </c>
      <c r="BG8" s="1">
        <f t="shared" si="1"/>
        <v>33</v>
      </c>
      <c r="BH8" s="1">
        <f t="shared" si="2"/>
        <v>0</v>
      </c>
      <c r="BI8" s="1">
        <f t="shared" si="3"/>
        <v>0</v>
      </c>
      <c r="BJ8" s="1">
        <f t="shared" si="4"/>
        <v>0</v>
      </c>
      <c r="BK8" s="1">
        <f t="shared" si="5"/>
        <v>0</v>
      </c>
      <c r="BL8" s="1">
        <f t="shared" si="6"/>
        <v>0</v>
      </c>
      <c r="BN8" s="1">
        <f t="shared" si="7"/>
        <v>16</v>
      </c>
      <c r="BO8" s="1">
        <f t="shared" si="8"/>
        <v>0</v>
      </c>
      <c r="BP8" s="1">
        <f t="shared" si="9"/>
        <v>0</v>
      </c>
      <c r="BQ8" s="1">
        <f t="shared" si="10"/>
        <v>0</v>
      </c>
      <c r="BR8" s="1">
        <f t="shared" si="11"/>
        <v>0</v>
      </c>
    </row>
    <row r="9" spans="1:70" x14ac:dyDescent="0.3">
      <c r="A9" s="56">
        <v>173</v>
      </c>
      <c r="B9" s="56">
        <v>2</v>
      </c>
      <c r="C9" s="24">
        <v>44734.958333333336</v>
      </c>
      <c r="D9" s="33">
        <f>(C9-C8)</f>
        <v>0.25</v>
      </c>
      <c r="E9" s="64">
        <f t="shared" si="14"/>
        <v>1.5</v>
      </c>
      <c r="F9" s="61">
        <f t="shared" si="12"/>
        <v>1.5</v>
      </c>
      <c r="G9" s="63" t="s">
        <v>17</v>
      </c>
      <c r="H9" s="63" t="s">
        <v>17</v>
      </c>
      <c r="I9" s="26" t="s">
        <v>5</v>
      </c>
      <c r="J9" s="26" t="s">
        <v>5</v>
      </c>
      <c r="K9" s="63" t="s">
        <v>17</v>
      </c>
      <c r="L9" s="26" t="s">
        <v>5</v>
      </c>
      <c r="M9" s="26" t="s">
        <v>5</v>
      </c>
      <c r="N9" s="26" t="s">
        <v>5</v>
      </c>
      <c r="O9" s="63" t="s">
        <v>17</v>
      </c>
      <c r="P9" s="26" t="s">
        <v>5</v>
      </c>
      <c r="Q9" s="26" t="s">
        <v>5</v>
      </c>
      <c r="R9" s="26" t="s">
        <v>5</v>
      </c>
      <c r="S9" s="63" t="s">
        <v>17</v>
      </c>
      <c r="T9" s="63" t="s">
        <v>17</v>
      </c>
      <c r="U9" s="26" t="s">
        <v>5</v>
      </c>
      <c r="V9" s="26" t="s">
        <v>5</v>
      </c>
      <c r="W9" s="63" t="s">
        <v>17</v>
      </c>
      <c r="X9" s="63" t="s">
        <v>17</v>
      </c>
      <c r="Y9" s="26" t="s">
        <v>5</v>
      </c>
      <c r="Z9" s="26" t="s">
        <v>5</v>
      </c>
      <c r="AA9" s="63" t="s">
        <v>17</v>
      </c>
      <c r="AB9" s="63" t="s">
        <v>17</v>
      </c>
      <c r="AC9" s="26" t="s">
        <v>5</v>
      </c>
      <c r="AD9" s="26" t="s">
        <v>5</v>
      </c>
      <c r="AE9" s="63" t="s">
        <v>17</v>
      </c>
      <c r="AF9" s="26" t="s">
        <v>5</v>
      </c>
      <c r="AG9" s="26" t="s">
        <v>5</v>
      </c>
      <c r="AH9" s="26" t="s">
        <v>5</v>
      </c>
      <c r="AI9" s="26" t="s">
        <v>5</v>
      </c>
      <c r="AJ9" s="26" t="s">
        <v>5</v>
      </c>
      <c r="AK9" s="26" t="s">
        <v>5</v>
      </c>
      <c r="AL9" s="26" t="s">
        <v>5</v>
      </c>
      <c r="AM9" s="26" t="s">
        <v>5</v>
      </c>
      <c r="AN9" s="26" t="s">
        <v>5</v>
      </c>
      <c r="AO9" s="26" t="s">
        <v>5</v>
      </c>
      <c r="AP9" s="26" t="s">
        <v>5</v>
      </c>
      <c r="AQ9" s="63" t="s">
        <v>17</v>
      </c>
      <c r="AR9" s="63" t="s">
        <v>17</v>
      </c>
      <c r="AS9" s="26" t="s">
        <v>5</v>
      </c>
      <c r="AT9" s="26" t="s">
        <v>5</v>
      </c>
      <c r="AU9" s="63" t="s">
        <v>17</v>
      </c>
      <c r="AV9" s="63" t="s">
        <v>17</v>
      </c>
      <c r="AW9" s="26" t="s">
        <v>5</v>
      </c>
      <c r="AX9" s="26" t="s">
        <v>5</v>
      </c>
      <c r="AY9" s="63" t="s">
        <v>17</v>
      </c>
      <c r="AZ9" s="26" t="s">
        <v>5</v>
      </c>
      <c r="BA9" s="26" t="s">
        <v>5</v>
      </c>
      <c r="BB9" s="26" t="s">
        <v>5</v>
      </c>
      <c r="BC9" s="26" t="s">
        <v>5</v>
      </c>
      <c r="BD9" s="26" t="s">
        <v>5</v>
      </c>
      <c r="BE9" s="30">
        <v>1.5</v>
      </c>
      <c r="BF9" s="1">
        <f t="shared" si="0"/>
        <v>0</v>
      </c>
      <c r="BG9" s="1">
        <f t="shared" si="1"/>
        <v>34</v>
      </c>
      <c r="BH9" s="1">
        <f t="shared" si="2"/>
        <v>0</v>
      </c>
      <c r="BI9" s="1">
        <f t="shared" si="3"/>
        <v>0</v>
      </c>
      <c r="BJ9" s="1">
        <f t="shared" si="4"/>
        <v>0</v>
      </c>
      <c r="BK9" s="1">
        <f t="shared" si="5"/>
        <v>0</v>
      </c>
      <c r="BL9" s="1">
        <f t="shared" si="6"/>
        <v>0</v>
      </c>
      <c r="BN9" s="1">
        <f t="shared" si="7"/>
        <v>16</v>
      </c>
      <c r="BO9" s="1">
        <f t="shared" si="8"/>
        <v>0</v>
      </c>
      <c r="BP9" s="1">
        <f t="shared" si="9"/>
        <v>0</v>
      </c>
      <c r="BQ9" s="1">
        <f t="shared" si="10"/>
        <v>0</v>
      </c>
      <c r="BR9" s="1">
        <f t="shared" si="11"/>
        <v>0</v>
      </c>
    </row>
    <row r="10" spans="1:70" x14ac:dyDescent="0.3">
      <c r="A10" s="56">
        <v>174</v>
      </c>
      <c r="B10" s="56">
        <v>3</v>
      </c>
      <c r="C10" s="24">
        <v>44735.208333333336</v>
      </c>
      <c r="D10" s="33">
        <f t="shared" ref="D10:D37" si="15">(C10-C9)</f>
        <v>0.25</v>
      </c>
      <c r="E10" s="64">
        <f t="shared" si="14"/>
        <v>1.75</v>
      </c>
      <c r="F10" s="61">
        <f t="shared" si="12"/>
        <v>1.75</v>
      </c>
      <c r="G10" s="63" t="s">
        <v>17</v>
      </c>
      <c r="H10" s="63" t="s">
        <v>17</v>
      </c>
      <c r="I10" s="26" t="s">
        <v>5</v>
      </c>
      <c r="J10" s="26" t="s">
        <v>5</v>
      </c>
      <c r="K10" s="63" t="s">
        <v>17</v>
      </c>
      <c r="L10" s="26" t="s">
        <v>5</v>
      </c>
      <c r="M10" s="26" t="s">
        <v>5</v>
      </c>
      <c r="N10" s="26" t="s">
        <v>5</v>
      </c>
      <c r="O10" s="63" t="s">
        <v>17</v>
      </c>
      <c r="P10" s="26" t="s">
        <v>5</v>
      </c>
      <c r="Q10" s="26" t="s">
        <v>5</v>
      </c>
      <c r="R10" s="26" t="s">
        <v>5</v>
      </c>
      <c r="S10" s="63" t="s">
        <v>17</v>
      </c>
      <c r="T10" s="63" t="s">
        <v>17</v>
      </c>
      <c r="U10" s="26" t="s">
        <v>5</v>
      </c>
      <c r="V10" s="26" t="s">
        <v>5</v>
      </c>
      <c r="W10" s="63" t="s">
        <v>17</v>
      </c>
      <c r="X10" s="63" t="s">
        <v>17</v>
      </c>
      <c r="Y10" s="26" t="s">
        <v>5</v>
      </c>
      <c r="Z10" s="26" t="s">
        <v>5</v>
      </c>
      <c r="AA10" s="63" t="s">
        <v>17</v>
      </c>
      <c r="AB10" s="63" t="s">
        <v>17</v>
      </c>
      <c r="AC10" s="26" t="s">
        <v>5</v>
      </c>
      <c r="AD10" s="26" t="s">
        <v>5</v>
      </c>
      <c r="AE10" s="63" t="s">
        <v>17</v>
      </c>
      <c r="AF10" s="26" t="s">
        <v>5</v>
      </c>
      <c r="AG10" s="26" t="s">
        <v>5</v>
      </c>
      <c r="AH10" s="26" t="s">
        <v>5</v>
      </c>
      <c r="AI10" s="26" t="s">
        <v>5</v>
      </c>
      <c r="AJ10" s="26" t="s">
        <v>5</v>
      </c>
      <c r="AK10" s="26" t="s">
        <v>5</v>
      </c>
      <c r="AL10" s="26" t="s">
        <v>5</v>
      </c>
      <c r="AM10" s="26" t="s">
        <v>5</v>
      </c>
      <c r="AN10" s="26" t="s">
        <v>5</v>
      </c>
      <c r="AO10" s="26" t="s">
        <v>5</v>
      </c>
      <c r="AP10" s="26" t="s">
        <v>5</v>
      </c>
      <c r="AQ10" s="63" t="s">
        <v>17</v>
      </c>
      <c r="AR10" s="63" t="s">
        <v>17</v>
      </c>
      <c r="AS10" s="26" t="s">
        <v>5</v>
      </c>
      <c r="AT10" s="26" t="s">
        <v>5</v>
      </c>
      <c r="AU10" s="63" t="s">
        <v>17</v>
      </c>
      <c r="AV10" s="63" t="s">
        <v>17</v>
      </c>
      <c r="AW10" s="26" t="s">
        <v>5</v>
      </c>
      <c r="AX10" s="26" t="s">
        <v>5</v>
      </c>
      <c r="AY10" s="63" t="s">
        <v>17</v>
      </c>
      <c r="AZ10" s="26" t="s">
        <v>5</v>
      </c>
      <c r="BA10" s="26" t="s">
        <v>5</v>
      </c>
      <c r="BB10" s="26" t="s">
        <v>5</v>
      </c>
      <c r="BC10" s="26" t="s">
        <v>5</v>
      </c>
      <c r="BD10" s="26" t="s">
        <v>5</v>
      </c>
      <c r="BE10" s="30">
        <v>1.75</v>
      </c>
      <c r="BF10" s="1">
        <f t="shared" si="0"/>
        <v>0</v>
      </c>
      <c r="BG10" s="1">
        <f t="shared" si="1"/>
        <v>34</v>
      </c>
      <c r="BH10" s="1">
        <f t="shared" si="2"/>
        <v>0</v>
      </c>
      <c r="BI10" s="1">
        <f t="shared" si="3"/>
        <v>0</v>
      </c>
      <c r="BJ10" s="1">
        <f t="shared" si="4"/>
        <v>0</v>
      </c>
      <c r="BK10" s="1">
        <f t="shared" si="5"/>
        <v>0</v>
      </c>
      <c r="BL10" s="1">
        <f t="shared" si="6"/>
        <v>0</v>
      </c>
      <c r="BN10" s="1">
        <f t="shared" si="7"/>
        <v>16</v>
      </c>
      <c r="BO10" s="1">
        <f t="shared" si="8"/>
        <v>0</v>
      </c>
      <c r="BP10" s="1">
        <f t="shared" si="9"/>
        <v>0</v>
      </c>
      <c r="BQ10" s="1">
        <f t="shared" si="10"/>
        <v>0</v>
      </c>
      <c r="BR10" s="1">
        <f t="shared" si="11"/>
        <v>0</v>
      </c>
    </row>
    <row r="11" spans="1:70" x14ac:dyDescent="0.3">
      <c r="A11" s="56">
        <v>174</v>
      </c>
      <c r="B11" s="56">
        <v>3</v>
      </c>
      <c r="C11" s="24">
        <v>44735.458333333336</v>
      </c>
      <c r="D11" s="33">
        <f t="shared" si="15"/>
        <v>0.25</v>
      </c>
      <c r="E11" s="64">
        <f t="shared" si="14"/>
        <v>2</v>
      </c>
      <c r="F11" s="61">
        <f t="shared" si="12"/>
        <v>2</v>
      </c>
      <c r="G11" s="63" t="s">
        <v>17</v>
      </c>
      <c r="H11" s="63" t="s">
        <v>17</v>
      </c>
      <c r="I11" s="26" t="s">
        <v>5</v>
      </c>
      <c r="J11" s="26" t="s">
        <v>5</v>
      </c>
      <c r="K11" s="63" t="s">
        <v>17</v>
      </c>
      <c r="L11" s="26" t="s">
        <v>5</v>
      </c>
      <c r="M11" s="26" t="s">
        <v>5</v>
      </c>
      <c r="N11" s="26" t="s">
        <v>8</v>
      </c>
      <c r="O11" s="63" t="s">
        <v>17</v>
      </c>
      <c r="P11" s="26" t="s">
        <v>5</v>
      </c>
      <c r="Q11" s="26" t="s">
        <v>5</v>
      </c>
      <c r="R11" s="26" t="s">
        <v>8</v>
      </c>
      <c r="S11" s="63" t="s">
        <v>17</v>
      </c>
      <c r="T11" s="63" t="s">
        <v>17</v>
      </c>
      <c r="U11" s="26" t="s">
        <v>5</v>
      </c>
      <c r="V11" s="26" t="s">
        <v>8</v>
      </c>
      <c r="W11" s="63" t="s">
        <v>17</v>
      </c>
      <c r="X11" s="63" t="s">
        <v>17</v>
      </c>
      <c r="Y11" s="26" t="s">
        <v>5</v>
      </c>
      <c r="Z11" s="26" t="s">
        <v>8</v>
      </c>
      <c r="AA11" s="63" t="s">
        <v>17</v>
      </c>
      <c r="AB11" s="63" t="s">
        <v>17</v>
      </c>
      <c r="AC11" s="26" t="s">
        <v>5</v>
      </c>
      <c r="AD11" s="26" t="s">
        <v>8</v>
      </c>
      <c r="AE11" s="63" t="s">
        <v>17</v>
      </c>
      <c r="AF11" s="26" t="s">
        <v>5</v>
      </c>
      <c r="AG11" s="26" t="s">
        <v>5</v>
      </c>
      <c r="AH11" s="26" t="s">
        <v>8</v>
      </c>
      <c r="AI11" s="26" t="s">
        <v>5</v>
      </c>
      <c r="AJ11" s="26" t="s">
        <v>5</v>
      </c>
      <c r="AK11" s="26" t="s">
        <v>5</v>
      </c>
      <c r="AL11" s="26" t="s">
        <v>5</v>
      </c>
      <c r="AM11" s="26" t="s">
        <v>5</v>
      </c>
      <c r="AN11" s="26" t="s">
        <v>5</v>
      </c>
      <c r="AO11" s="26" t="s">
        <v>8</v>
      </c>
      <c r="AP11" s="26" t="s">
        <v>8</v>
      </c>
      <c r="AQ11" s="63" t="s">
        <v>17</v>
      </c>
      <c r="AR11" s="63" t="s">
        <v>17</v>
      </c>
      <c r="AS11" s="26" t="s">
        <v>5</v>
      </c>
      <c r="AT11" s="26" t="s">
        <v>5</v>
      </c>
      <c r="AU11" s="63" t="s">
        <v>17</v>
      </c>
      <c r="AV11" s="63" t="s">
        <v>17</v>
      </c>
      <c r="AW11" s="26" t="s">
        <v>5</v>
      </c>
      <c r="AX11" s="26" t="s">
        <v>5</v>
      </c>
      <c r="AY11" s="63" t="s">
        <v>17</v>
      </c>
      <c r="AZ11" s="26" t="s">
        <v>5</v>
      </c>
      <c r="BA11" s="26" t="s">
        <v>5</v>
      </c>
      <c r="BB11" s="26" t="s">
        <v>5</v>
      </c>
      <c r="BC11" s="26" t="s">
        <v>5</v>
      </c>
      <c r="BD11" s="26" t="s">
        <v>5</v>
      </c>
      <c r="BE11" s="30">
        <v>2</v>
      </c>
      <c r="BF11" s="1">
        <f t="shared" si="0"/>
        <v>0</v>
      </c>
      <c r="BG11" s="1">
        <f t="shared" si="1"/>
        <v>26</v>
      </c>
      <c r="BH11" s="1">
        <f t="shared" si="2"/>
        <v>8</v>
      </c>
      <c r="BI11" s="1">
        <f t="shared" si="3"/>
        <v>0</v>
      </c>
      <c r="BJ11" s="1">
        <f t="shared" si="4"/>
        <v>0</v>
      </c>
      <c r="BK11" s="1">
        <f t="shared" si="5"/>
        <v>0</v>
      </c>
      <c r="BL11" s="1">
        <f t="shared" si="6"/>
        <v>0</v>
      </c>
      <c r="BN11" s="1">
        <f t="shared" si="7"/>
        <v>16</v>
      </c>
      <c r="BO11" s="1">
        <f t="shared" si="8"/>
        <v>0</v>
      </c>
      <c r="BP11" s="1">
        <f t="shared" si="9"/>
        <v>0</v>
      </c>
      <c r="BQ11" s="1">
        <f t="shared" si="10"/>
        <v>0</v>
      </c>
      <c r="BR11" s="1">
        <f t="shared" si="11"/>
        <v>0</v>
      </c>
    </row>
    <row r="12" spans="1:70" x14ac:dyDescent="0.3">
      <c r="A12" s="56">
        <v>174</v>
      </c>
      <c r="B12" s="56">
        <v>3</v>
      </c>
      <c r="C12" s="24">
        <v>44735.708333333336</v>
      </c>
      <c r="D12" s="33">
        <f t="shared" si="15"/>
        <v>0.25</v>
      </c>
      <c r="E12" s="64">
        <f t="shared" si="14"/>
        <v>2.25</v>
      </c>
      <c r="F12" s="61">
        <f t="shared" si="12"/>
        <v>2.25</v>
      </c>
      <c r="G12" s="63" t="s">
        <v>17</v>
      </c>
      <c r="H12" s="63" t="s">
        <v>17</v>
      </c>
      <c r="I12" s="26" t="s">
        <v>5</v>
      </c>
      <c r="J12" s="26" t="s">
        <v>8</v>
      </c>
      <c r="K12" s="63" t="s">
        <v>17</v>
      </c>
      <c r="L12" s="26" t="s">
        <v>5</v>
      </c>
      <c r="M12" s="26" t="s">
        <v>5</v>
      </c>
      <c r="N12" s="26" t="s">
        <v>8</v>
      </c>
      <c r="O12" s="63" t="s">
        <v>17</v>
      </c>
      <c r="P12" s="26" t="s">
        <v>5</v>
      </c>
      <c r="Q12" s="26" t="s">
        <v>8</v>
      </c>
      <c r="R12" s="26" t="s">
        <v>22</v>
      </c>
      <c r="S12" s="63" t="s">
        <v>17</v>
      </c>
      <c r="T12" s="63" t="s">
        <v>17</v>
      </c>
      <c r="U12" s="26" t="s">
        <v>8</v>
      </c>
      <c r="V12" s="26" t="s">
        <v>22</v>
      </c>
      <c r="W12" s="63" t="s">
        <v>17</v>
      </c>
      <c r="X12" s="63" t="s">
        <v>17</v>
      </c>
      <c r="Y12" s="26" t="s">
        <v>5</v>
      </c>
      <c r="Z12" s="26" t="s">
        <v>8</v>
      </c>
      <c r="AA12" s="63" t="s">
        <v>17</v>
      </c>
      <c r="AB12" s="63" t="s">
        <v>17</v>
      </c>
      <c r="AC12" s="26" t="s">
        <v>5</v>
      </c>
      <c r="AD12" s="26" t="s">
        <v>8</v>
      </c>
      <c r="AE12" s="63" t="s">
        <v>17</v>
      </c>
      <c r="AF12" s="26" t="s">
        <v>5</v>
      </c>
      <c r="AG12" s="26" t="s">
        <v>5</v>
      </c>
      <c r="AH12" s="26" t="s">
        <v>8</v>
      </c>
      <c r="AI12" s="26" t="s">
        <v>5</v>
      </c>
      <c r="AJ12" s="26" t="s">
        <v>5</v>
      </c>
      <c r="AK12" s="26" t="s">
        <v>5</v>
      </c>
      <c r="AL12" s="26" t="s">
        <v>5</v>
      </c>
      <c r="AM12" s="26" t="s">
        <v>5</v>
      </c>
      <c r="AN12" s="26" t="s">
        <v>5</v>
      </c>
      <c r="AO12" s="26" t="s">
        <v>8</v>
      </c>
      <c r="AP12" s="26" t="s">
        <v>22</v>
      </c>
      <c r="AQ12" s="63" t="s">
        <v>17</v>
      </c>
      <c r="AR12" s="63" t="s">
        <v>17</v>
      </c>
      <c r="AS12" s="26" t="s">
        <v>5</v>
      </c>
      <c r="AT12" s="26" t="s">
        <v>5</v>
      </c>
      <c r="AU12" s="63" t="s">
        <v>17</v>
      </c>
      <c r="AV12" s="63" t="s">
        <v>17</v>
      </c>
      <c r="AW12" s="26" t="s">
        <v>5</v>
      </c>
      <c r="AX12" s="26" t="s">
        <v>5</v>
      </c>
      <c r="AY12" s="63" t="s">
        <v>17</v>
      </c>
      <c r="AZ12" s="26"/>
      <c r="BA12" s="26" t="s">
        <v>5</v>
      </c>
      <c r="BB12" s="26" t="s">
        <v>5</v>
      </c>
      <c r="BC12" s="26" t="s">
        <v>5</v>
      </c>
      <c r="BD12" s="26" t="s">
        <v>18</v>
      </c>
      <c r="BE12" s="30">
        <v>2.25</v>
      </c>
      <c r="BF12" s="1">
        <f t="shared" si="0"/>
        <v>0</v>
      </c>
      <c r="BG12" s="1">
        <f t="shared" si="1"/>
        <v>21</v>
      </c>
      <c r="BH12" s="1">
        <f t="shared" si="2"/>
        <v>8</v>
      </c>
      <c r="BI12" s="1">
        <f t="shared" si="3"/>
        <v>0</v>
      </c>
      <c r="BJ12" s="1">
        <f t="shared" si="4"/>
        <v>0</v>
      </c>
      <c r="BK12" s="1">
        <f t="shared" si="5"/>
        <v>0</v>
      </c>
      <c r="BL12" s="1">
        <f t="shared" si="6"/>
        <v>0</v>
      </c>
      <c r="BN12" s="1">
        <f t="shared" si="7"/>
        <v>16</v>
      </c>
      <c r="BO12" s="1">
        <f t="shared" si="8"/>
        <v>1</v>
      </c>
      <c r="BP12" s="1">
        <f t="shared" si="9"/>
        <v>3</v>
      </c>
      <c r="BQ12" s="1">
        <f t="shared" si="10"/>
        <v>0</v>
      </c>
      <c r="BR12" s="1">
        <f t="shared" si="11"/>
        <v>0</v>
      </c>
    </row>
    <row r="13" spans="1:70" x14ac:dyDescent="0.3">
      <c r="A13" s="56">
        <v>174</v>
      </c>
      <c r="B13" s="56">
        <v>3</v>
      </c>
      <c r="C13" s="24">
        <v>44735.958333333336</v>
      </c>
      <c r="D13" s="33">
        <f t="shared" si="15"/>
        <v>0.25</v>
      </c>
      <c r="E13" s="64">
        <f t="shared" si="14"/>
        <v>2.5</v>
      </c>
      <c r="F13" s="61">
        <f t="shared" si="12"/>
        <v>2.5</v>
      </c>
      <c r="G13" s="63" t="s">
        <v>17</v>
      </c>
      <c r="H13" s="63" t="s">
        <v>17</v>
      </c>
      <c r="I13" s="26" t="s">
        <v>5</v>
      </c>
      <c r="J13" s="26" t="s">
        <v>8</v>
      </c>
      <c r="K13" s="63" t="s">
        <v>17</v>
      </c>
      <c r="L13" s="26" t="s">
        <v>5</v>
      </c>
      <c r="M13" s="26" t="s">
        <v>8</v>
      </c>
      <c r="N13" s="26" t="s">
        <v>8</v>
      </c>
      <c r="O13" s="63" t="s">
        <v>17</v>
      </c>
      <c r="P13" s="26" t="s">
        <v>18</v>
      </c>
      <c r="Q13" s="26" t="s">
        <v>8</v>
      </c>
      <c r="R13" s="26" t="s">
        <v>22</v>
      </c>
      <c r="S13" s="63" t="s">
        <v>17</v>
      </c>
      <c r="T13" s="63" t="s">
        <v>17</v>
      </c>
      <c r="U13" s="26" t="s">
        <v>8</v>
      </c>
      <c r="V13" s="26" t="s">
        <v>22</v>
      </c>
      <c r="W13" s="63" t="s">
        <v>17</v>
      </c>
      <c r="X13" s="63" t="s">
        <v>17</v>
      </c>
      <c r="Y13" s="26" t="s">
        <v>8</v>
      </c>
      <c r="Z13" s="26" t="s">
        <v>8</v>
      </c>
      <c r="AA13" s="63" t="s">
        <v>17</v>
      </c>
      <c r="AB13" s="63" t="s">
        <v>17</v>
      </c>
      <c r="AC13" s="26" t="s">
        <v>8</v>
      </c>
      <c r="AD13" s="26" t="s">
        <v>8</v>
      </c>
      <c r="AE13" s="63" t="s">
        <v>17</v>
      </c>
      <c r="AF13" s="26" t="s">
        <v>5</v>
      </c>
      <c r="AG13" s="26" t="s">
        <v>5</v>
      </c>
      <c r="AH13" s="26" t="s">
        <v>8</v>
      </c>
      <c r="AI13" s="26" t="s">
        <v>8</v>
      </c>
      <c r="AJ13" s="26" t="s">
        <v>8</v>
      </c>
      <c r="AK13" s="26" t="s">
        <v>5</v>
      </c>
      <c r="AL13" s="26" t="s">
        <v>5</v>
      </c>
      <c r="AM13" s="26" t="s">
        <v>5</v>
      </c>
      <c r="AN13" s="26" t="s">
        <v>5</v>
      </c>
      <c r="AO13" s="26" t="s">
        <v>8</v>
      </c>
      <c r="AP13" s="26" t="s">
        <v>22</v>
      </c>
      <c r="AQ13" s="63" t="s">
        <v>17</v>
      </c>
      <c r="AR13" s="63" t="s">
        <v>17</v>
      </c>
      <c r="AS13" s="26" t="s">
        <v>18</v>
      </c>
      <c r="AT13" s="26" t="s">
        <v>18</v>
      </c>
      <c r="AU13" s="63" t="s">
        <v>17</v>
      </c>
      <c r="AV13" s="63" t="s">
        <v>17</v>
      </c>
      <c r="AW13" s="26" t="s">
        <v>18</v>
      </c>
      <c r="AX13" s="26" t="s">
        <v>8</v>
      </c>
      <c r="AY13" s="63" t="s">
        <v>17</v>
      </c>
      <c r="AZ13" s="26" t="s">
        <v>18</v>
      </c>
      <c r="BA13" s="26" t="s">
        <v>8</v>
      </c>
      <c r="BB13" s="26" t="s">
        <v>5</v>
      </c>
      <c r="BC13" s="26" t="s">
        <v>8</v>
      </c>
      <c r="BD13" s="26" t="s">
        <v>18</v>
      </c>
      <c r="BE13" s="30">
        <v>2.5</v>
      </c>
      <c r="BF13" s="1">
        <f t="shared" si="0"/>
        <v>0</v>
      </c>
      <c r="BG13" s="1">
        <f t="shared" si="1"/>
        <v>9</v>
      </c>
      <c r="BH13" s="1">
        <f t="shared" si="2"/>
        <v>16</v>
      </c>
      <c r="BI13" s="1">
        <f t="shared" si="3"/>
        <v>0</v>
      </c>
      <c r="BJ13" s="1">
        <f t="shared" si="4"/>
        <v>0</v>
      </c>
      <c r="BK13" s="1">
        <f t="shared" si="5"/>
        <v>0</v>
      </c>
      <c r="BL13" s="1">
        <f t="shared" si="6"/>
        <v>0</v>
      </c>
      <c r="BN13" s="1">
        <f t="shared" si="7"/>
        <v>16</v>
      </c>
      <c r="BO13" s="1">
        <f t="shared" si="8"/>
        <v>6</v>
      </c>
      <c r="BP13" s="1">
        <f t="shared" si="9"/>
        <v>3</v>
      </c>
      <c r="BQ13" s="1">
        <f t="shared" si="10"/>
        <v>0</v>
      </c>
      <c r="BR13" s="1">
        <f t="shared" si="11"/>
        <v>0</v>
      </c>
    </row>
    <row r="14" spans="1:70" x14ac:dyDescent="0.3">
      <c r="A14" s="56">
        <v>175</v>
      </c>
      <c r="B14" s="56">
        <v>4</v>
      </c>
      <c r="C14" s="24">
        <v>44736.208333333336</v>
      </c>
      <c r="D14" s="33">
        <f t="shared" si="15"/>
        <v>0.25</v>
      </c>
      <c r="E14" s="64">
        <f t="shared" si="14"/>
        <v>2.75</v>
      </c>
      <c r="F14" s="61">
        <f t="shared" si="12"/>
        <v>2.75</v>
      </c>
      <c r="G14" s="63" t="s">
        <v>17</v>
      </c>
      <c r="H14" s="63" t="s">
        <v>17</v>
      </c>
      <c r="I14" s="26" t="s">
        <v>5</v>
      </c>
      <c r="J14" s="26" t="s">
        <v>8</v>
      </c>
      <c r="K14" s="63" t="s">
        <v>17</v>
      </c>
      <c r="L14" s="26" t="s">
        <v>5</v>
      </c>
      <c r="M14" s="26" t="s">
        <v>8</v>
      </c>
      <c r="N14" s="26" t="s">
        <v>8</v>
      </c>
      <c r="O14" s="63" t="s">
        <v>17</v>
      </c>
      <c r="P14" s="26" t="s">
        <v>18</v>
      </c>
      <c r="Q14" s="26" t="s">
        <v>8</v>
      </c>
      <c r="R14" s="26" t="s">
        <v>22</v>
      </c>
      <c r="S14" s="63" t="s">
        <v>17</v>
      </c>
      <c r="T14" s="63" t="s">
        <v>17</v>
      </c>
      <c r="U14" s="26" t="s">
        <v>8</v>
      </c>
      <c r="V14" s="26" t="s">
        <v>22</v>
      </c>
      <c r="W14" s="63" t="s">
        <v>17</v>
      </c>
      <c r="X14" s="63" t="s">
        <v>17</v>
      </c>
      <c r="Y14" s="26" t="s">
        <v>8</v>
      </c>
      <c r="Z14" s="26" t="s">
        <v>8</v>
      </c>
      <c r="AA14" s="63" t="s">
        <v>17</v>
      </c>
      <c r="AB14" s="63" t="s">
        <v>17</v>
      </c>
      <c r="AC14" s="26" t="s">
        <v>8</v>
      </c>
      <c r="AD14" s="26" t="s">
        <v>8</v>
      </c>
      <c r="AE14" s="63" t="s">
        <v>17</v>
      </c>
      <c r="AF14" s="26" t="s">
        <v>5</v>
      </c>
      <c r="AG14" s="26" t="s">
        <v>5</v>
      </c>
      <c r="AH14" s="26" t="s">
        <v>8</v>
      </c>
      <c r="AI14" s="26" t="s">
        <v>8</v>
      </c>
      <c r="AJ14" s="26" t="s">
        <v>8</v>
      </c>
      <c r="AK14" s="26" t="s">
        <v>5</v>
      </c>
      <c r="AL14" s="26" t="s">
        <v>5</v>
      </c>
      <c r="AM14" s="26" t="s">
        <v>5</v>
      </c>
      <c r="AN14" s="26" t="s">
        <v>5</v>
      </c>
      <c r="AO14" s="26" t="s">
        <v>8</v>
      </c>
      <c r="AP14" s="26" t="s">
        <v>22</v>
      </c>
      <c r="AQ14" s="63" t="s">
        <v>17</v>
      </c>
      <c r="AR14" s="63" t="s">
        <v>17</v>
      </c>
      <c r="AS14" s="26" t="s">
        <v>18</v>
      </c>
      <c r="AT14" s="26" t="s">
        <v>18</v>
      </c>
      <c r="AU14" s="63" t="s">
        <v>17</v>
      </c>
      <c r="AV14" s="63" t="s">
        <v>17</v>
      </c>
      <c r="AW14" s="26" t="s">
        <v>18</v>
      </c>
      <c r="AX14" s="26" t="s">
        <v>8</v>
      </c>
      <c r="AY14" s="63" t="s">
        <v>17</v>
      </c>
      <c r="AZ14" s="26" t="s">
        <v>18</v>
      </c>
      <c r="BA14" s="26" t="s">
        <v>8</v>
      </c>
      <c r="BB14" s="26" t="s">
        <v>5</v>
      </c>
      <c r="BC14" s="26" t="s">
        <v>8</v>
      </c>
      <c r="BD14" s="26" t="s">
        <v>18</v>
      </c>
      <c r="BE14" s="30">
        <v>2.75</v>
      </c>
      <c r="BF14" s="1">
        <f t="shared" si="0"/>
        <v>0</v>
      </c>
      <c r="BG14" s="1">
        <f t="shared" si="1"/>
        <v>9</v>
      </c>
      <c r="BH14" s="1">
        <f t="shared" si="2"/>
        <v>16</v>
      </c>
      <c r="BI14" s="1">
        <f t="shared" si="3"/>
        <v>0</v>
      </c>
      <c r="BJ14" s="1">
        <f t="shared" si="4"/>
        <v>0</v>
      </c>
      <c r="BK14" s="1">
        <f t="shared" si="5"/>
        <v>0</v>
      </c>
      <c r="BL14" s="1">
        <f t="shared" si="6"/>
        <v>0</v>
      </c>
      <c r="BN14" s="1">
        <f t="shared" si="7"/>
        <v>16</v>
      </c>
      <c r="BO14" s="1">
        <f t="shared" si="8"/>
        <v>6</v>
      </c>
      <c r="BP14" s="1">
        <f t="shared" si="9"/>
        <v>3</v>
      </c>
      <c r="BQ14" s="1">
        <f t="shared" si="10"/>
        <v>0</v>
      </c>
      <c r="BR14" s="1">
        <f t="shared" si="11"/>
        <v>0</v>
      </c>
    </row>
    <row r="15" spans="1:70" x14ac:dyDescent="0.3">
      <c r="A15" s="56">
        <v>175</v>
      </c>
      <c r="B15" s="56">
        <v>4</v>
      </c>
      <c r="C15" s="24">
        <v>44736.458333333336</v>
      </c>
      <c r="D15" s="33">
        <f t="shared" si="15"/>
        <v>0.25</v>
      </c>
      <c r="E15" s="64">
        <f t="shared" si="14"/>
        <v>3</v>
      </c>
      <c r="F15" s="61">
        <f t="shared" si="12"/>
        <v>3</v>
      </c>
      <c r="G15" s="63" t="s">
        <v>17</v>
      </c>
      <c r="H15" s="63" t="s">
        <v>17</v>
      </c>
      <c r="I15" s="26" t="s">
        <v>18</v>
      </c>
      <c r="J15" s="26" t="s">
        <v>22</v>
      </c>
      <c r="K15" s="63" t="s">
        <v>17</v>
      </c>
      <c r="L15" s="26" t="s">
        <v>5</v>
      </c>
      <c r="M15" s="26" t="s">
        <v>8</v>
      </c>
      <c r="N15" s="26" t="s">
        <v>10</v>
      </c>
      <c r="O15" s="63" t="s">
        <v>17</v>
      </c>
      <c r="P15" s="26" t="s">
        <v>18</v>
      </c>
      <c r="Q15" s="26" t="s">
        <v>8</v>
      </c>
      <c r="R15" s="26" t="s">
        <v>22</v>
      </c>
      <c r="S15" s="63" t="s">
        <v>17</v>
      </c>
      <c r="T15" s="63" t="s">
        <v>17</v>
      </c>
      <c r="U15" s="26" t="s">
        <v>8</v>
      </c>
      <c r="V15" s="26" t="s">
        <v>22</v>
      </c>
      <c r="W15" s="63" t="s">
        <v>17</v>
      </c>
      <c r="X15" s="63" t="s">
        <v>17</v>
      </c>
      <c r="Y15" s="26" t="s">
        <v>8</v>
      </c>
      <c r="Z15" s="26" t="s">
        <v>10</v>
      </c>
      <c r="AA15" s="63" t="s">
        <v>17</v>
      </c>
      <c r="AB15" s="63" t="s">
        <v>17</v>
      </c>
      <c r="AC15" s="26" t="s">
        <v>8</v>
      </c>
      <c r="AD15" s="26" t="s">
        <v>10</v>
      </c>
      <c r="AE15" s="63" t="s">
        <v>17</v>
      </c>
      <c r="AF15" s="26" t="s">
        <v>18</v>
      </c>
      <c r="AG15" s="26" t="s">
        <v>18</v>
      </c>
      <c r="AH15" s="26" t="s">
        <v>10</v>
      </c>
      <c r="AI15" s="26" t="s">
        <v>8</v>
      </c>
      <c r="AJ15" s="26" t="s">
        <v>22</v>
      </c>
      <c r="AK15" s="26" t="s">
        <v>18</v>
      </c>
      <c r="AL15" s="26" t="s">
        <v>18</v>
      </c>
      <c r="AM15" s="26" t="s">
        <v>5</v>
      </c>
      <c r="AN15" s="26" t="s">
        <v>5</v>
      </c>
      <c r="AO15" s="26" t="s">
        <v>10</v>
      </c>
      <c r="AP15" s="26" t="s">
        <v>22</v>
      </c>
      <c r="AQ15" s="63" t="s">
        <v>17</v>
      </c>
      <c r="AR15" s="63" t="s">
        <v>17</v>
      </c>
      <c r="AS15" s="26" t="s">
        <v>18</v>
      </c>
      <c r="AT15" s="26" t="s">
        <v>18</v>
      </c>
      <c r="AU15" s="63" t="s">
        <v>17</v>
      </c>
      <c r="AV15" s="63" t="s">
        <v>17</v>
      </c>
      <c r="AW15" s="26" t="s">
        <v>18</v>
      </c>
      <c r="AX15" s="26" t="s">
        <v>8</v>
      </c>
      <c r="AY15" s="63" t="s">
        <v>17</v>
      </c>
      <c r="AZ15" s="26" t="s">
        <v>18</v>
      </c>
      <c r="BA15" s="26" t="s">
        <v>8</v>
      </c>
      <c r="BB15" s="26" t="s">
        <v>5</v>
      </c>
      <c r="BC15" s="26" t="s">
        <v>8</v>
      </c>
      <c r="BD15" s="26" t="s">
        <v>18</v>
      </c>
      <c r="BE15" s="30">
        <v>3</v>
      </c>
      <c r="BF15" s="1">
        <f t="shared" si="0"/>
        <v>0</v>
      </c>
      <c r="BG15" s="1">
        <f t="shared" si="1"/>
        <v>4</v>
      </c>
      <c r="BH15" s="1">
        <f t="shared" si="2"/>
        <v>9</v>
      </c>
      <c r="BI15" s="1">
        <f t="shared" si="3"/>
        <v>5</v>
      </c>
      <c r="BJ15" s="1">
        <f t="shared" si="4"/>
        <v>0</v>
      </c>
      <c r="BK15" s="1">
        <f t="shared" si="5"/>
        <v>0</v>
      </c>
      <c r="BL15" s="1">
        <f t="shared" si="6"/>
        <v>0</v>
      </c>
      <c r="BN15" s="1">
        <f t="shared" si="7"/>
        <v>16</v>
      </c>
      <c r="BO15" s="1">
        <f t="shared" si="8"/>
        <v>11</v>
      </c>
      <c r="BP15" s="1">
        <f t="shared" si="9"/>
        <v>5</v>
      </c>
      <c r="BQ15" s="1">
        <f t="shared" si="10"/>
        <v>0</v>
      </c>
      <c r="BR15" s="1">
        <f t="shared" si="11"/>
        <v>0</v>
      </c>
    </row>
    <row r="16" spans="1:70" x14ac:dyDescent="0.3">
      <c r="A16" s="56">
        <v>175</v>
      </c>
      <c r="B16" s="56">
        <v>4</v>
      </c>
      <c r="C16" s="24">
        <v>44736.708333333336</v>
      </c>
      <c r="D16" s="33">
        <f t="shared" si="15"/>
        <v>0.25</v>
      </c>
      <c r="E16" s="64">
        <f t="shared" si="14"/>
        <v>3.25</v>
      </c>
      <c r="F16" s="61">
        <f t="shared" si="12"/>
        <v>3.25</v>
      </c>
      <c r="G16" s="63" t="s">
        <v>17</v>
      </c>
      <c r="H16" s="63" t="s">
        <v>17</v>
      </c>
      <c r="I16" s="26" t="s">
        <v>18</v>
      </c>
      <c r="J16" s="26" t="s">
        <v>22</v>
      </c>
      <c r="K16" s="63" t="s">
        <v>17</v>
      </c>
      <c r="L16" s="26" t="s">
        <v>18</v>
      </c>
      <c r="M16" s="26" t="s">
        <v>22</v>
      </c>
      <c r="N16" s="26" t="s">
        <v>10</v>
      </c>
      <c r="O16" s="63" t="s">
        <v>17</v>
      </c>
      <c r="P16" s="26" t="s">
        <v>18</v>
      </c>
      <c r="Q16" s="26" t="s">
        <v>10</v>
      </c>
      <c r="R16" s="26" t="s">
        <v>22</v>
      </c>
      <c r="S16" s="63" t="s">
        <v>17</v>
      </c>
      <c r="T16" s="63" t="s">
        <v>17</v>
      </c>
      <c r="U16" s="26" t="s">
        <v>8</v>
      </c>
      <c r="V16" s="26" t="s">
        <v>22</v>
      </c>
      <c r="W16" s="63" t="s">
        <v>17</v>
      </c>
      <c r="X16" s="63" t="s">
        <v>17</v>
      </c>
      <c r="Y16" s="26" t="s">
        <v>22</v>
      </c>
      <c r="Z16" s="26" t="s">
        <v>10</v>
      </c>
      <c r="AA16" s="63" t="s">
        <v>17</v>
      </c>
      <c r="AB16" s="63" t="s">
        <v>17</v>
      </c>
      <c r="AC16" s="26" t="s">
        <v>8</v>
      </c>
      <c r="AD16" s="26" t="s">
        <v>10</v>
      </c>
      <c r="AE16" s="63" t="s">
        <v>17</v>
      </c>
      <c r="AF16" s="26" t="s">
        <v>18</v>
      </c>
      <c r="AG16" s="26" t="s">
        <v>18</v>
      </c>
      <c r="AH16" s="26" t="s">
        <v>10</v>
      </c>
      <c r="AI16" s="26" t="s">
        <v>8</v>
      </c>
      <c r="AJ16" s="26" t="s">
        <v>22</v>
      </c>
      <c r="AK16" s="26" t="s">
        <v>18</v>
      </c>
      <c r="AL16" s="26" t="s">
        <v>18</v>
      </c>
      <c r="AM16" s="26" t="s">
        <v>5</v>
      </c>
      <c r="AN16" s="26" t="s">
        <v>5</v>
      </c>
      <c r="AO16" s="26" t="s">
        <v>10</v>
      </c>
      <c r="AP16" s="26" t="s">
        <v>22</v>
      </c>
      <c r="AQ16" s="63" t="s">
        <v>17</v>
      </c>
      <c r="AR16" s="63" t="s">
        <v>17</v>
      </c>
      <c r="AS16" s="26" t="s">
        <v>18</v>
      </c>
      <c r="AT16" s="26" t="s">
        <v>18</v>
      </c>
      <c r="AU16" s="63" t="s">
        <v>17</v>
      </c>
      <c r="AV16" s="63" t="s">
        <v>17</v>
      </c>
      <c r="AW16" s="26" t="s">
        <v>18</v>
      </c>
      <c r="AX16" s="26" t="s">
        <v>22</v>
      </c>
      <c r="AY16" s="63" t="s">
        <v>17</v>
      </c>
      <c r="AZ16" s="26" t="s">
        <v>18</v>
      </c>
      <c r="BA16" s="26" t="s">
        <v>8</v>
      </c>
      <c r="BB16" s="26" t="s">
        <v>5</v>
      </c>
      <c r="BC16" s="26" t="s">
        <v>8</v>
      </c>
      <c r="BD16" s="26" t="s">
        <v>18</v>
      </c>
      <c r="BE16" s="30">
        <v>3.25</v>
      </c>
      <c r="BF16" s="1">
        <f t="shared" si="0"/>
        <v>0</v>
      </c>
      <c r="BG16" s="1">
        <f t="shared" si="1"/>
        <v>3</v>
      </c>
      <c r="BH16" s="1">
        <f t="shared" si="2"/>
        <v>5</v>
      </c>
      <c r="BI16" s="1">
        <f t="shared" si="3"/>
        <v>6</v>
      </c>
      <c r="BJ16" s="1">
        <f t="shared" si="4"/>
        <v>0</v>
      </c>
      <c r="BK16" s="1">
        <f t="shared" si="5"/>
        <v>0</v>
      </c>
      <c r="BL16" s="1">
        <f t="shared" si="6"/>
        <v>0</v>
      </c>
      <c r="BN16" s="1">
        <f t="shared" si="7"/>
        <v>16</v>
      </c>
      <c r="BO16" s="1">
        <f t="shared" si="8"/>
        <v>12</v>
      </c>
      <c r="BP16" s="1">
        <f t="shared" si="9"/>
        <v>8</v>
      </c>
      <c r="BQ16" s="1">
        <f t="shared" si="10"/>
        <v>0</v>
      </c>
      <c r="BR16" s="1">
        <f t="shared" si="11"/>
        <v>0</v>
      </c>
    </row>
    <row r="17" spans="1:70" x14ac:dyDescent="0.3">
      <c r="A17" s="56">
        <v>175</v>
      </c>
      <c r="B17" s="56">
        <v>4</v>
      </c>
      <c r="C17" s="24">
        <v>44736.958333333336</v>
      </c>
      <c r="D17" s="33">
        <f t="shared" si="15"/>
        <v>0.25</v>
      </c>
      <c r="E17" s="64">
        <f t="shared" si="14"/>
        <v>3.5</v>
      </c>
      <c r="F17" s="61">
        <f t="shared" si="12"/>
        <v>3.5</v>
      </c>
      <c r="G17" s="63" t="s">
        <v>17</v>
      </c>
      <c r="H17" s="63" t="s">
        <v>17</v>
      </c>
      <c r="I17" s="26" t="s">
        <v>18</v>
      </c>
      <c r="J17" s="26" t="s">
        <v>22</v>
      </c>
      <c r="K17" s="63" t="s">
        <v>17</v>
      </c>
      <c r="L17" s="26" t="s">
        <v>18</v>
      </c>
      <c r="M17" s="26" t="s">
        <v>22</v>
      </c>
      <c r="N17" s="26" t="s">
        <v>28</v>
      </c>
      <c r="O17" s="63" t="s">
        <v>17</v>
      </c>
      <c r="P17" s="26" t="s">
        <v>18</v>
      </c>
      <c r="Q17" s="26" t="s">
        <v>10</v>
      </c>
      <c r="R17" s="26" t="s">
        <v>22</v>
      </c>
      <c r="S17" s="63" t="s">
        <v>17</v>
      </c>
      <c r="T17" s="63" t="s">
        <v>17</v>
      </c>
      <c r="U17" s="26" t="s">
        <v>8</v>
      </c>
      <c r="V17" s="26" t="s">
        <v>22</v>
      </c>
      <c r="W17" s="63" t="s">
        <v>17</v>
      </c>
      <c r="X17" s="63" t="s">
        <v>17</v>
      </c>
      <c r="Y17" s="26" t="s">
        <v>22</v>
      </c>
      <c r="Z17" s="26" t="s">
        <v>10</v>
      </c>
      <c r="AA17" s="63" t="s">
        <v>17</v>
      </c>
      <c r="AB17" s="63" t="s">
        <v>17</v>
      </c>
      <c r="AC17" s="26" t="s">
        <v>10</v>
      </c>
      <c r="AD17" s="26" t="s">
        <v>10</v>
      </c>
      <c r="AE17" s="63" t="s">
        <v>17</v>
      </c>
      <c r="AF17" s="26" t="s">
        <v>18</v>
      </c>
      <c r="AG17" s="26" t="s">
        <v>18</v>
      </c>
      <c r="AH17" s="26" t="s">
        <v>10</v>
      </c>
      <c r="AI17" s="26" t="s">
        <v>10</v>
      </c>
      <c r="AJ17" s="26" t="s">
        <v>22</v>
      </c>
      <c r="AK17" s="26" t="s">
        <v>18</v>
      </c>
      <c r="AL17" s="26" t="s">
        <v>18</v>
      </c>
      <c r="AM17" s="26" t="s">
        <v>5</v>
      </c>
      <c r="AN17" s="26" t="s">
        <v>18</v>
      </c>
      <c r="AO17" s="26" t="s">
        <v>10</v>
      </c>
      <c r="AP17" s="26" t="s">
        <v>22</v>
      </c>
      <c r="AQ17" s="63" t="s">
        <v>17</v>
      </c>
      <c r="AR17" s="63" t="s">
        <v>17</v>
      </c>
      <c r="AS17" s="26" t="s">
        <v>18</v>
      </c>
      <c r="AT17" s="26" t="s">
        <v>18</v>
      </c>
      <c r="AU17" s="63" t="s">
        <v>17</v>
      </c>
      <c r="AV17" s="63" t="s">
        <v>17</v>
      </c>
      <c r="AW17" s="26" t="s">
        <v>18</v>
      </c>
      <c r="AX17" s="26" t="s">
        <v>22</v>
      </c>
      <c r="AY17" s="63" t="s">
        <v>17</v>
      </c>
      <c r="AZ17" s="26" t="s">
        <v>18</v>
      </c>
      <c r="BA17" s="26" t="s">
        <v>22</v>
      </c>
      <c r="BB17" s="26" t="s">
        <v>5</v>
      </c>
      <c r="BC17" s="26" t="s">
        <v>22</v>
      </c>
      <c r="BD17" s="26" t="s">
        <v>18</v>
      </c>
      <c r="BE17" s="30">
        <v>3.5</v>
      </c>
      <c r="BF17" s="1">
        <f t="shared" si="0"/>
        <v>0</v>
      </c>
      <c r="BG17" s="1">
        <f t="shared" si="1"/>
        <v>2</v>
      </c>
      <c r="BH17" s="1">
        <f t="shared" si="2"/>
        <v>1</v>
      </c>
      <c r="BI17" s="1">
        <f t="shared" si="3"/>
        <v>7</v>
      </c>
      <c r="BJ17" s="1">
        <f t="shared" si="4"/>
        <v>0</v>
      </c>
      <c r="BK17" s="1">
        <f t="shared" si="5"/>
        <v>0</v>
      </c>
      <c r="BL17" s="1">
        <f t="shared" si="6"/>
        <v>0</v>
      </c>
      <c r="BN17" s="1">
        <f t="shared" si="7"/>
        <v>16</v>
      </c>
      <c r="BO17" s="1">
        <f t="shared" si="8"/>
        <v>13</v>
      </c>
      <c r="BP17" s="1">
        <f t="shared" si="9"/>
        <v>10</v>
      </c>
      <c r="BQ17" s="1">
        <f t="shared" si="10"/>
        <v>1</v>
      </c>
      <c r="BR17" s="1">
        <f t="shared" si="11"/>
        <v>0</v>
      </c>
    </row>
    <row r="18" spans="1:70" x14ac:dyDescent="0.3">
      <c r="A18" s="56">
        <v>176</v>
      </c>
      <c r="B18" s="56">
        <v>5</v>
      </c>
      <c r="C18" s="24">
        <v>44737.208333333336</v>
      </c>
      <c r="D18" s="33">
        <f t="shared" si="15"/>
        <v>0.25</v>
      </c>
      <c r="E18" s="64">
        <f t="shared" si="14"/>
        <v>3.75</v>
      </c>
      <c r="F18" s="61">
        <f t="shared" si="12"/>
        <v>3.75</v>
      </c>
      <c r="G18" s="26" t="s">
        <v>17</v>
      </c>
      <c r="H18" s="26" t="s">
        <v>17</v>
      </c>
      <c r="I18" s="26" t="s">
        <v>18</v>
      </c>
      <c r="J18" s="26" t="s">
        <v>22</v>
      </c>
      <c r="K18" s="63" t="s">
        <v>17</v>
      </c>
      <c r="L18" s="26" t="s">
        <v>18</v>
      </c>
      <c r="M18" s="26" t="s">
        <v>22</v>
      </c>
      <c r="N18" s="26" t="s">
        <v>28</v>
      </c>
      <c r="O18" s="63" t="s">
        <v>17</v>
      </c>
      <c r="P18" s="26" t="s">
        <v>18</v>
      </c>
      <c r="Q18" s="26" t="s">
        <v>10</v>
      </c>
      <c r="R18" s="26" t="s">
        <v>22</v>
      </c>
      <c r="S18" s="63" t="s">
        <v>17</v>
      </c>
      <c r="T18" s="63" t="s">
        <v>17</v>
      </c>
      <c r="U18" s="26" t="s">
        <v>8</v>
      </c>
      <c r="V18" s="26" t="s">
        <v>22</v>
      </c>
      <c r="W18" s="63" t="s">
        <v>17</v>
      </c>
      <c r="X18" s="63" t="s">
        <v>17</v>
      </c>
      <c r="Y18" s="26" t="s">
        <v>22</v>
      </c>
      <c r="Z18" s="26" t="s">
        <v>10</v>
      </c>
      <c r="AA18" s="63" t="s">
        <v>17</v>
      </c>
      <c r="AB18" s="63" t="s">
        <v>17</v>
      </c>
      <c r="AC18" s="26" t="s">
        <v>10</v>
      </c>
      <c r="AD18" s="26" t="s">
        <v>10</v>
      </c>
      <c r="AE18" s="63" t="s">
        <v>17</v>
      </c>
      <c r="AF18" s="26" t="s">
        <v>18</v>
      </c>
      <c r="AG18" s="26" t="s">
        <v>18</v>
      </c>
      <c r="AH18" s="26" t="s">
        <v>10</v>
      </c>
      <c r="AI18" s="26" t="s">
        <v>10</v>
      </c>
      <c r="AJ18" s="26" t="s">
        <v>22</v>
      </c>
      <c r="AK18" s="26" t="s">
        <v>18</v>
      </c>
      <c r="AL18" s="26" t="s">
        <v>18</v>
      </c>
      <c r="AM18" s="26" t="s">
        <v>5</v>
      </c>
      <c r="AN18" s="26" t="s">
        <v>18</v>
      </c>
      <c r="AO18" s="26" t="s">
        <v>10</v>
      </c>
      <c r="AP18" s="26" t="s">
        <v>22</v>
      </c>
      <c r="AQ18" s="63" t="s">
        <v>17</v>
      </c>
      <c r="AR18" s="63" t="s">
        <v>17</v>
      </c>
      <c r="AS18" s="26" t="s">
        <v>18</v>
      </c>
      <c r="AT18" s="26" t="s">
        <v>18</v>
      </c>
      <c r="AU18" s="63" t="s">
        <v>17</v>
      </c>
      <c r="AV18" s="63" t="s">
        <v>17</v>
      </c>
      <c r="AW18" s="26" t="s">
        <v>18</v>
      </c>
      <c r="AX18" s="26" t="s">
        <v>22</v>
      </c>
      <c r="AY18" s="63" t="s">
        <v>17</v>
      </c>
      <c r="AZ18" s="26" t="s">
        <v>18</v>
      </c>
      <c r="BA18" s="26" t="s">
        <v>22</v>
      </c>
      <c r="BB18" s="26" t="s">
        <v>5</v>
      </c>
      <c r="BC18" s="26" t="s">
        <v>22</v>
      </c>
      <c r="BD18" s="26" t="s">
        <v>18</v>
      </c>
      <c r="BE18" s="30">
        <v>3.75</v>
      </c>
      <c r="BF18" s="1">
        <f t="shared" si="0"/>
        <v>0</v>
      </c>
      <c r="BG18" s="1">
        <f t="shared" si="1"/>
        <v>2</v>
      </c>
      <c r="BH18" s="1">
        <f t="shared" si="2"/>
        <v>1</v>
      </c>
      <c r="BI18" s="1">
        <f t="shared" si="3"/>
        <v>7</v>
      </c>
      <c r="BJ18" s="1">
        <f t="shared" si="4"/>
        <v>0</v>
      </c>
      <c r="BK18" s="1">
        <f t="shared" si="5"/>
        <v>0</v>
      </c>
      <c r="BL18" s="1">
        <f t="shared" si="6"/>
        <v>0</v>
      </c>
      <c r="BN18" s="1">
        <f t="shared" si="7"/>
        <v>16</v>
      </c>
      <c r="BO18" s="1">
        <f t="shared" si="8"/>
        <v>13</v>
      </c>
      <c r="BP18" s="1">
        <f t="shared" si="9"/>
        <v>10</v>
      </c>
      <c r="BQ18" s="1">
        <f t="shared" si="10"/>
        <v>1</v>
      </c>
      <c r="BR18" s="1">
        <f t="shared" si="11"/>
        <v>0</v>
      </c>
    </row>
    <row r="19" spans="1:70" x14ac:dyDescent="0.3">
      <c r="A19" s="56">
        <v>176</v>
      </c>
      <c r="B19" s="56">
        <v>5</v>
      </c>
      <c r="C19" s="24">
        <v>44737.458333333336</v>
      </c>
      <c r="D19" s="33">
        <f t="shared" si="15"/>
        <v>0.25</v>
      </c>
      <c r="E19" s="64">
        <f t="shared" si="14"/>
        <v>4</v>
      </c>
      <c r="F19" s="61">
        <f t="shared" si="12"/>
        <v>4</v>
      </c>
      <c r="G19" s="26" t="s">
        <v>17</v>
      </c>
      <c r="H19" s="26" t="s">
        <v>17</v>
      </c>
      <c r="I19" s="26" t="s">
        <v>18</v>
      </c>
      <c r="J19" s="26" t="s">
        <v>22</v>
      </c>
      <c r="K19" s="63" t="s">
        <v>17</v>
      </c>
      <c r="L19" s="26" t="s">
        <v>18</v>
      </c>
      <c r="M19" s="26" t="s">
        <v>22</v>
      </c>
      <c r="N19" s="26" t="s">
        <v>28</v>
      </c>
      <c r="O19" s="63" t="s">
        <v>17</v>
      </c>
      <c r="P19" s="26" t="s">
        <v>18</v>
      </c>
      <c r="Q19" s="26" t="s">
        <v>28</v>
      </c>
      <c r="R19" s="26" t="s">
        <v>22</v>
      </c>
      <c r="S19" s="63" t="s">
        <v>17</v>
      </c>
      <c r="T19" s="63" t="s">
        <v>17</v>
      </c>
      <c r="U19" s="26" t="s">
        <v>22</v>
      </c>
      <c r="V19" s="26" t="s">
        <v>22</v>
      </c>
      <c r="W19" s="63" t="s">
        <v>17</v>
      </c>
      <c r="X19" s="63" t="s">
        <v>17</v>
      </c>
      <c r="Y19" s="26" t="s">
        <v>22</v>
      </c>
      <c r="Z19" s="26" t="s">
        <v>10</v>
      </c>
      <c r="AA19" s="63" t="s">
        <v>17</v>
      </c>
      <c r="AB19" s="63" t="s">
        <v>17</v>
      </c>
      <c r="AC19" s="26" t="s">
        <v>10</v>
      </c>
      <c r="AD19" s="26" t="s">
        <v>10</v>
      </c>
      <c r="AE19" s="63" t="s">
        <v>17</v>
      </c>
      <c r="AF19" s="26" t="s">
        <v>18</v>
      </c>
      <c r="AG19" s="26" t="s">
        <v>18</v>
      </c>
      <c r="AH19" s="26" t="s">
        <v>10</v>
      </c>
      <c r="AI19" s="26" t="s">
        <v>10</v>
      </c>
      <c r="AJ19" s="26" t="s">
        <v>22</v>
      </c>
      <c r="AK19" s="26" t="s">
        <v>18</v>
      </c>
      <c r="AL19" s="26" t="s">
        <v>18</v>
      </c>
      <c r="AM19" s="26" t="s">
        <v>18</v>
      </c>
      <c r="AN19" s="26" t="s">
        <v>18</v>
      </c>
      <c r="AO19" s="26" t="s">
        <v>10</v>
      </c>
      <c r="AP19" s="26" t="s">
        <v>22</v>
      </c>
      <c r="AQ19" s="63" t="s">
        <v>17</v>
      </c>
      <c r="AR19" s="63" t="s">
        <v>17</v>
      </c>
      <c r="AS19" s="26" t="s">
        <v>18</v>
      </c>
      <c r="AT19" s="26" t="s">
        <v>18</v>
      </c>
      <c r="AU19" s="63" t="s">
        <v>17</v>
      </c>
      <c r="AV19" s="63" t="s">
        <v>17</v>
      </c>
      <c r="AW19" s="26" t="s">
        <v>18</v>
      </c>
      <c r="AX19" s="26" t="s">
        <v>22</v>
      </c>
      <c r="AY19" s="63" t="s">
        <v>17</v>
      </c>
      <c r="AZ19" s="26" t="s">
        <v>18</v>
      </c>
      <c r="BA19" s="26" t="s">
        <v>22</v>
      </c>
      <c r="BB19" s="26" t="s">
        <v>18</v>
      </c>
      <c r="BC19" s="26" t="s">
        <v>22</v>
      </c>
      <c r="BD19" s="26" t="s">
        <v>18</v>
      </c>
      <c r="BE19" s="30">
        <v>4</v>
      </c>
      <c r="BF19" s="1">
        <f t="shared" si="0"/>
        <v>0</v>
      </c>
      <c r="BG19" s="1">
        <f t="shared" si="1"/>
        <v>0</v>
      </c>
      <c r="BH19" s="1">
        <f t="shared" si="2"/>
        <v>0</v>
      </c>
      <c r="BI19" s="1">
        <f t="shared" si="3"/>
        <v>6</v>
      </c>
      <c r="BJ19" s="1">
        <f t="shared" si="4"/>
        <v>0</v>
      </c>
      <c r="BK19" s="1">
        <f t="shared" si="5"/>
        <v>0</v>
      </c>
      <c r="BL19" s="1">
        <f t="shared" si="6"/>
        <v>0</v>
      </c>
      <c r="BN19" s="1">
        <f t="shared" si="7"/>
        <v>16</v>
      </c>
      <c r="BO19" s="1">
        <f t="shared" si="8"/>
        <v>15</v>
      </c>
      <c r="BP19" s="1">
        <f t="shared" si="9"/>
        <v>11</v>
      </c>
      <c r="BQ19" s="1">
        <f t="shared" si="10"/>
        <v>2</v>
      </c>
      <c r="BR19" s="1">
        <f t="shared" si="11"/>
        <v>0</v>
      </c>
    </row>
    <row r="20" spans="1:70" x14ac:dyDescent="0.3">
      <c r="A20" s="56">
        <v>176</v>
      </c>
      <c r="B20" s="56">
        <v>5</v>
      </c>
      <c r="C20" s="24">
        <v>44737.708333333336</v>
      </c>
      <c r="D20" s="33">
        <f t="shared" si="15"/>
        <v>0.25</v>
      </c>
      <c r="E20" s="64">
        <f t="shared" si="14"/>
        <v>4.25</v>
      </c>
      <c r="F20" s="61">
        <f t="shared" si="12"/>
        <v>4.25</v>
      </c>
      <c r="G20" s="26" t="s">
        <v>17</v>
      </c>
      <c r="H20" s="26" t="s">
        <v>17</v>
      </c>
      <c r="I20" s="26" t="s">
        <v>18</v>
      </c>
      <c r="J20" s="26" t="s">
        <v>22</v>
      </c>
      <c r="K20" s="26" t="s">
        <v>17</v>
      </c>
      <c r="L20" s="26" t="s">
        <v>18</v>
      </c>
      <c r="M20" s="26" t="s">
        <v>22</v>
      </c>
      <c r="N20" s="26" t="s">
        <v>28</v>
      </c>
      <c r="O20" s="26" t="s">
        <v>17</v>
      </c>
      <c r="P20" s="26" t="s">
        <v>18</v>
      </c>
      <c r="Q20" s="26" t="s">
        <v>28</v>
      </c>
      <c r="R20" s="26" t="s">
        <v>22</v>
      </c>
      <c r="S20" s="63" t="s">
        <v>17</v>
      </c>
      <c r="T20" s="63" t="s">
        <v>17</v>
      </c>
      <c r="U20" s="26" t="s">
        <v>22</v>
      </c>
      <c r="V20" s="26" t="s">
        <v>22</v>
      </c>
      <c r="W20" s="26" t="s">
        <v>17</v>
      </c>
      <c r="X20" s="26" t="s">
        <v>17</v>
      </c>
      <c r="Y20" s="26" t="s">
        <v>22</v>
      </c>
      <c r="Z20" s="26" t="s">
        <v>10</v>
      </c>
      <c r="AA20" s="26" t="s">
        <v>17</v>
      </c>
      <c r="AB20" s="26" t="s">
        <v>17</v>
      </c>
      <c r="AC20" s="26" t="s">
        <v>10</v>
      </c>
      <c r="AD20" s="26" t="s">
        <v>10</v>
      </c>
      <c r="AE20" s="63" t="s">
        <v>17</v>
      </c>
      <c r="AF20" s="26" t="s">
        <v>18</v>
      </c>
      <c r="AG20" s="26" t="s">
        <v>18</v>
      </c>
      <c r="AH20" s="26" t="s">
        <v>10</v>
      </c>
      <c r="AI20" s="26" t="s">
        <v>10</v>
      </c>
      <c r="AJ20" s="26" t="s">
        <v>22</v>
      </c>
      <c r="AK20" s="26" t="s">
        <v>18</v>
      </c>
      <c r="AL20" s="26" t="s">
        <v>18</v>
      </c>
      <c r="AM20" s="26" t="s">
        <v>18</v>
      </c>
      <c r="AN20" s="26" t="s">
        <v>18</v>
      </c>
      <c r="AO20" s="26" t="s">
        <v>28</v>
      </c>
      <c r="AP20" s="26" t="s">
        <v>22</v>
      </c>
      <c r="AQ20" s="26" t="s">
        <v>17</v>
      </c>
      <c r="AR20" s="26" t="s">
        <v>17</v>
      </c>
      <c r="AS20" s="26" t="s">
        <v>18</v>
      </c>
      <c r="AT20" s="26" t="s">
        <v>18</v>
      </c>
      <c r="AU20" s="26" t="s">
        <v>17</v>
      </c>
      <c r="AV20" s="26" t="s">
        <v>17</v>
      </c>
      <c r="AW20" s="26" t="s">
        <v>18</v>
      </c>
      <c r="AX20" s="26" t="s">
        <v>22</v>
      </c>
      <c r="AY20" s="26" t="s">
        <v>17</v>
      </c>
      <c r="AZ20" s="26" t="s">
        <v>18</v>
      </c>
      <c r="BA20" s="26" t="s">
        <v>22</v>
      </c>
      <c r="BB20" s="26" t="s">
        <v>18</v>
      </c>
      <c r="BC20" s="26" t="s">
        <v>22</v>
      </c>
      <c r="BD20" s="26" t="s">
        <v>18</v>
      </c>
      <c r="BE20" s="30">
        <v>4.25</v>
      </c>
      <c r="BF20" s="1">
        <f t="shared" si="0"/>
        <v>0</v>
      </c>
      <c r="BG20" s="1">
        <f t="shared" si="1"/>
        <v>0</v>
      </c>
      <c r="BH20" s="1">
        <f t="shared" si="2"/>
        <v>0</v>
      </c>
      <c r="BI20" s="1">
        <f t="shared" si="3"/>
        <v>5</v>
      </c>
      <c r="BJ20" s="1">
        <f t="shared" si="4"/>
        <v>0</v>
      </c>
      <c r="BK20" s="1">
        <f t="shared" si="5"/>
        <v>0</v>
      </c>
      <c r="BL20" s="1">
        <f t="shared" si="6"/>
        <v>0</v>
      </c>
      <c r="BN20" s="1">
        <f t="shared" si="7"/>
        <v>16</v>
      </c>
      <c r="BO20" s="1">
        <f t="shared" si="8"/>
        <v>15</v>
      </c>
      <c r="BP20" s="1">
        <f t="shared" si="9"/>
        <v>11</v>
      </c>
      <c r="BQ20" s="1">
        <f t="shared" si="10"/>
        <v>3</v>
      </c>
      <c r="BR20" s="1">
        <f t="shared" si="11"/>
        <v>0</v>
      </c>
    </row>
    <row r="21" spans="1:70" x14ac:dyDescent="0.3">
      <c r="A21" s="56">
        <v>176</v>
      </c>
      <c r="B21" s="56">
        <v>5</v>
      </c>
      <c r="C21" s="24">
        <v>44737.958333333336</v>
      </c>
      <c r="D21" s="33">
        <f t="shared" si="15"/>
        <v>0.25</v>
      </c>
      <c r="E21" s="64">
        <f t="shared" si="14"/>
        <v>4.5</v>
      </c>
      <c r="F21" s="61">
        <f t="shared" si="12"/>
        <v>4.5</v>
      </c>
      <c r="G21" s="26" t="s">
        <v>17</v>
      </c>
      <c r="H21" s="26" t="s">
        <v>17</v>
      </c>
      <c r="I21" s="26" t="s">
        <v>18</v>
      </c>
      <c r="J21" s="26" t="s">
        <v>22</v>
      </c>
      <c r="K21" s="26" t="s">
        <v>17</v>
      </c>
      <c r="L21" s="26" t="s">
        <v>18</v>
      </c>
      <c r="M21" s="26" t="s">
        <v>22</v>
      </c>
      <c r="N21" s="26" t="s">
        <v>28</v>
      </c>
      <c r="O21" s="26" t="s">
        <v>17</v>
      </c>
      <c r="P21" s="26" t="s">
        <v>18</v>
      </c>
      <c r="Q21" s="26" t="s">
        <v>28</v>
      </c>
      <c r="R21" s="26" t="s">
        <v>22</v>
      </c>
      <c r="S21" s="63" t="s">
        <v>17</v>
      </c>
      <c r="T21" s="63" t="s">
        <v>17</v>
      </c>
      <c r="U21" s="26" t="s">
        <v>22</v>
      </c>
      <c r="V21" s="26" t="s">
        <v>22</v>
      </c>
      <c r="W21" s="26" t="s">
        <v>17</v>
      </c>
      <c r="X21" s="26" t="s">
        <v>17</v>
      </c>
      <c r="Y21" s="26" t="s">
        <v>22</v>
      </c>
      <c r="Z21" s="26" t="s">
        <v>10</v>
      </c>
      <c r="AA21" s="26" t="s">
        <v>17</v>
      </c>
      <c r="AB21" s="26" t="s">
        <v>17</v>
      </c>
      <c r="AC21" s="26" t="s">
        <v>10</v>
      </c>
      <c r="AD21" s="26" t="s">
        <v>10</v>
      </c>
      <c r="AE21" s="63" t="s">
        <v>17</v>
      </c>
      <c r="AF21" s="26" t="s">
        <v>18</v>
      </c>
      <c r="AG21" s="26" t="s">
        <v>18</v>
      </c>
      <c r="AH21" s="26" t="s">
        <v>10</v>
      </c>
      <c r="AI21" s="26" t="s">
        <v>10</v>
      </c>
      <c r="AJ21" s="26" t="s">
        <v>22</v>
      </c>
      <c r="AK21" s="26" t="s">
        <v>18</v>
      </c>
      <c r="AL21" s="26" t="s">
        <v>18</v>
      </c>
      <c r="AM21" s="26" t="s">
        <v>18</v>
      </c>
      <c r="AN21" s="26" t="s">
        <v>18</v>
      </c>
      <c r="AO21" s="26" t="s">
        <v>28</v>
      </c>
      <c r="AP21" s="26" t="s">
        <v>22</v>
      </c>
      <c r="AQ21" s="26" t="s">
        <v>17</v>
      </c>
      <c r="AR21" s="26" t="s">
        <v>17</v>
      </c>
      <c r="AS21" s="26" t="s">
        <v>18</v>
      </c>
      <c r="AT21" s="26" t="s">
        <v>18</v>
      </c>
      <c r="AU21" s="26" t="s">
        <v>17</v>
      </c>
      <c r="AV21" s="26" t="s">
        <v>17</v>
      </c>
      <c r="AW21" s="26" t="s">
        <v>18</v>
      </c>
      <c r="AX21" s="26" t="s">
        <v>22</v>
      </c>
      <c r="AY21" s="26" t="s">
        <v>17</v>
      </c>
      <c r="AZ21" s="26" t="s">
        <v>18</v>
      </c>
      <c r="BA21" s="26" t="s">
        <v>22</v>
      </c>
      <c r="BB21" s="26" t="s">
        <v>18</v>
      </c>
      <c r="BC21" s="26" t="s">
        <v>22</v>
      </c>
      <c r="BD21" s="26" t="s">
        <v>18</v>
      </c>
      <c r="BE21" s="30">
        <v>4.5</v>
      </c>
      <c r="BF21" s="1">
        <f t="shared" si="0"/>
        <v>0</v>
      </c>
      <c r="BG21" s="1">
        <f t="shared" si="1"/>
        <v>0</v>
      </c>
      <c r="BH21" s="1">
        <f t="shared" si="2"/>
        <v>0</v>
      </c>
      <c r="BI21" s="1">
        <f t="shared" si="3"/>
        <v>5</v>
      </c>
      <c r="BJ21" s="1">
        <f t="shared" si="4"/>
        <v>0</v>
      </c>
      <c r="BK21" s="1">
        <f t="shared" si="5"/>
        <v>0</v>
      </c>
      <c r="BL21" s="1">
        <f t="shared" si="6"/>
        <v>0</v>
      </c>
      <c r="BN21" s="1">
        <f t="shared" si="7"/>
        <v>16</v>
      </c>
      <c r="BO21" s="1">
        <f t="shared" si="8"/>
        <v>15</v>
      </c>
      <c r="BP21" s="1">
        <f t="shared" si="9"/>
        <v>11</v>
      </c>
      <c r="BQ21" s="1">
        <f t="shared" si="10"/>
        <v>3</v>
      </c>
      <c r="BR21" s="1">
        <f t="shared" si="11"/>
        <v>0</v>
      </c>
    </row>
    <row r="22" spans="1:70" x14ac:dyDescent="0.3">
      <c r="A22" s="56">
        <v>177</v>
      </c>
      <c r="B22" s="56">
        <v>6</v>
      </c>
      <c r="C22" s="24">
        <v>44738.208333333336</v>
      </c>
      <c r="D22" s="33">
        <f t="shared" si="15"/>
        <v>0.25</v>
      </c>
      <c r="E22" s="64">
        <f t="shared" si="14"/>
        <v>4.75</v>
      </c>
      <c r="F22" s="61">
        <f t="shared" si="12"/>
        <v>4.75</v>
      </c>
      <c r="G22" s="26" t="s">
        <v>17</v>
      </c>
      <c r="H22" s="26" t="s">
        <v>17</v>
      </c>
      <c r="I22" s="26" t="s">
        <v>18</v>
      </c>
      <c r="J22" s="26" t="s">
        <v>22</v>
      </c>
      <c r="K22" s="26" t="s">
        <v>17</v>
      </c>
      <c r="L22" s="26" t="s">
        <v>18</v>
      </c>
      <c r="M22" s="26" t="s">
        <v>22</v>
      </c>
      <c r="N22" s="26" t="s">
        <v>28</v>
      </c>
      <c r="O22" s="26" t="s">
        <v>17</v>
      </c>
      <c r="P22" s="26" t="s">
        <v>18</v>
      </c>
      <c r="Q22" s="26" t="s">
        <v>28</v>
      </c>
      <c r="R22" s="26" t="s">
        <v>22</v>
      </c>
      <c r="S22" s="63" t="s">
        <v>17</v>
      </c>
      <c r="T22" s="63" t="s">
        <v>17</v>
      </c>
      <c r="U22" s="26" t="s">
        <v>22</v>
      </c>
      <c r="V22" s="26" t="s">
        <v>22</v>
      </c>
      <c r="W22" s="26" t="s">
        <v>17</v>
      </c>
      <c r="X22" s="26" t="s">
        <v>17</v>
      </c>
      <c r="Y22" s="26" t="s">
        <v>22</v>
      </c>
      <c r="Z22" s="26" t="s">
        <v>10</v>
      </c>
      <c r="AA22" s="26" t="s">
        <v>17</v>
      </c>
      <c r="AB22" s="26" t="s">
        <v>17</v>
      </c>
      <c r="AC22" s="26" t="s">
        <v>10</v>
      </c>
      <c r="AD22" s="26" t="s">
        <v>10</v>
      </c>
      <c r="AE22" s="63" t="s">
        <v>17</v>
      </c>
      <c r="AF22" s="26" t="s">
        <v>18</v>
      </c>
      <c r="AG22" s="26" t="s">
        <v>18</v>
      </c>
      <c r="AH22" s="26" t="s">
        <v>10</v>
      </c>
      <c r="AI22" s="26" t="s">
        <v>10</v>
      </c>
      <c r="AJ22" s="26" t="s">
        <v>22</v>
      </c>
      <c r="AK22" s="26" t="s">
        <v>18</v>
      </c>
      <c r="AL22" s="26" t="s">
        <v>18</v>
      </c>
      <c r="AM22" s="26" t="s">
        <v>18</v>
      </c>
      <c r="AN22" s="26" t="s">
        <v>18</v>
      </c>
      <c r="AO22" s="26" t="s">
        <v>28</v>
      </c>
      <c r="AP22" s="26" t="s">
        <v>22</v>
      </c>
      <c r="AQ22" s="26" t="s">
        <v>17</v>
      </c>
      <c r="AR22" s="26" t="s">
        <v>17</v>
      </c>
      <c r="AS22" s="26" t="s">
        <v>18</v>
      </c>
      <c r="AT22" s="26" t="s">
        <v>18</v>
      </c>
      <c r="AU22" s="26" t="s">
        <v>17</v>
      </c>
      <c r="AV22" s="26" t="s">
        <v>17</v>
      </c>
      <c r="AW22" s="26" t="s">
        <v>18</v>
      </c>
      <c r="AX22" s="26" t="s">
        <v>22</v>
      </c>
      <c r="AY22" s="26" t="s">
        <v>17</v>
      </c>
      <c r="AZ22" s="26" t="s">
        <v>18</v>
      </c>
      <c r="BA22" s="26" t="s">
        <v>22</v>
      </c>
      <c r="BB22" s="26" t="s">
        <v>18</v>
      </c>
      <c r="BC22" s="26" t="s">
        <v>22</v>
      </c>
      <c r="BD22" s="26" t="s">
        <v>18</v>
      </c>
      <c r="BE22" s="30">
        <v>4.75</v>
      </c>
      <c r="BF22" s="1">
        <f t="shared" si="0"/>
        <v>0</v>
      </c>
      <c r="BG22" s="1">
        <f t="shared" si="1"/>
        <v>0</v>
      </c>
      <c r="BH22" s="1">
        <f t="shared" si="2"/>
        <v>0</v>
      </c>
      <c r="BI22" s="1">
        <f t="shared" si="3"/>
        <v>5</v>
      </c>
      <c r="BJ22" s="1">
        <f t="shared" si="4"/>
        <v>0</v>
      </c>
      <c r="BK22" s="1">
        <f t="shared" si="5"/>
        <v>0</v>
      </c>
      <c r="BL22" s="1">
        <f t="shared" si="6"/>
        <v>0</v>
      </c>
      <c r="BN22" s="1">
        <f t="shared" si="7"/>
        <v>16</v>
      </c>
      <c r="BO22" s="1">
        <f t="shared" si="8"/>
        <v>15</v>
      </c>
      <c r="BP22" s="1">
        <f t="shared" si="9"/>
        <v>11</v>
      </c>
      <c r="BQ22" s="1">
        <f t="shared" si="10"/>
        <v>3</v>
      </c>
      <c r="BR22" s="1">
        <f t="shared" si="11"/>
        <v>0</v>
      </c>
    </row>
    <row r="23" spans="1:70" x14ac:dyDescent="0.3">
      <c r="A23" s="56">
        <v>177</v>
      </c>
      <c r="B23" s="56">
        <v>6</v>
      </c>
      <c r="C23" s="24">
        <v>44738.458333333336</v>
      </c>
      <c r="D23" s="33">
        <f t="shared" si="15"/>
        <v>0.25</v>
      </c>
      <c r="E23" s="64">
        <f t="shared" si="14"/>
        <v>5</v>
      </c>
      <c r="F23" s="61">
        <f t="shared" si="12"/>
        <v>5</v>
      </c>
      <c r="G23" s="26" t="s">
        <v>17</v>
      </c>
      <c r="H23" s="26" t="s">
        <v>17</v>
      </c>
      <c r="I23" s="26" t="s">
        <v>18</v>
      </c>
      <c r="J23" s="26" t="s">
        <v>22</v>
      </c>
      <c r="K23" s="26" t="s">
        <v>17</v>
      </c>
      <c r="L23" s="26" t="s">
        <v>18</v>
      </c>
      <c r="M23" s="26" t="s">
        <v>22</v>
      </c>
      <c r="N23" s="26" t="s">
        <v>28</v>
      </c>
      <c r="O23" s="26" t="s">
        <v>17</v>
      </c>
      <c r="P23" s="26" t="s">
        <v>18</v>
      </c>
      <c r="Q23" s="26" t="s">
        <v>28</v>
      </c>
      <c r="R23" s="26" t="s">
        <v>22</v>
      </c>
      <c r="S23" s="63" t="s">
        <v>17</v>
      </c>
      <c r="T23" s="63" t="s">
        <v>17</v>
      </c>
      <c r="U23" s="26" t="s">
        <v>22</v>
      </c>
      <c r="V23" s="26" t="s">
        <v>22</v>
      </c>
      <c r="W23" s="26" t="s">
        <v>17</v>
      </c>
      <c r="X23" s="26" t="s">
        <v>17</v>
      </c>
      <c r="Y23" s="26" t="s">
        <v>22</v>
      </c>
      <c r="Z23" s="26" t="s">
        <v>10</v>
      </c>
      <c r="AA23" s="26" t="s">
        <v>17</v>
      </c>
      <c r="AB23" s="26" t="s">
        <v>17</v>
      </c>
      <c r="AC23" s="26" t="s">
        <v>10</v>
      </c>
      <c r="AD23" s="26" t="s">
        <v>28</v>
      </c>
      <c r="AE23" s="63" t="s">
        <v>17</v>
      </c>
      <c r="AF23" s="26" t="s">
        <v>18</v>
      </c>
      <c r="AG23" s="26" t="s">
        <v>18</v>
      </c>
      <c r="AH23" s="26" t="s">
        <v>10</v>
      </c>
      <c r="AI23" s="26" t="s">
        <v>10</v>
      </c>
      <c r="AJ23" s="26" t="s">
        <v>22</v>
      </c>
      <c r="AK23" s="26" t="s">
        <v>18</v>
      </c>
      <c r="AL23" s="26" t="s">
        <v>18</v>
      </c>
      <c r="AM23" s="26" t="s">
        <v>18</v>
      </c>
      <c r="AN23" s="26" t="s">
        <v>18</v>
      </c>
      <c r="AO23" s="26" t="s">
        <v>28</v>
      </c>
      <c r="AP23" s="26" t="s">
        <v>22</v>
      </c>
      <c r="AQ23" s="26" t="s">
        <v>17</v>
      </c>
      <c r="AR23" s="26" t="s">
        <v>17</v>
      </c>
      <c r="AS23" s="26" t="s">
        <v>18</v>
      </c>
      <c r="AT23" s="26" t="s">
        <v>18</v>
      </c>
      <c r="AU23" s="26" t="s">
        <v>17</v>
      </c>
      <c r="AV23" s="26" t="s">
        <v>17</v>
      </c>
      <c r="AW23" s="26" t="s">
        <v>18</v>
      </c>
      <c r="AX23" s="26" t="s">
        <v>22</v>
      </c>
      <c r="AY23" s="26" t="s">
        <v>17</v>
      </c>
      <c r="AZ23" s="26" t="s">
        <v>18</v>
      </c>
      <c r="BA23" s="26" t="s">
        <v>22</v>
      </c>
      <c r="BB23" s="26" t="s">
        <v>18</v>
      </c>
      <c r="BC23" s="26" t="s">
        <v>22</v>
      </c>
      <c r="BD23" s="26" t="s">
        <v>18</v>
      </c>
      <c r="BE23" s="30">
        <v>5</v>
      </c>
      <c r="BF23" s="1">
        <f t="shared" si="0"/>
        <v>0</v>
      </c>
      <c r="BG23" s="1">
        <f t="shared" si="1"/>
        <v>0</v>
      </c>
      <c r="BH23" s="1">
        <f t="shared" si="2"/>
        <v>0</v>
      </c>
      <c r="BI23" s="1">
        <f t="shared" si="3"/>
        <v>4</v>
      </c>
      <c r="BJ23" s="1">
        <f t="shared" si="4"/>
        <v>0</v>
      </c>
      <c r="BK23" s="1">
        <f t="shared" si="5"/>
        <v>0</v>
      </c>
      <c r="BL23" s="1">
        <f t="shared" si="6"/>
        <v>0</v>
      </c>
      <c r="BN23" s="1">
        <f t="shared" si="7"/>
        <v>16</v>
      </c>
      <c r="BO23" s="1">
        <f t="shared" si="8"/>
        <v>15</v>
      </c>
      <c r="BP23" s="1">
        <f t="shared" si="9"/>
        <v>11</v>
      </c>
      <c r="BQ23" s="1">
        <f t="shared" si="10"/>
        <v>4</v>
      </c>
      <c r="BR23" s="1">
        <f t="shared" si="11"/>
        <v>0</v>
      </c>
    </row>
    <row r="24" spans="1:70" x14ac:dyDescent="0.3">
      <c r="A24" s="56">
        <v>177</v>
      </c>
      <c r="B24" s="56">
        <v>6</v>
      </c>
      <c r="C24" s="24">
        <v>44738.708333333336</v>
      </c>
      <c r="D24" s="33">
        <f t="shared" si="15"/>
        <v>0.25</v>
      </c>
      <c r="E24" s="64">
        <f t="shared" si="14"/>
        <v>5.25</v>
      </c>
      <c r="F24" s="61">
        <f t="shared" si="12"/>
        <v>5.25</v>
      </c>
      <c r="G24" s="26" t="s">
        <v>17</v>
      </c>
      <c r="H24" s="26" t="s">
        <v>17</v>
      </c>
      <c r="I24" s="26" t="s">
        <v>18</v>
      </c>
      <c r="J24" s="26" t="s">
        <v>22</v>
      </c>
      <c r="K24" s="26" t="s">
        <v>17</v>
      </c>
      <c r="L24" s="26" t="s">
        <v>18</v>
      </c>
      <c r="M24" s="26" t="s">
        <v>22</v>
      </c>
      <c r="N24" s="26" t="s">
        <v>28</v>
      </c>
      <c r="O24" s="26" t="s">
        <v>17</v>
      </c>
      <c r="P24" s="26" t="s">
        <v>18</v>
      </c>
      <c r="Q24" s="26" t="s">
        <v>28</v>
      </c>
      <c r="R24" s="26" t="s">
        <v>22</v>
      </c>
      <c r="S24" s="26" t="s">
        <v>17</v>
      </c>
      <c r="T24" s="26" t="s">
        <v>17</v>
      </c>
      <c r="U24" s="26" t="s">
        <v>22</v>
      </c>
      <c r="V24" s="26" t="s">
        <v>22</v>
      </c>
      <c r="W24" s="26" t="s">
        <v>17</v>
      </c>
      <c r="X24" s="26" t="s">
        <v>17</v>
      </c>
      <c r="Y24" s="26" t="s">
        <v>22</v>
      </c>
      <c r="Z24" s="26" t="s">
        <v>11</v>
      </c>
      <c r="AA24" s="26" t="s">
        <v>17</v>
      </c>
      <c r="AB24" s="26" t="s">
        <v>17</v>
      </c>
      <c r="AC24" s="26" t="s">
        <v>10</v>
      </c>
      <c r="AD24" s="26" t="s">
        <v>28</v>
      </c>
      <c r="AE24" s="63" t="s">
        <v>17</v>
      </c>
      <c r="AF24" s="26" t="s">
        <v>18</v>
      </c>
      <c r="AG24" s="26" t="s">
        <v>18</v>
      </c>
      <c r="AH24" s="26" t="s">
        <v>10</v>
      </c>
      <c r="AI24" s="26" t="s">
        <v>10</v>
      </c>
      <c r="AJ24" s="26" t="s">
        <v>22</v>
      </c>
      <c r="AK24" s="26" t="s">
        <v>18</v>
      </c>
      <c r="AL24" s="26" t="s">
        <v>18</v>
      </c>
      <c r="AM24" s="26" t="s">
        <v>18</v>
      </c>
      <c r="AN24" s="26" t="s">
        <v>18</v>
      </c>
      <c r="AO24" s="26" t="s">
        <v>28</v>
      </c>
      <c r="AP24" s="26" t="s">
        <v>22</v>
      </c>
      <c r="AQ24" s="26" t="s">
        <v>17</v>
      </c>
      <c r="AR24" s="26" t="s">
        <v>17</v>
      </c>
      <c r="AS24" s="26" t="s">
        <v>18</v>
      </c>
      <c r="AT24" s="26" t="s">
        <v>18</v>
      </c>
      <c r="AU24" s="26" t="s">
        <v>17</v>
      </c>
      <c r="AV24" s="26" t="s">
        <v>17</v>
      </c>
      <c r="AW24" s="26" t="s">
        <v>18</v>
      </c>
      <c r="AX24" s="26" t="s">
        <v>22</v>
      </c>
      <c r="AY24" s="26" t="s">
        <v>17</v>
      </c>
      <c r="AZ24" s="26" t="s">
        <v>18</v>
      </c>
      <c r="BA24" s="26" t="s">
        <v>22</v>
      </c>
      <c r="BB24" s="26" t="s">
        <v>18</v>
      </c>
      <c r="BC24" s="26" t="s">
        <v>22</v>
      </c>
      <c r="BD24" s="26" t="s">
        <v>18</v>
      </c>
      <c r="BE24" s="30">
        <v>5.25</v>
      </c>
      <c r="BF24" s="1">
        <f t="shared" si="0"/>
        <v>0</v>
      </c>
      <c r="BG24" s="1">
        <f t="shared" si="1"/>
        <v>0</v>
      </c>
      <c r="BH24" s="1">
        <f t="shared" si="2"/>
        <v>0</v>
      </c>
      <c r="BI24" s="1">
        <f t="shared" si="3"/>
        <v>3</v>
      </c>
      <c r="BJ24" s="1">
        <f>COUNTIF($G24:$BD24, "P")</f>
        <v>1</v>
      </c>
      <c r="BK24" s="1">
        <f t="shared" si="5"/>
        <v>0</v>
      </c>
      <c r="BL24" s="1">
        <f t="shared" si="6"/>
        <v>0</v>
      </c>
      <c r="BN24" s="1">
        <f t="shared" si="7"/>
        <v>16</v>
      </c>
      <c r="BO24" s="1">
        <f t="shared" si="8"/>
        <v>15</v>
      </c>
      <c r="BP24" s="1">
        <f t="shared" si="9"/>
        <v>11</v>
      </c>
      <c r="BQ24" s="1">
        <f t="shared" si="10"/>
        <v>4</v>
      </c>
      <c r="BR24" s="1">
        <f t="shared" si="11"/>
        <v>0</v>
      </c>
    </row>
    <row r="25" spans="1:70" x14ac:dyDescent="0.3">
      <c r="A25" s="56">
        <v>177</v>
      </c>
      <c r="B25" s="56">
        <v>6</v>
      </c>
      <c r="C25" s="24">
        <v>44738.958333333336</v>
      </c>
      <c r="D25" s="33">
        <f t="shared" si="15"/>
        <v>0.25</v>
      </c>
      <c r="E25" s="64">
        <f t="shared" si="14"/>
        <v>5.5</v>
      </c>
      <c r="F25" s="61">
        <f t="shared" si="12"/>
        <v>5.5</v>
      </c>
      <c r="G25" s="26" t="s">
        <v>17</v>
      </c>
      <c r="H25" s="26" t="s">
        <v>17</v>
      </c>
      <c r="I25" s="26" t="s">
        <v>18</v>
      </c>
      <c r="J25" s="26" t="s">
        <v>22</v>
      </c>
      <c r="K25" s="26" t="s">
        <v>17</v>
      </c>
      <c r="L25" s="26" t="s">
        <v>18</v>
      </c>
      <c r="M25" s="26" t="s">
        <v>22</v>
      </c>
      <c r="N25" s="26" t="s">
        <v>28</v>
      </c>
      <c r="O25" s="26" t="s">
        <v>17</v>
      </c>
      <c r="P25" s="26" t="s">
        <v>18</v>
      </c>
      <c r="Q25" s="26" t="s">
        <v>28</v>
      </c>
      <c r="R25" s="26" t="s">
        <v>22</v>
      </c>
      <c r="S25" s="26" t="s">
        <v>17</v>
      </c>
      <c r="T25" s="26" t="s">
        <v>17</v>
      </c>
      <c r="U25" s="26" t="s">
        <v>22</v>
      </c>
      <c r="V25" s="26" t="s">
        <v>22</v>
      </c>
      <c r="W25" s="26" t="s">
        <v>17</v>
      </c>
      <c r="X25" s="26" t="s">
        <v>17</v>
      </c>
      <c r="Y25" s="26" t="s">
        <v>22</v>
      </c>
      <c r="Z25" s="26" t="s">
        <v>11</v>
      </c>
      <c r="AA25" s="26" t="s">
        <v>17</v>
      </c>
      <c r="AB25" s="26" t="s">
        <v>17</v>
      </c>
      <c r="AC25" s="26" t="s">
        <v>10</v>
      </c>
      <c r="AD25" s="26" t="s">
        <v>28</v>
      </c>
      <c r="AE25" s="63" t="s">
        <v>17</v>
      </c>
      <c r="AF25" s="26" t="s">
        <v>18</v>
      </c>
      <c r="AG25" s="26" t="s">
        <v>18</v>
      </c>
      <c r="AH25" s="26" t="s">
        <v>28</v>
      </c>
      <c r="AI25" s="26" t="s">
        <v>28</v>
      </c>
      <c r="AJ25" s="26" t="s">
        <v>22</v>
      </c>
      <c r="AK25" s="26" t="s">
        <v>18</v>
      </c>
      <c r="AL25" s="26" t="s">
        <v>18</v>
      </c>
      <c r="AM25" s="26" t="s">
        <v>18</v>
      </c>
      <c r="AN25" s="26" t="s">
        <v>18</v>
      </c>
      <c r="AO25" s="26" t="s">
        <v>28</v>
      </c>
      <c r="AP25" s="26" t="s">
        <v>22</v>
      </c>
      <c r="AQ25" s="26" t="s">
        <v>17</v>
      </c>
      <c r="AR25" s="26" t="s">
        <v>17</v>
      </c>
      <c r="AS25" s="26" t="s">
        <v>18</v>
      </c>
      <c r="AT25" s="26" t="s">
        <v>18</v>
      </c>
      <c r="AU25" s="26" t="s">
        <v>17</v>
      </c>
      <c r="AV25" s="26" t="s">
        <v>17</v>
      </c>
      <c r="AW25" s="26" t="s">
        <v>18</v>
      </c>
      <c r="AX25" s="26" t="s">
        <v>22</v>
      </c>
      <c r="AY25" s="26" t="s">
        <v>17</v>
      </c>
      <c r="AZ25" s="26" t="s">
        <v>18</v>
      </c>
      <c r="BA25" s="26" t="s">
        <v>22</v>
      </c>
      <c r="BB25" s="26" t="s">
        <v>18</v>
      </c>
      <c r="BC25" s="26" t="s">
        <v>22</v>
      </c>
      <c r="BD25" s="26" t="s">
        <v>18</v>
      </c>
      <c r="BE25" s="30">
        <v>5.5</v>
      </c>
      <c r="BF25" s="1">
        <f t="shared" si="0"/>
        <v>0</v>
      </c>
      <c r="BG25" s="1">
        <f t="shared" si="1"/>
        <v>0</v>
      </c>
      <c r="BH25" s="1">
        <f t="shared" si="2"/>
        <v>0</v>
      </c>
      <c r="BI25" s="1">
        <f t="shared" si="3"/>
        <v>1</v>
      </c>
      <c r="BJ25" s="1">
        <f t="shared" si="4"/>
        <v>1</v>
      </c>
      <c r="BK25" s="1">
        <f t="shared" si="5"/>
        <v>0</v>
      </c>
      <c r="BL25" s="1">
        <f t="shared" si="6"/>
        <v>0</v>
      </c>
      <c r="BN25" s="1">
        <f t="shared" si="7"/>
        <v>16</v>
      </c>
      <c r="BO25" s="1">
        <f t="shared" si="8"/>
        <v>15</v>
      </c>
      <c r="BP25" s="1">
        <f t="shared" si="9"/>
        <v>11</v>
      </c>
      <c r="BQ25" s="1">
        <f t="shared" si="10"/>
        <v>6</v>
      </c>
      <c r="BR25" s="1">
        <f t="shared" si="11"/>
        <v>0</v>
      </c>
    </row>
    <row r="26" spans="1:70" x14ac:dyDescent="0.3">
      <c r="A26" s="56">
        <v>178</v>
      </c>
      <c r="B26" s="56">
        <v>7</v>
      </c>
      <c r="C26" s="24">
        <v>44739.208333333336</v>
      </c>
      <c r="D26" s="33">
        <f t="shared" si="15"/>
        <v>0.25</v>
      </c>
      <c r="E26" s="64">
        <f t="shared" si="14"/>
        <v>5.75</v>
      </c>
      <c r="F26" s="61">
        <f t="shared" si="12"/>
        <v>5.75</v>
      </c>
      <c r="G26" s="26" t="s">
        <v>17</v>
      </c>
      <c r="H26" s="26" t="s">
        <v>17</v>
      </c>
      <c r="I26" s="26" t="s">
        <v>18</v>
      </c>
      <c r="J26" s="26" t="s">
        <v>22</v>
      </c>
      <c r="K26" s="26" t="s">
        <v>17</v>
      </c>
      <c r="L26" s="26" t="s">
        <v>18</v>
      </c>
      <c r="M26" s="26" t="s">
        <v>22</v>
      </c>
      <c r="N26" s="26" t="s">
        <v>28</v>
      </c>
      <c r="O26" s="26" t="s">
        <v>17</v>
      </c>
      <c r="P26" s="26" t="s">
        <v>18</v>
      </c>
      <c r="Q26" s="26" t="s">
        <v>28</v>
      </c>
      <c r="R26" s="26" t="s">
        <v>22</v>
      </c>
      <c r="S26" s="26" t="s">
        <v>17</v>
      </c>
      <c r="T26" s="26" t="s">
        <v>17</v>
      </c>
      <c r="U26" s="26" t="s">
        <v>22</v>
      </c>
      <c r="V26" s="26" t="s">
        <v>22</v>
      </c>
      <c r="W26" s="26" t="s">
        <v>17</v>
      </c>
      <c r="X26" s="26" t="s">
        <v>17</v>
      </c>
      <c r="Y26" s="26" t="s">
        <v>22</v>
      </c>
      <c r="Z26" s="26" t="s">
        <v>11</v>
      </c>
      <c r="AA26" s="26" t="s">
        <v>17</v>
      </c>
      <c r="AB26" s="26" t="s">
        <v>17</v>
      </c>
      <c r="AC26" s="26" t="s">
        <v>10</v>
      </c>
      <c r="AD26" s="26" t="s">
        <v>28</v>
      </c>
      <c r="AE26" s="63" t="s">
        <v>17</v>
      </c>
      <c r="AF26" s="26" t="s">
        <v>18</v>
      </c>
      <c r="AG26" s="26" t="s">
        <v>18</v>
      </c>
      <c r="AH26" s="26" t="s">
        <v>28</v>
      </c>
      <c r="AI26" s="26" t="s">
        <v>28</v>
      </c>
      <c r="AJ26" s="26" t="s">
        <v>22</v>
      </c>
      <c r="AK26" s="26" t="s">
        <v>18</v>
      </c>
      <c r="AL26" s="26" t="s">
        <v>18</v>
      </c>
      <c r="AM26" s="26" t="s">
        <v>18</v>
      </c>
      <c r="AN26" s="26" t="s">
        <v>18</v>
      </c>
      <c r="AO26" s="26" t="s">
        <v>28</v>
      </c>
      <c r="AP26" s="26" t="s">
        <v>22</v>
      </c>
      <c r="AQ26" s="26" t="s">
        <v>17</v>
      </c>
      <c r="AR26" s="26" t="s">
        <v>17</v>
      </c>
      <c r="AS26" s="26" t="s">
        <v>18</v>
      </c>
      <c r="AT26" s="26" t="s">
        <v>18</v>
      </c>
      <c r="AU26" s="26" t="s">
        <v>17</v>
      </c>
      <c r="AV26" s="26" t="s">
        <v>17</v>
      </c>
      <c r="AW26" s="26" t="s">
        <v>18</v>
      </c>
      <c r="AX26" s="26" t="s">
        <v>22</v>
      </c>
      <c r="AY26" s="26" t="s">
        <v>17</v>
      </c>
      <c r="AZ26" s="26" t="s">
        <v>18</v>
      </c>
      <c r="BA26" s="26" t="s">
        <v>22</v>
      </c>
      <c r="BB26" s="26" t="s">
        <v>18</v>
      </c>
      <c r="BC26" s="26" t="s">
        <v>22</v>
      </c>
      <c r="BD26" s="26" t="s">
        <v>18</v>
      </c>
      <c r="BE26" s="30">
        <v>5.75</v>
      </c>
      <c r="BF26" s="1">
        <f t="shared" si="0"/>
        <v>0</v>
      </c>
      <c r="BG26" s="1">
        <f t="shared" si="1"/>
        <v>0</v>
      </c>
      <c r="BH26" s="1">
        <f t="shared" si="2"/>
        <v>0</v>
      </c>
      <c r="BI26" s="1">
        <f t="shared" si="3"/>
        <v>1</v>
      </c>
      <c r="BJ26" s="1">
        <f t="shared" si="4"/>
        <v>1</v>
      </c>
      <c r="BK26" s="1">
        <f t="shared" si="5"/>
        <v>0</v>
      </c>
      <c r="BL26" s="1">
        <f t="shared" si="6"/>
        <v>0</v>
      </c>
      <c r="BN26" s="1">
        <f t="shared" si="7"/>
        <v>16</v>
      </c>
      <c r="BO26" s="1">
        <f t="shared" si="8"/>
        <v>15</v>
      </c>
      <c r="BP26" s="1">
        <f t="shared" si="9"/>
        <v>11</v>
      </c>
      <c r="BQ26" s="1">
        <f t="shared" si="10"/>
        <v>6</v>
      </c>
      <c r="BR26" s="1">
        <f t="shared" si="11"/>
        <v>0</v>
      </c>
    </row>
    <row r="27" spans="1:70" x14ac:dyDescent="0.3">
      <c r="A27" s="56">
        <v>178</v>
      </c>
      <c r="B27" s="56">
        <v>7</v>
      </c>
      <c r="C27" s="24">
        <v>44739.458333333336</v>
      </c>
      <c r="D27" s="33">
        <f t="shared" si="15"/>
        <v>0.25</v>
      </c>
      <c r="E27" s="64">
        <f t="shared" si="14"/>
        <v>6</v>
      </c>
      <c r="F27" s="61">
        <f t="shared" si="12"/>
        <v>6</v>
      </c>
      <c r="G27" s="26" t="s">
        <v>17</v>
      </c>
      <c r="H27" s="26" t="s">
        <v>17</v>
      </c>
      <c r="I27" s="26" t="s">
        <v>18</v>
      </c>
      <c r="J27" s="26" t="s">
        <v>22</v>
      </c>
      <c r="K27" s="26" t="s">
        <v>17</v>
      </c>
      <c r="L27" s="26" t="s">
        <v>18</v>
      </c>
      <c r="M27" s="26" t="s">
        <v>22</v>
      </c>
      <c r="N27" s="26" t="s">
        <v>28</v>
      </c>
      <c r="O27" s="26" t="s">
        <v>17</v>
      </c>
      <c r="P27" s="26" t="s">
        <v>18</v>
      </c>
      <c r="Q27" s="26" t="s">
        <v>28</v>
      </c>
      <c r="R27" s="26" t="s">
        <v>22</v>
      </c>
      <c r="S27" s="26" t="s">
        <v>17</v>
      </c>
      <c r="T27" s="26" t="s">
        <v>17</v>
      </c>
      <c r="U27" s="26" t="s">
        <v>22</v>
      </c>
      <c r="V27" s="26" t="s">
        <v>22</v>
      </c>
      <c r="W27" s="26" t="s">
        <v>17</v>
      </c>
      <c r="X27" s="26" t="s">
        <v>17</v>
      </c>
      <c r="Y27" s="26" t="s">
        <v>22</v>
      </c>
      <c r="Z27" s="26" t="s">
        <v>11</v>
      </c>
      <c r="AA27" s="26" t="s">
        <v>17</v>
      </c>
      <c r="AB27" s="26" t="s">
        <v>17</v>
      </c>
      <c r="AC27" s="26" t="s">
        <v>10</v>
      </c>
      <c r="AD27" s="26" t="s">
        <v>28</v>
      </c>
      <c r="AE27" s="63" t="s">
        <v>17</v>
      </c>
      <c r="AF27" s="26" t="s">
        <v>18</v>
      </c>
      <c r="AG27" s="26" t="s">
        <v>18</v>
      </c>
      <c r="AH27" s="26" t="s">
        <v>28</v>
      </c>
      <c r="AI27" s="26" t="s">
        <v>28</v>
      </c>
      <c r="AJ27" s="26" t="s">
        <v>22</v>
      </c>
      <c r="AK27" s="26" t="s">
        <v>18</v>
      </c>
      <c r="AL27" s="26" t="s">
        <v>18</v>
      </c>
      <c r="AM27" s="26" t="s">
        <v>18</v>
      </c>
      <c r="AN27" s="26" t="s">
        <v>18</v>
      </c>
      <c r="AO27" s="26" t="s">
        <v>28</v>
      </c>
      <c r="AP27" s="26" t="s">
        <v>22</v>
      </c>
      <c r="AQ27" s="26" t="s">
        <v>17</v>
      </c>
      <c r="AR27" s="26" t="s">
        <v>17</v>
      </c>
      <c r="AS27" s="26" t="s">
        <v>18</v>
      </c>
      <c r="AT27" s="26" t="s">
        <v>18</v>
      </c>
      <c r="AU27" s="26" t="s">
        <v>17</v>
      </c>
      <c r="AV27" s="26" t="s">
        <v>17</v>
      </c>
      <c r="AW27" s="26" t="s">
        <v>18</v>
      </c>
      <c r="AX27" s="26" t="s">
        <v>22</v>
      </c>
      <c r="AY27" s="26" t="s">
        <v>17</v>
      </c>
      <c r="AZ27" s="26" t="s">
        <v>18</v>
      </c>
      <c r="BA27" s="26" t="s">
        <v>22</v>
      </c>
      <c r="BB27" s="26" t="s">
        <v>18</v>
      </c>
      <c r="BC27" s="26" t="s">
        <v>22</v>
      </c>
      <c r="BD27" s="26" t="s">
        <v>18</v>
      </c>
      <c r="BE27" s="30">
        <v>6</v>
      </c>
      <c r="BF27" s="1">
        <f t="shared" si="0"/>
        <v>0</v>
      </c>
      <c r="BG27" s="1">
        <f t="shared" si="1"/>
        <v>0</v>
      </c>
      <c r="BH27" s="1">
        <f t="shared" si="2"/>
        <v>0</v>
      </c>
      <c r="BI27" s="1">
        <f t="shared" si="3"/>
        <v>1</v>
      </c>
      <c r="BJ27" s="1">
        <f t="shared" si="4"/>
        <v>1</v>
      </c>
      <c r="BK27" s="1">
        <f t="shared" si="5"/>
        <v>0</v>
      </c>
      <c r="BL27" s="1">
        <f t="shared" si="6"/>
        <v>0</v>
      </c>
      <c r="BN27" s="1">
        <f t="shared" si="7"/>
        <v>16</v>
      </c>
      <c r="BO27" s="1">
        <f t="shared" si="8"/>
        <v>15</v>
      </c>
      <c r="BP27" s="1">
        <f t="shared" si="9"/>
        <v>11</v>
      </c>
      <c r="BQ27" s="1">
        <f t="shared" si="10"/>
        <v>6</v>
      </c>
      <c r="BR27" s="1">
        <f t="shared" si="11"/>
        <v>0</v>
      </c>
    </row>
    <row r="28" spans="1:70" x14ac:dyDescent="0.3">
      <c r="A28" s="56">
        <v>178</v>
      </c>
      <c r="B28" s="56">
        <v>7</v>
      </c>
      <c r="C28" s="24">
        <v>44739.708333333336</v>
      </c>
      <c r="D28" s="33">
        <f t="shared" si="15"/>
        <v>0.25</v>
      </c>
      <c r="E28" s="64">
        <f t="shared" si="14"/>
        <v>6.25</v>
      </c>
      <c r="F28" s="61">
        <f t="shared" si="12"/>
        <v>6.25</v>
      </c>
      <c r="G28" s="26" t="s">
        <v>17</v>
      </c>
      <c r="H28" s="26" t="s">
        <v>17</v>
      </c>
      <c r="I28" s="26" t="s">
        <v>18</v>
      </c>
      <c r="J28" s="26" t="s">
        <v>22</v>
      </c>
      <c r="K28" s="26" t="s">
        <v>17</v>
      </c>
      <c r="L28" s="26" t="s">
        <v>18</v>
      </c>
      <c r="M28" s="26" t="s">
        <v>22</v>
      </c>
      <c r="N28" s="26" t="s">
        <v>28</v>
      </c>
      <c r="O28" s="26" t="s">
        <v>17</v>
      </c>
      <c r="P28" s="26" t="s">
        <v>18</v>
      </c>
      <c r="Q28" s="26" t="s">
        <v>28</v>
      </c>
      <c r="R28" s="26" t="s">
        <v>22</v>
      </c>
      <c r="S28" s="26" t="s">
        <v>17</v>
      </c>
      <c r="T28" s="26" t="s">
        <v>17</v>
      </c>
      <c r="U28" s="26" t="s">
        <v>22</v>
      </c>
      <c r="V28" s="26" t="s">
        <v>22</v>
      </c>
      <c r="W28" s="26" t="s">
        <v>17</v>
      </c>
      <c r="X28" s="26" t="s">
        <v>17</v>
      </c>
      <c r="Y28" s="26" t="s">
        <v>22</v>
      </c>
      <c r="Z28" s="26" t="s">
        <v>11</v>
      </c>
      <c r="AA28" s="26" t="s">
        <v>17</v>
      </c>
      <c r="AB28" s="26" t="s">
        <v>17</v>
      </c>
      <c r="AC28" s="26" t="s">
        <v>10</v>
      </c>
      <c r="AD28" s="26" t="s">
        <v>28</v>
      </c>
      <c r="AE28" s="26" t="s">
        <v>17</v>
      </c>
      <c r="AF28" s="26" t="s">
        <v>18</v>
      </c>
      <c r="AG28" s="26" t="s">
        <v>18</v>
      </c>
      <c r="AH28" s="26" t="s">
        <v>28</v>
      </c>
      <c r="AI28" s="26" t="s">
        <v>28</v>
      </c>
      <c r="AJ28" s="26" t="s">
        <v>22</v>
      </c>
      <c r="AK28" s="26" t="s">
        <v>18</v>
      </c>
      <c r="AL28" s="26" t="s">
        <v>18</v>
      </c>
      <c r="AM28" s="26" t="s">
        <v>18</v>
      </c>
      <c r="AN28" s="26" t="s">
        <v>18</v>
      </c>
      <c r="AO28" s="26" t="s">
        <v>28</v>
      </c>
      <c r="AP28" s="26" t="s">
        <v>22</v>
      </c>
      <c r="AQ28" s="26" t="s">
        <v>17</v>
      </c>
      <c r="AR28" s="26" t="s">
        <v>17</v>
      </c>
      <c r="AS28" s="26" t="s">
        <v>18</v>
      </c>
      <c r="AT28" s="26" t="s">
        <v>18</v>
      </c>
      <c r="AU28" s="26" t="s">
        <v>17</v>
      </c>
      <c r="AV28" s="26" t="s">
        <v>17</v>
      </c>
      <c r="AW28" s="26" t="s">
        <v>18</v>
      </c>
      <c r="AX28" s="26" t="s">
        <v>22</v>
      </c>
      <c r="AY28" s="26" t="s">
        <v>17</v>
      </c>
      <c r="AZ28" s="26" t="s">
        <v>18</v>
      </c>
      <c r="BA28" s="26" t="s">
        <v>22</v>
      </c>
      <c r="BB28" s="26" t="s">
        <v>18</v>
      </c>
      <c r="BC28" s="26" t="s">
        <v>22</v>
      </c>
      <c r="BD28" s="26" t="s">
        <v>18</v>
      </c>
      <c r="BE28" s="30">
        <v>6.25</v>
      </c>
      <c r="BF28" s="1">
        <f t="shared" si="0"/>
        <v>0</v>
      </c>
      <c r="BG28" s="1">
        <f t="shared" si="1"/>
        <v>0</v>
      </c>
      <c r="BH28" s="1">
        <f t="shared" si="2"/>
        <v>0</v>
      </c>
      <c r="BI28" s="1">
        <f t="shared" si="3"/>
        <v>1</v>
      </c>
      <c r="BJ28" s="1">
        <f t="shared" si="4"/>
        <v>1</v>
      </c>
      <c r="BK28" s="1">
        <f t="shared" si="5"/>
        <v>0</v>
      </c>
      <c r="BL28" s="1">
        <f t="shared" si="6"/>
        <v>0</v>
      </c>
      <c r="BN28" s="1">
        <f t="shared" si="7"/>
        <v>16</v>
      </c>
      <c r="BO28" s="1">
        <f t="shared" si="8"/>
        <v>15</v>
      </c>
      <c r="BP28" s="1">
        <f t="shared" si="9"/>
        <v>11</v>
      </c>
      <c r="BQ28" s="1">
        <f t="shared" si="10"/>
        <v>6</v>
      </c>
      <c r="BR28" s="1">
        <f t="shared" si="11"/>
        <v>0</v>
      </c>
    </row>
    <row r="29" spans="1:70" x14ac:dyDescent="0.3">
      <c r="A29" s="56">
        <v>178</v>
      </c>
      <c r="B29" s="56">
        <v>7</v>
      </c>
      <c r="C29" s="24">
        <v>44739.958333333336</v>
      </c>
      <c r="D29" s="33">
        <f t="shared" si="15"/>
        <v>0.25</v>
      </c>
      <c r="E29" s="64">
        <f t="shared" si="14"/>
        <v>6.5</v>
      </c>
      <c r="F29" s="61">
        <f t="shared" si="12"/>
        <v>6.5</v>
      </c>
      <c r="G29" s="26" t="s">
        <v>17</v>
      </c>
      <c r="H29" s="26" t="s">
        <v>17</v>
      </c>
      <c r="I29" s="26" t="s">
        <v>18</v>
      </c>
      <c r="J29" s="26" t="s">
        <v>22</v>
      </c>
      <c r="K29" s="26" t="s">
        <v>17</v>
      </c>
      <c r="L29" s="26" t="s">
        <v>18</v>
      </c>
      <c r="M29" s="26" t="s">
        <v>22</v>
      </c>
      <c r="N29" s="26" t="s">
        <v>28</v>
      </c>
      <c r="O29" s="26" t="s">
        <v>17</v>
      </c>
      <c r="P29" s="26" t="s">
        <v>18</v>
      </c>
      <c r="Q29" s="26" t="s">
        <v>28</v>
      </c>
      <c r="R29" s="26" t="s">
        <v>22</v>
      </c>
      <c r="S29" s="26" t="s">
        <v>17</v>
      </c>
      <c r="T29" s="26" t="s">
        <v>17</v>
      </c>
      <c r="U29" s="26" t="s">
        <v>22</v>
      </c>
      <c r="V29" s="26" t="s">
        <v>22</v>
      </c>
      <c r="W29" s="26" t="s">
        <v>17</v>
      </c>
      <c r="X29" s="26" t="s">
        <v>17</v>
      </c>
      <c r="Y29" s="26" t="s">
        <v>22</v>
      </c>
      <c r="Z29" s="26" t="s">
        <v>11</v>
      </c>
      <c r="AA29" s="26" t="s">
        <v>17</v>
      </c>
      <c r="AB29" s="26" t="s">
        <v>17</v>
      </c>
      <c r="AC29" s="26" t="s">
        <v>11</v>
      </c>
      <c r="AD29" s="26" t="s">
        <v>28</v>
      </c>
      <c r="AE29" s="26" t="s">
        <v>17</v>
      </c>
      <c r="AF29" s="26" t="s">
        <v>18</v>
      </c>
      <c r="AG29" s="26" t="s">
        <v>18</v>
      </c>
      <c r="AH29" s="26" t="s">
        <v>28</v>
      </c>
      <c r="AI29" s="26" t="s">
        <v>28</v>
      </c>
      <c r="AJ29" s="26" t="s">
        <v>22</v>
      </c>
      <c r="AK29" s="26" t="s">
        <v>18</v>
      </c>
      <c r="AL29" s="26" t="s">
        <v>18</v>
      </c>
      <c r="AM29" s="26" t="s">
        <v>18</v>
      </c>
      <c r="AN29" s="26" t="s">
        <v>18</v>
      </c>
      <c r="AO29" s="26" t="s">
        <v>28</v>
      </c>
      <c r="AP29" s="26" t="s">
        <v>22</v>
      </c>
      <c r="AQ29" s="26" t="s">
        <v>17</v>
      </c>
      <c r="AR29" s="26" t="s">
        <v>17</v>
      </c>
      <c r="AS29" s="26" t="s">
        <v>18</v>
      </c>
      <c r="AT29" s="26" t="s">
        <v>18</v>
      </c>
      <c r="AU29" s="26" t="s">
        <v>17</v>
      </c>
      <c r="AV29" s="26" t="s">
        <v>17</v>
      </c>
      <c r="AW29" s="26" t="s">
        <v>18</v>
      </c>
      <c r="AX29" s="26" t="s">
        <v>22</v>
      </c>
      <c r="AY29" s="26" t="s">
        <v>17</v>
      </c>
      <c r="AZ29" s="26" t="s">
        <v>18</v>
      </c>
      <c r="BA29" s="26" t="s">
        <v>22</v>
      </c>
      <c r="BB29" s="26" t="s">
        <v>18</v>
      </c>
      <c r="BC29" s="26" t="s">
        <v>22</v>
      </c>
      <c r="BD29" s="26" t="s">
        <v>18</v>
      </c>
      <c r="BE29" s="30">
        <v>6.5</v>
      </c>
      <c r="BF29" s="1">
        <f t="shared" si="0"/>
        <v>0</v>
      </c>
      <c r="BG29" s="1">
        <f t="shared" si="1"/>
        <v>0</v>
      </c>
      <c r="BH29" s="1">
        <f t="shared" si="2"/>
        <v>0</v>
      </c>
      <c r="BI29" s="1">
        <f t="shared" si="3"/>
        <v>0</v>
      </c>
      <c r="BJ29" s="1">
        <f t="shared" si="4"/>
        <v>2</v>
      </c>
      <c r="BK29" s="1">
        <f t="shared" si="5"/>
        <v>0</v>
      </c>
      <c r="BL29" s="1">
        <f t="shared" si="6"/>
        <v>0</v>
      </c>
      <c r="BN29" s="1">
        <f t="shared" si="7"/>
        <v>16</v>
      </c>
      <c r="BO29" s="1">
        <f t="shared" si="8"/>
        <v>15</v>
      </c>
      <c r="BP29" s="1">
        <f t="shared" si="9"/>
        <v>11</v>
      </c>
      <c r="BQ29" s="1">
        <f t="shared" si="10"/>
        <v>6</v>
      </c>
      <c r="BR29" s="1">
        <f t="shared" si="11"/>
        <v>0</v>
      </c>
    </row>
    <row r="30" spans="1:70" x14ac:dyDescent="0.3">
      <c r="A30" s="56">
        <v>179</v>
      </c>
      <c r="B30" s="56">
        <v>8</v>
      </c>
      <c r="C30" s="24">
        <v>44740.208333333336</v>
      </c>
      <c r="D30" s="33">
        <f t="shared" si="15"/>
        <v>0.25</v>
      </c>
      <c r="E30" s="64">
        <f t="shared" si="14"/>
        <v>6.75</v>
      </c>
      <c r="F30" s="61">
        <f t="shared" si="12"/>
        <v>6.75</v>
      </c>
      <c r="G30" s="26" t="s">
        <v>17</v>
      </c>
      <c r="H30" s="26" t="s">
        <v>17</v>
      </c>
      <c r="I30" s="26" t="s">
        <v>18</v>
      </c>
      <c r="J30" s="26" t="s">
        <v>22</v>
      </c>
      <c r="K30" s="26" t="s">
        <v>17</v>
      </c>
      <c r="L30" s="26" t="s">
        <v>18</v>
      </c>
      <c r="M30" s="26" t="s">
        <v>22</v>
      </c>
      <c r="N30" s="26" t="s">
        <v>28</v>
      </c>
      <c r="O30" s="26" t="s">
        <v>17</v>
      </c>
      <c r="P30" s="26" t="s">
        <v>18</v>
      </c>
      <c r="Q30" s="26" t="s">
        <v>28</v>
      </c>
      <c r="R30" s="26" t="s">
        <v>22</v>
      </c>
      <c r="S30" s="26" t="s">
        <v>17</v>
      </c>
      <c r="T30" s="26" t="s">
        <v>17</v>
      </c>
      <c r="U30" s="26" t="s">
        <v>22</v>
      </c>
      <c r="V30" s="26" t="s">
        <v>22</v>
      </c>
      <c r="W30" s="26" t="s">
        <v>17</v>
      </c>
      <c r="X30" s="26" t="s">
        <v>17</v>
      </c>
      <c r="Y30" s="26" t="s">
        <v>22</v>
      </c>
      <c r="Z30" s="26" t="s">
        <v>11</v>
      </c>
      <c r="AA30" s="26" t="s">
        <v>17</v>
      </c>
      <c r="AB30" s="26" t="s">
        <v>17</v>
      </c>
      <c r="AC30" s="26" t="s">
        <v>11</v>
      </c>
      <c r="AD30" s="26" t="s">
        <v>28</v>
      </c>
      <c r="AE30" s="26" t="s">
        <v>17</v>
      </c>
      <c r="AF30" s="26" t="s">
        <v>18</v>
      </c>
      <c r="AG30" s="26" t="s">
        <v>18</v>
      </c>
      <c r="AH30" s="26" t="s">
        <v>28</v>
      </c>
      <c r="AI30" s="26" t="s">
        <v>28</v>
      </c>
      <c r="AJ30" s="26" t="s">
        <v>22</v>
      </c>
      <c r="AK30" s="26" t="s">
        <v>18</v>
      </c>
      <c r="AL30" s="26" t="s">
        <v>18</v>
      </c>
      <c r="AM30" s="26" t="s">
        <v>18</v>
      </c>
      <c r="AN30" s="26" t="s">
        <v>18</v>
      </c>
      <c r="AO30" s="26" t="s">
        <v>28</v>
      </c>
      <c r="AP30" s="26" t="s">
        <v>22</v>
      </c>
      <c r="AQ30" s="26" t="s">
        <v>17</v>
      </c>
      <c r="AR30" s="26" t="s">
        <v>17</v>
      </c>
      <c r="AS30" s="26" t="s">
        <v>18</v>
      </c>
      <c r="AT30" s="26" t="s">
        <v>18</v>
      </c>
      <c r="AU30" s="26" t="s">
        <v>17</v>
      </c>
      <c r="AV30" s="26" t="s">
        <v>17</v>
      </c>
      <c r="AW30" s="26" t="s">
        <v>18</v>
      </c>
      <c r="AX30" s="26" t="s">
        <v>22</v>
      </c>
      <c r="AY30" s="26" t="s">
        <v>17</v>
      </c>
      <c r="AZ30" s="26" t="s">
        <v>18</v>
      </c>
      <c r="BA30" s="26" t="s">
        <v>22</v>
      </c>
      <c r="BB30" s="26" t="s">
        <v>18</v>
      </c>
      <c r="BC30" s="26" t="s">
        <v>22</v>
      </c>
      <c r="BD30" s="26" t="s">
        <v>18</v>
      </c>
      <c r="BE30" s="30">
        <v>6.75</v>
      </c>
      <c r="BF30" s="1">
        <f t="shared" si="0"/>
        <v>0</v>
      </c>
      <c r="BG30" s="1">
        <f t="shared" si="1"/>
        <v>0</v>
      </c>
      <c r="BH30" s="1">
        <f t="shared" si="2"/>
        <v>0</v>
      </c>
      <c r="BI30" s="1">
        <f t="shared" si="3"/>
        <v>0</v>
      </c>
      <c r="BJ30" s="1">
        <f t="shared" si="4"/>
        <v>2</v>
      </c>
      <c r="BK30" s="1">
        <f t="shared" si="5"/>
        <v>0</v>
      </c>
      <c r="BL30" s="1">
        <f t="shared" si="6"/>
        <v>0</v>
      </c>
      <c r="BN30" s="1">
        <f t="shared" si="7"/>
        <v>16</v>
      </c>
      <c r="BO30" s="1">
        <f t="shared" si="8"/>
        <v>15</v>
      </c>
      <c r="BP30" s="1">
        <f t="shared" si="9"/>
        <v>11</v>
      </c>
      <c r="BQ30" s="1">
        <f t="shared" si="10"/>
        <v>6</v>
      </c>
      <c r="BR30" s="1">
        <f t="shared" si="11"/>
        <v>0</v>
      </c>
    </row>
    <row r="31" spans="1:70" x14ac:dyDescent="0.3">
      <c r="A31" s="56">
        <v>179</v>
      </c>
      <c r="B31" s="56">
        <v>8</v>
      </c>
      <c r="C31" s="24">
        <v>44740.458333333336</v>
      </c>
      <c r="D31" s="33">
        <f t="shared" si="15"/>
        <v>0.25</v>
      </c>
      <c r="E31" s="64">
        <f t="shared" si="14"/>
        <v>7</v>
      </c>
      <c r="F31" s="61">
        <f t="shared" si="12"/>
        <v>7</v>
      </c>
      <c r="G31" s="26" t="s">
        <v>17</v>
      </c>
      <c r="H31" s="26" t="s">
        <v>17</v>
      </c>
      <c r="I31" s="26" t="s">
        <v>18</v>
      </c>
      <c r="J31" s="26" t="s">
        <v>22</v>
      </c>
      <c r="K31" s="26" t="s">
        <v>17</v>
      </c>
      <c r="L31" s="26" t="s">
        <v>18</v>
      </c>
      <c r="M31" s="26" t="s">
        <v>22</v>
      </c>
      <c r="N31" s="26" t="s">
        <v>28</v>
      </c>
      <c r="O31" s="26" t="s">
        <v>17</v>
      </c>
      <c r="P31" s="26" t="s">
        <v>18</v>
      </c>
      <c r="Q31" s="26" t="s">
        <v>28</v>
      </c>
      <c r="R31" s="26" t="s">
        <v>22</v>
      </c>
      <c r="S31" s="26" t="s">
        <v>17</v>
      </c>
      <c r="T31" s="26" t="s">
        <v>17</v>
      </c>
      <c r="U31" s="26" t="s">
        <v>22</v>
      </c>
      <c r="V31" s="26" t="s">
        <v>22</v>
      </c>
      <c r="W31" s="26" t="s">
        <v>17</v>
      </c>
      <c r="X31" s="26" t="s">
        <v>17</v>
      </c>
      <c r="Y31" s="26" t="s">
        <v>22</v>
      </c>
      <c r="Z31" s="26" t="s">
        <v>11</v>
      </c>
      <c r="AA31" s="26" t="s">
        <v>17</v>
      </c>
      <c r="AB31" s="26" t="s">
        <v>17</v>
      </c>
      <c r="AC31" s="26" t="s">
        <v>11</v>
      </c>
      <c r="AD31" s="26" t="s">
        <v>28</v>
      </c>
      <c r="AE31" s="26" t="s">
        <v>17</v>
      </c>
      <c r="AF31" s="26" t="s">
        <v>18</v>
      </c>
      <c r="AG31" s="26" t="s">
        <v>18</v>
      </c>
      <c r="AH31" s="26" t="s">
        <v>28</v>
      </c>
      <c r="AI31" s="26" t="s">
        <v>28</v>
      </c>
      <c r="AJ31" s="26" t="s">
        <v>22</v>
      </c>
      <c r="AK31" s="26" t="s">
        <v>18</v>
      </c>
      <c r="AL31" s="26" t="s">
        <v>18</v>
      </c>
      <c r="AM31" s="26" t="s">
        <v>18</v>
      </c>
      <c r="AN31" s="26" t="s">
        <v>18</v>
      </c>
      <c r="AO31" s="26" t="s">
        <v>28</v>
      </c>
      <c r="AP31" s="26" t="s">
        <v>22</v>
      </c>
      <c r="AQ31" s="26" t="s">
        <v>17</v>
      </c>
      <c r="AR31" s="26" t="s">
        <v>17</v>
      </c>
      <c r="AS31" s="26" t="s">
        <v>18</v>
      </c>
      <c r="AT31" s="26" t="s">
        <v>18</v>
      </c>
      <c r="AU31" s="26" t="s">
        <v>17</v>
      </c>
      <c r="AV31" s="26" t="s">
        <v>17</v>
      </c>
      <c r="AW31" s="26" t="s">
        <v>18</v>
      </c>
      <c r="AX31" s="26" t="s">
        <v>22</v>
      </c>
      <c r="AY31" s="26" t="s">
        <v>17</v>
      </c>
      <c r="AZ31" s="26" t="s">
        <v>18</v>
      </c>
      <c r="BA31" s="26" t="s">
        <v>22</v>
      </c>
      <c r="BB31" s="26" t="s">
        <v>18</v>
      </c>
      <c r="BC31" s="26" t="s">
        <v>22</v>
      </c>
      <c r="BD31" s="26" t="s">
        <v>18</v>
      </c>
      <c r="BE31" s="30">
        <v>7</v>
      </c>
      <c r="BF31" s="1">
        <f t="shared" si="0"/>
        <v>0</v>
      </c>
      <c r="BG31" s="1">
        <f t="shared" si="1"/>
        <v>0</v>
      </c>
      <c r="BH31" s="1">
        <f t="shared" si="2"/>
        <v>0</v>
      </c>
      <c r="BI31" s="1">
        <f t="shared" si="3"/>
        <v>0</v>
      </c>
      <c r="BJ31" s="1">
        <f t="shared" si="4"/>
        <v>2</v>
      </c>
      <c r="BK31" s="1">
        <f t="shared" si="5"/>
        <v>0</v>
      </c>
      <c r="BL31" s="1">
        <f t="shared" si="6"/>
        <v>0</v>
      </c>
      <c r="BN31" s="1">
        <f t="shared" si="7"/>
        <v>16</v>
      </c>
      <c r="BO31" s="1">
        <f t="shared" si="8"/>
        <v>15</v>
      </c>
      <c r="BP31" s="1">
        <f t="shared" si="9"/>
        <v>11</v>
      </c>
      <c r="BQ31" s="1">
        <f t="shared" si="10"/>
        <v>6</v>
      </c>
      <c r="BR31" s="1">
        <f t="shared" si="11"/>
        <v>0</v>
      </c>
    </row>
    <row r="32" spans="1:70" x14ac:dyDescent="0.3">
      <c r="A32" s="56">
        <v>179</v>
      </c>
      <c r="B32" s="56">
        <v>8</v>
      </c>
      <c r="C32" s="24">
        <v>44740.708333333336</v>
      </c>
      <c r="D32" s="33">
        <f t="shared" si="15"/>
        <v>0.25</v>
      </c>
      <c r="E32" s="64">
        <f t="shared" si="14"/>
        <v>7.25</v>
      </c>
      <c r="F32" s="61">
        <f t="shared" si="12"/>
        <v>7.25</v>
      </c>
      <c r="G32" s="26" t="s">
        <v>17</v>
      </c>
      <c r="H32" s="26" t="s">
        <v>17</v>
      </c>
      <c r="I32" s="26" t="s">
        <v>18</v>
      </c>
      <c r="J32" s="26" t="s">
        <v>22</v>
      </c>
      <c r="K32" s="26" t="s">
        <v>17</v>
      </c>
      <c r="L32" s="26" t="s">
        <v>18</v>
      </c>
      <c r="M32" s="26" t="s">
        <v>22</v>
      </c>
      <c r="N32" s="26" t="s">
        <v>28</v>
      </c>
      <c r="O32" s="26" t="s">
        <v>17</v>
      </c>
      <c r="P32" s="26" t="s">
        <v>18</v>
      </c>
      <c r="Q32" s="26" t="s">
        <v>28</v>
      </c>
      <c r="R32" s="26" t="s">
        <v>22</v>
      </c>
      <c r="S32" s="26" t="s">
        <v>17</v>
      </c>
      <c r="T32" s="26" t="s">
        <v>17</v>
      </c>
      <c r="U32" s="26" t="s">
        <v>22</v>
      </c>
      <c r="V32" s="26" t="s">
        <v>22</v>
      </c>
      <c r="W32" s="26" t="s">
        <v>17</v>
      </c>
      <c r="X32" s="26" t="s">
        <v>17</v>
      </c>
      <c r="Y32" s="26" t="s">
        <v>22</v>
      </c>
      <c r="Z32" s="26" t="s">
        <v>11</v>
      </c>
      <c r="AA32" s="26" t="s">
        <v>17</v>
      </c>
      <c r="AB32" s="26" t="s">
        <v>17</v>
      </c>
      <c r="AC32" s="26" t="s">
        <v>11</v>
      </c>
      <c r="AD32" s="26" t="s">
        <v>28</v>
      </c>
      <c r="AE32" s="26" t="s">
        <v>17</v>
      </c>
      <c r="AF32" s="26" t="s">
        <v>18</v>
      </c>
      <c r="AG32" s="26" t="s">
        <v>18</v>
      </c>
      <c r="AH32" s="26" t="s">
        <v>28</v>
      </c>
      <c r="AI32" s="26" t="s">
        <v>28</v>
      </c>
      <c r="AJ32" s="26" t="s">
        <v>22</v>
      </c>
      <c r="AK32" s="26" t="s">
        <v>18</v>
      </c>
      <c r="AL32" s="26" t="s">
        <v>18</v>
      </c>
      <c r="AM32" s="26" t="s">
        <v>18</v>
      </c>
      <c r="AN32" s="26" t="s">
        <v>18</v>
      </c>
      <c r="AO32" s="26" t="s">
        <v>28</v>
      </c>
      <c r="AP32" s="26" t="s">
        <v>22</v>
      </c>
      <c r="AQ32" s="26" t="s">
        <v>17</v>
      </c>
      <c r="AR32" s="26" t="s">
        <v>17</v>
      </c>
      <c r="AS32" s="26" t="s">
        <v>18</v>
      </c>
      <c r="AT32" s="26" t="s">
        <v>18</v>
      </c>
      <c r="AU32" s="26" t="s">
        <v>17</v>
      </c>
      <c r="AV32" s="26" t="s">
        <v>17</v>
      </c>
      <c r="AW32" s="26" t="s">
        <v>18</v>
      </c>
      <c r="AX32" s="26" t="s">
        <v>22</v>
      </c>
      <c r="AY32" s="26" t="s">
        <v>17</v>
      </c>
      <c r="AZ32" s="26" t="s">
        <v>18</v>
      </c>
      <c r="BA32" s="26" t="s">
        <v>22</v>
      </c>
      <c r="BB32" s="26" t="s">
        <v>18</v>
      </c>
      <c r="BC32" s="26" t="s">
        <v>22</v>
      </c>
      <c r="BD32" s="26" t="s">
        <v>18</v>
      </c>
      <c r="BE32" s="30">
        <v>7.25</v>
      </c>
      <c r="BF32" s="1">
        <f t="shared" si="0"/>
        <v>0</v>
      </c>
      <c r="BG32" s="1">
        <f t="shared" si="1"/>
        <v>0</v>
      </c>
      <c r="BH32" s="1">
        <f t="shared" si="2"/>
        <v>0</v>
      </c>
      <c r="BI32" s="1">
        <f t="shared" si="3"/>
        <v>0</v>
      </c>
      <c r="BJ32" s="1">
        <f t="shared" si="4"/>
        <v>2</v>
      </c>
      <c r="BK32" s="1">
        <f t="shared" si="5"/>
        <v>0</v>
      </c>
      <c r="BL32" s="1">
        <f t="shared" si="6"/>
        <v>0</v>
      </c>
      <c r="BN32" s="1">
        <f t="shared" si="7"/>
        <v>16</v>
      </c>
      <c r="BO32" s="1">
        <f t="shared" si="8"/>
        <v>15</v>
      </c>
      <c r="BP32" s="1">
        <f t="shared" si="9"/>
        <v>11</v>
      </c>
      <c r="BQ32" s="1">
        <f t="shared" si="10"/>
        <v>6</v>
      </c>
      <c r="BR32" s="1">
        <f t="shared" si="11"/>
        <v>0</v>
      </c>
    </row>
    <row r="33" spans="1:70" x14ac:dyDescent="0.3">
      <c r="A33" s="56">
        <v>179</v>
      </c>
      <c r="B33" s="56">
        <v>8</v>
      </c>
      <c r="C33" s="24">
        <v>44740.958333333336</v>
      </c>
      <c r="D33" s="33">
        <f t="shared" si="15"/>
        <v>0.25</v>
      </c>
      <c r="E33" s="64">
        <f t="shared" si="14"/>
        <v>7.5</v>
      </c>
      <c r="F33" s="61">
        <f t="shared" si="12"/>
        <v>7.5</v>
      </c>
      <c r="G33" s="26" t="s">
        <v>17</v>
      </c>
      <c r="H33" s="26" t="s">
        <v>17</v>
      </c>
      <c r="I33" s="26" t="s">
        <v>18</v>
      </c>
      <c r="J33" s="26" t="s">
        <v>22</v>
      </c>
      <c r="K33" s="26" t="s">
        <v>17</v>
      </c>
      <c r="L33" s="26" t="s">
        <v>18</v>
      </c>
      <c r="M33" s="26" t="s">
        <v>22</v>
      </c>
      <c r="N33" s="26" t="s">
        <v>28</v>
      </c>
      <c r="O33" s="26" t="s">
        <v>17</v>
      </c>
      <c r="P33" s="26" t="s">
        <v>18</v>
      </c>
      <c r="Q33" s="26" t="s">
        <v>28</v>
      </c>
      <c r="R33" s="26" t="s">
        <v>22</v>
      </c>
      <c r="S33" s="26" t="s">
        <v>17</v>
      </c>
      <c r="T33" s="26" t="s">
        <v>17</v>
      </c>
      <c r="U33" s="26" t="s">
        <v>22</v>
      </c>
      <c r="V33" s="26" t="s">
        <v>22</v>
      </c>
      <c r="W33" s="26" t="s">
        <v>17</v>
      </c>
      <c r="X33" s="26" t="s">
        <v>17</v>
      </c>
      <c r="Y33" s="26" t="s">
        <v>22</v>
      </c>
      <c r="Z33" s="26" t="s">
        <v>11</v>
      </c>
      <c r="AA33" s="26" t="s">
        <v>17</v>
      </c>
      <c r="AB33" s="26" t="s">
        <v>17</v>
      </c>
      <c r="AC33" s="26" t="s">
        <v>11</v>
      </c>
      <c r="AD33" s="26" t="s">
        <v>28</v>
      </c>
      <c r="AE33" s="26" t="s">
        <v>17</v>
      </c>
      <c r="AF33" s="26" t="s">
        <v>18</v>
      </c>
      <c r="AG33" s="26" t="s">
        <v>18</v>
      </c>
      <c r="AH33" s="26" t="s">
        <v>28</v>
      </c>
      <c r="AI33" s="26" t="s">
        <v>28</v>
      </c>
      <c r="AJ33" s="26" t="s">
        <v>22</v>
      </c>
      <c r="AK33" s="26" t="s">
        <v>18</v>
      </c>
      <c r="AL33" s="26" t="s">
        <v>18</v>
      </c>
      <c r="AM33" s="26" t="s">
        <v>18</v>
      </c>
      <c r="AN33" s="26" t="s">
        <v>18</v>
      </c>
      <c r="AO33" s="26" t="s">
        <v>28</v>
      </c>
      <c r="AP33" s="26" t="s">
        <v>22</v>
      </c>
      <c r="AQ33" s="26" t="s">
        <v>17</v>
      </c>
      <c r="AR33" s="26" t="s">
        <v>17</v>
      </c>
      <c r="AS33" s="26" t="s">
        <v>18</v>
      </c>
      <c r="AT33" s="26" t="s">
        <v>18</v>
      </c>
      <c r="AU33" s="26" t="s">
        <v>17</v>
      </c>
      <c r="AV33" s="26" t="s">
        <v>17</v>
      </c>
      <c r="AW33" s="26" t="s">
        <v>18</v>
      </c>
      <c r="AX33" s="26" t="s">
        <v>22</v>
      </c>
      <c r="AY33" s="26" t="s">
        <v>17</v>
      </c>
      <c r="AZ33" s="26" t="s">
        <v>18</v>
      </c>
      <c r="BA33" s="26" t="s">
        <v>22</v>
      </c>
      <c r="BB33" s="26" t="s">
        <v>18</v>
      </c>
      <c r="BC33" s="26" t="s">
        <v>22</v>
      </c>
      <c r="BD33" s="26" t="s">
        <v>18</v>
      </c>
      <c r="BE33" s="30">
        <v>7.5</v>
      </c>
      <c r="BF33" s="1">
        <f t="shared" si="0"/>
        <v>0</v>
      </c>
      <c r="BG33" s="1">
        <f t="shared" si="1"/>
        <v>0</v>
      </c>
      <c r="BH33" s="1">
        <f t="shared" si="2"/>
        <v>0</v>
      </c>
      <c r="BI33" s="1">
        <f t="shared" si="3"/>
        <v>0</v>
      </c>
      <c r="BJ33" s="1">
        <f t="shared" si="4"/>
        <v>2</v>
      </c>
      <c r="BK33" s="1">
        <f t="shared" si="5"/>
        <v>0</v>
      </c>
      <c r="BL33" s="1">
        <f t="shared" si="6"/>
        <v>0</v>
      </c>
      <c r="BN33" s="1">
        <f t="shared" si="7"/>
        <v>16</v>
      </c>
      <c r="BO33" s="1">
        <f t="shared" si="8"/>
        <v>15</v>
      </c>
      <c r="BP33" s="1">
        <f t="shared" si="9"/>
        <v>11</v>
      </c>
      <c r="BQ33" s="1">
        <f t="shared" si="10"/>
        <v>6</v>
      </c>
      <c r="BR33" s="1">
        <f>COUNTIF($G33:$BD33, "P_D")</f>
        <v>0</v>
      </c>
    </row>
    <row r="34" spans="1:70" x14ac:dyDescent="0.3">
      <c r="A34" s="56">
        <v>180</v>
      </c>
      <c r="B34" s="56">
        <v>9</v>
      </c>
      <c r="C34" s="24">
        <v>44741.208333333336</v>
      </c>
      <c r="D34" s="33">
        <f t="shared" si="15"/>
        <v>0.25</v>
      </c>
      <c r="E34" s="64">
        <f t="shared" si="14"/>
        <v>7.75</v>
      </c>
      <c r="F34" s="61">
        <f t="shared" si="12"/>
        <v>7.75</v>
      </c>
      <c r="G34" s="26" t="s">
        <v>17</v>
      </c>
      <c r="H34" s="26" t="s">
        <v>17</v>
      </c>
      <c r="I34" s="26" t="s">
        <v>18</v>
      </c>
      <c r="J34" s="26" t="s">
        <v>22</v>
      </c>
      <c r="K34" s="26" t="s">
        <v>17</v>
      </c>
      <c r="L34" s="26" t="s">
        <v>18</v>
      </c>
      <c r="M34" s="26" t="s">
        <v>22</v>
      </c>
      <c r="N34" s="26" t="s">
        <v>28</v>
      </c>
      <c r="O34" s="26" t="s">
        <v>17</v>
      </c>
      <c r="P34" s="26" t="s">
        <v>18</v>
      </c>
      <c r="Q34" s="26" t="s">
        <v>28</v>
      </c>
      <c r="R34" s="26" t="s">
        <v>22</v>
      </c>
      <c r="S34" s="26" t="s">
        <v>17</v>
      </c>
      <c r="T34" s="26" t="s">
        <v>17</v>
      </c>
      <c r="U34" s="26" t="s">
        <v>22</v>
      </c>
      <c r="V34" s="26" t="s">
        <v>22</v>
      </c>
      <c r="W34" s="26" t="s">
        <v>17</v>
      </c>
      <c r="X34" s="26" t="s">
        <v>17</v>
      </c>
      <c r="Y34" s="26" t="s">
        <v>22</v>
      </c>
      <c r="Z34" s="26" t="s">
        <v>11</v>
      </c>
      <c r="AA34" s="26" t="s">
        <v>17</v>
      </c>
      <c r="AB34" s="26" t="s">
        <v>17</v>
      </c>
      <c r="AC34" s="26" t="s">
        <v>11</v>
      </c>
      <c r="AD34" s="26" t="s">
        <v>28</v>
      </c>
      <c r="AE34" s="26" t="s">
        <v>17</v>
      </c>
      <c r="AF34" s="26" t="s">
        <v>18</v>
      </c>
      <c r="AG34" s="26" t="s">
        <v>18</v>
      </c>
      <c r="AH34" s="26" t="s">
        <v>28</v>
      </c>
      <c r="AI34" s="26" t="s">
        <v>28</v>
      </c>
      <c r="AJ34" s="26" t="s">
        <v>22</v>
      </c>
      <c r="AK34" s="26" t="s">
        <v>18</v>
      </c>
      <c r="AL34" s="26" t="s">
        <v>18</v>
      </c>
      <c r="AM34" s="26" t="s">
        <v>18</v>
      </c>
      <c r="AN34" s="26" t="s">
        <v>18</v>
      </c>
      <c r="AO34" s="26" t="s">
        <v>28</v>
      </c>
      <c r="AP34" s="26" t="s">
        <v>22</v>
      </c>
      <c r="AQ34" s="26" t="s">
        <v>17</v>
      </c>
      <c r="AR34" s="26" t="s">
        <v>17</v>
      </c>
      <c r="AS34" s="26" t="s">
        <v>18</v>
      </c>
      <c r="AT34" s="26" t="s">
        <v>18</v>
      </c>
      <c r="AU34" s="26" t="s">
        <v>17</v>
      </c>
      <c r="AV34" s="26" t="s">
        <v>17</v>
      </c>
      <c r="AW34" s="26" t="s">
        <v>18</v>
      </c>
      <c r="AX34" s="26" t="s">
        <v>22</v>
      </c>
      <c r="AY34" s="26" t="s">
        <v>17</v>
      </c>
      <c r="AZ34" s="26" t="s">
        <v>18</v>
      </c>
      <c r="BA34" s="26" t="s">
        <v>22</v>
      </c>
      <c r="BB34" s="26" t="s">
        <v>18</v>
      </c>
      <c r="BC34" s="26" t="s">
        <v>22</v>
      </c>
      <c r="BD34" s="26" t="s">
        <v>18</v>
      </c>
      <c r="BE34" s="30">
        <v>7.75</v>
      </c>
      <c r="BF34" s="1">
        <f t="shared" si="0"/>
        <v>0</v>
      </c>
      <c r="BG34" s="1">
        <f t="shared" si="1"/>
        <v>0</v>
      </c>
      <c r="BH34" s="1">
        <f t="shared" si="2"/>
        <v>0</v>
      </c>
      <c r="BI34" s="1">
        <f t="shared" si="3"/>
        <v>0</v>
      </c>
      <c r="BJ34" s="1">
        <f t="shared" si="4"/>
        <v>2</v>
      </c>
      <c r="BK34" s="1">
        <f t="shared" si="5"/>
        <v>0</v>
      </c>
      <c r="BL34" s="1">
        <f t="shared" si="6"/>
        <v>0</v>
      </c>
      <c r="BN34" s="1">
        <f t="shared" si="7"/>
        <v>16</v>
      </c>
      <c r="BO34" s="1">
        <f t="shared" si="8"/>
        <v>15</v>
      </c>
      <c r="BP34" s="1">
        <f t="shared" si="9"/>
        <v>11</v>
      </c>
      <c r="BQ34" s="1">
        <f t="shared" si="10"/>
        <v>6</v>
      </c>
      <c r="BR34" s="1">
        <f t="shared" ref="BR34:BR37" si="16">COUNTIF($G34:$BD34, "P_D")</f>
        <v>0</v>
      </c>
    </row>
    <row r="35" spans="1:70" x14ac:dyDescent="0.3">
      <c r="A35" s="56">
        <v>180</v>
      </c>
      <c r="B35" s="56">
        <v>9</v>
      </c>
      <c r="C35" s="24">
        <v>44741.458333333336</v>
      </c>
      <c r="D35" s="33">
        <f t="shared" si="15"/>
        <v>0.25</v>
      </c>
      <c r="E35" s="64">
        <f t="shared" si="14"/>
        <v>8</v>
      </c>
      <c r="F35" s="61">
        <f t="shared" si="12"/>
        <v>8</v>
      </c>
      <c r="G35" s="26" t="s">
        <v>17</v>
      </c>
      <c r="H35" s="26" t="s">
        <v>17</v>
      </c>
      <c r="I35" s="26" t="s">
        <v>18</v>
      </c>
      <c r="J35" s="26" t="s">
        <v>22</v>
      </c>
      <c r="K35" s="26" t="s">
        <v>17</v>
      </c>
      <c r="L35" s="26" t="s">
        <v>18</v>
      </c>
      <c r="M35" s="26" t="s">
        <v>22</v>
      </c>
      <c r="N35" s="26" t="s">
        <v>28</v>
      </c>
      <c r="O35" s="26" t="s">
        <v>17</v>
      </c>
      <c r="P35" s="26" t="s">
        <v>18</v>
      </c>
      <c r="Q35" s="26" t="s">
        <v>28</v>
      </c>
      <c r="R35" s="26" t="s">
        <v>22</v>
      </c>
      <c r="S35" s="26" t="s">
        <v>17</v>
      </c>
      <c r="T35" s="26" t="s">
        <v>17</v>
      </c>
      <c r="U35" s="26" t="s">
        <v>22</v>
      </c>
      <c r="V35" s="26" t="s">
        <v>22</v>
      </c>
      <c r="W35" s="26" t="s">
        <v>17</v>
      </c>
      <c r="X35" s="26" t="s">
        <v>17</v>
      </c>
      <c r="Y35" s="26" t="s">
        <v>22</v>
      </c>
      <c r="Z35" s="26" t="s">
        <v>11</v>
      </c>
      <c r="AA35" s="26" t="s">
        <v>17</v>
      </c>
      <c r="AB35" s="26" t="s">
        <v>17</v>
      </c>
      <c r="AC35" s="26" t="s">
        <v>11</v>
      </c>
      <c r="AD35" s="26" t="s">
        <v>28</v>
      </c>
      <c r="AE35" s="26" t="s">
        <v>17</v>
      </c>
      <c r="AF35" s="26" t="s">
        <v>18</v>
      </c>
      <c r="AG35" s="26" t="s">
        <v>18</v>
      </c>
      <c r="AH35" s="26" t="s">
        <v>28</v>
      </c>
      <c r="AI35" s="26" t="s">
        <v>28</v>
      </c>
      <c r="AJ35" s="26" t="s">
        <v>22</v>
      </c>
      <c r="AK35" s="26" t="s">
        <v>18</v>
      </c>
      <c r="AL35" s="26" t="s">
        <v>18</v>
      </c>
      <c r="AM35" s="26" t="s">
        <v>18</v>
      </c>
      <c r="AN35" s="26" t="s">
        <v>18</v>
      </c>
      <c r="AO35" s="26" t="s">
        <v>28</v>
      </c>
      <c r="AP35" s="26" t="s">
        <v>22</v>
      </c>
      <c r="AQ35" s="26" t="s">
        <v>17</v>
      </c>
      <c r="AR35" s="26" t="s">
        <v>17</v>
      </c>
      <c r="AS35" s="26" t="s">
        <v>18</v>
      </c>
      <c r="AT35" s="26" t="s">
        <v>18</v>
      </c>
      <c r="AU35" s="26" t="s">
        <v>17</v>
      </c>
      <c r="AV35" s="26" t="s">
        <v>17</v>
      </c>
      <c r="AW35" s="26" t="s">
        <v>18</v>
      </c>
      <c r="AX35" s="26" t="s">
        <v>22</v>
      </c>
      <c r="AY35" s="26" t="s">
        <v>17</v>
      </c>
      <c r="AZ35" s="26" t="s">
        <v>18</v>
      </c>
      <c r="BA35" s="26" t="s">
        <v>22</v>
      </c>
      <c r="BB35" s="26" t="s">
        <v>18</v>
      </c>
      <c r="BC35" s="26" t="s">
        <v>22</v>
      </c>
      <c r="BD35" s="26" t="s">
        <v>18</v>
      </c>
      <c r="BE35" s="30">
        <v>8</v>
      </c>
      <c r="BF35" s="1">
        <f t="shared" si="0"/>
        <v>0</v>
      </c>
      <c r="BG35" s="1">
        <f t="shared" si="1"/>
        <v>0</v>
      </c>
      <c r="BH35" s="1">
        <f t="shared" si="2"/>
        <v>0</v>
      </c>
      <c r="BI35" s="1">
        <f t="shared" si="3"/>
        <v>0</v>
      </c>
      <c r="BJ35" s="1">
        <f t="shared" si="4"/>
        <v>2</v>
      </c>
      <c r="BK35" s="1">
        <f t="shared" si="5"/>
        <v>0</v>
      </c>
      <c r="BL35" s="1">
        <f t="shared" si="6"/>
        <v>0</v>
      </c>
      <c r="BN35" s="1">
        <f t="shared" si="7"/>
        <v>16</v>
      </c>
      <c r="BO35" s="1">
        <f t="shared" si="8"/>
        <v>15</v>
      </c>
      <c r="BP35" s="1">
        <f t="shared" si="9"/>
        <v>11</v>
      </c>
      <c r="BQ35" s="1">
        <f t="shared" si="10"/>
        <v>6</v>
      </c>
      <c r="BR35" s="1">
        <f t="shared" si="16"/>
        <v>0</v>
      </c>
    </row>
    <row r="36" spans="1:70" x14ac:dyDescent="0.3">
      <c r="A36" s="56">
        <v>180</v>
      </c>
      <c r="B36" s="56">
        <v>9</v>
      </c>
      <c r="C36" s="24">
        <v>44741.708333333336</v>
      </c>
      <c r="D36" s="33">
        <f t="shared" si="15"/>
        <v>0.25</v>
      </c>
      <c r="E36" s="64">
        <f t="shared" si="14"/>
        <v>8.25</v>
      </c>
      <c r="F36" s="61">
        <f t="shared" si="12"/>
        <v>8.25</v>
      </c>
      <c r="G36" s="26" t="s">
        <v>17</v>
      </c>
      <c r="H36" s="26" t="s">
        <v>17</v>
      </c>
      <c r="I36" s="26" t="s">
        <v>18</v>
      </c>
      <c r="J36" s="26" t="s">
        <v>22</v>
      </c>
      <c r="K36" s="26" t="s">
        <v>17</v>
      </c>
      <c r="L36" s="26" t="s">
        <v>18</v>
      </c>
      <c r="M36" s="26" t="s">
        <v>22</v>
      </c>
      <c r="N36" s="26" t="s">
        <v>28</v>
      </c>
      <c r="O36" s="26" t="s">
        <v>17</v>
      </c>
      <c r="P36" s="26" t="s">
        <v>18</v>
      </c>
      <c r="Q36" s="26" t="s">
        <v>28</v>
      </c>
      <c r="R36" s="26" t="s">
        <v>22</v>
      </c>
      <c r="S36" s="26" t="s">
        <v>17</v>
      </c>
      <c r="T36" s="26" t="s">
        <v>17</v>
      </c>
      <c r="U36" s="26" t="s">
        <v>22</v>
      </c>
      <c r="V36" s="26" t="s">
        <v>22</v>
      </c>
      <c r="W36" s="26" t="s">
        <v>17</v>
      </c>
      <c r="X36" s="26" t="s">
        <v>17</v>
      </c>
      <c r="Y36" s="26" t="s">
        <v>22</v>
      </c>
      <c r="Z36" s="26" t="s">
        <v>11</v>
      </c>
      <c r="AA36" s="26" t="s">
        <v>17</v>
      </c>
      <c r="AB36" s="26" t="s">
        <v>17</v>
      </c>
      <c r="AC36" s="26" t="s">
        <v>11</v>
      </c>
      <c r="AD36" s="26" t="s">
        <v>28</v>
      </c>
      <c r="AE36" s="26" t="s">
        <v>17</v>
      </c>
      <c r="AF36" s="26" t="s">
        <v>18</v>
      </c>
      <c r="AG36" s="26" t="s">
        <v>18</v>
      </c>
      <c r="AH36" s="26" t="s">
        <v>28</v>
      </c>
      <c r="AI36" s="26" t="s">
        <v>28</v>
      </c>
      <c r="AJ36" s="26" t="s">
        <v>22</v>
      </c>
      <c r="AK36" s="26" t="s">
        <v>18</v>
      </c>
      <c r="AL36" s="26" t="s">
        <v>18</v>
      </c>
      <c r="AM36" s="26" t="s">
        <v>18</v>
      </c>
      <c r="AN36" s="26" t="s">
        <v>18</v>
      </c>
      <c r="AO36" s="26" t="s">
        <v>28</v>
      </c>
      <c r="AP36" s="26" t="s">
        <v>22</v>
      </c>
      <c r="AQ36" s="26" t="s">
        <v>17</v>
      </c>
      <c r="AR36" s="26" t="s">
        <v>17</v>
      </c>
      <c r="AS36" s="26" t="s">
        <v>18</v>
      </c>
      <c r="AT36" s="26" t="s">
        <v>18</v>
      </c>
      <c r="AU36" s="26" t="s">
        <v>17</v>
      </c>
      <c r="AV36" s="26" t="s">
        <v>17</v>
      </c>
      <c r="AW36" s="26" t="s">
        <v>18</v>
      </c>
      <c r="AX36" s="26" t="s">
        <v>22</v>
      </c>
      <c r="AY36" s="26" t="s">
        <v>17</v>
      </c>
      <c r="AZ36" s="26" t="s">
        <v>18</v>
      </c>
      <c r="BA36" s="26" t="s">
        <v>22</v>
      </c>
      <c r="BB36" s="26" t="s">
        <v>18</v>
      </c>
      <c r="BC36" s="26" t="s">
        <v>22</v>
      </c>
      <c r="BD36" s="26" t="s">
        <v>18</v>
      </c>
      <c r="BE36" s="30">
        <v>8.25</v>
      </c>
      <c r="BF36" s="1">
        <f t="shared" si="0"/>
        <v>0</v>
      </c>
      <c r="BG36" s="1">
        <f t="shared" si="1"/>
        <v>0</v>
      </c>
      <c r="BH36" s="1">
        <f t="shared" si="2"/>
        <v>0</v>
      </c>
      <c r="BI36" s="1">
        <f t="shared" si="3"/>
        <v>0</v>
      </c>
      <c r="BJ36" s="1">
        <f t="shared" si="4"/>
        <v>2</v>
      </c>
      <c r="BK36" s="1">
        <f t="shared" si="5"/>
        <v>0</v>
      </c>
      <c r="BL36" s="1">
        <f t="shared" si="6"/>
        <v>0</v>
      </c>
      <c r="BN36" s="1">
        <f t="shared" si="7"/>
        <v>16</v>
      </c>
      <c r="BO36" s="1">
        <f t="shared" si="8"/>
        <v>15</v>
      </c>
      <c r="BP36" s="1">
        <f t="shared" si="9"/>
        <v>11</v>
      </c>
      <c r="BQ36" s="1">
        <f t="shared" si="10"/>
        <v>6</v>
      </c>
      <c r="BR36" s="1">
        <f t="shared" si="16"/>
        <v>0</v>
      </c>
    </row>
    <row r="37" spans="1:70" x14ac:dyDescent="0.3">
      <c r="A37" s="56">
        <v>180</v>
      </c>
      <c r="B37" s="56">
        <v>9</v>
      </c>
      <c r="C37" s="24">
        <v>44741.958333333336</v>
      </c>
      <c r="D37" s="33">
        <f t="shared" si="15"/>
        <v>0.25</v>
      </c>
      <c r="E37" s="64">
        <f t="shared" si="14"/>
        <v>8.5</v>
      </c>
      <c r="F37" s="61">
        <f>D37+F36</f>
        <v>8.5</v>
      </c>
      <c r="G37" s="26" t="s">
        <v>17</v>
      </c>
      <c r="H37" s="26" t="s">
        <v>17</v>
      </c>
      <c r="I37" s="26" t="s">
        <v>18</v>
      </c>
      <c r="J37" s="26" t="s">
        <v>22</v>
      </c>
      <c r="K37" s="26" t="s">
        <v>17</v>
      </c>
      <c r="L37" s="26" t="s">
        <v>18</v>
      </c>
      <c r="M37" s="26" t="s">
        <v>22</v>
      </c>
      <c r="N37" s="26" t="s">
        <v>28</v>
      </c>
      <c r="O37" s="26" t="s">
        <v>17</v>
      </c>
      <c r="P37" s="26" t="s">
        <v>18</v>
      </c>
      <c r="Q37" s="26" t="s">
        <v>28</v>
      </c>
      <c r="R37" s="26" t="s">
        <v>22</v>
      </c>
      <c r="S37" s="26" t="s">
        <v>17</v>
      </c>
      <c r="T37" s="26" t="s">
        <v>17</v>
      </c>
      <c r="U37" s="26" t="s">
        <v>22</v>
      </c>
      <c r="V37" s="26" t="s">
        <v>22</v>
      </c>
      <c r="W37" s="26" t="s">
        <v>17</v>
      </c>
      <c r="X37" s="26" t="s">
        <v>17</v>
      </c>
      <c r="Y37" s="26" t="s">
        <v>22</v>
      </c>
      <c r="Z37" s="26" t="s">
        <v>26</v>
      </c>
      <c r="AA37" s="26" t="s">
        <v>17</v>
      </c>
      <c r="AB37" s="26" t="s">
        <v>17</v>
      </c>
      <c r="AC37" s="26" t="s">
        <v>26</v>
      </c>
      <c r="AD37" s="26" t="s">
        <v>28</v>
      </c>
      <c r="AE37" s="26" t="s">
        <v>17</v>
      </c>
      <c r="AF37" s="26" t="s">
        <v>18</v>
      </c>
      <c r="AG37" s="26" t="s">
        <v>18</v>
      </c>
      <c r="AH37" s="26" t="s">
        <v>28</v>
      </c>
      <c r="AI37" s="26" t="s">
        <v>28</v>
      </c>
      <c r="AJ37" s="26" t="s">
        <v>22</v>
      </c>
      <c r="AK37" s="26" t="s">
        <v>18</v>
      </c>
      <c r="AL37" s="26" t="s">
        <v>18</v>
      </c>
      <c r="AM37" s="26" t="s">
        <v>18</v>
      </c>
      <c r="AN37" s="26" t="s">
        <v>18</v>
      </c>
      <c r="AO37" s="26" t="s">
        <v>28</v>
      </c>
      <c r="AP37" s="26" t="s">
        <v>22</v>
      </c>
      <c r="AQ37" s="26" t="s">
        <v>17</v>
      </c>
      <c r="AR37" s="26" t="s">
        <v>17</v>
      </c>
      <c r="AS37" s="26" t="s">
        <v>18</v>
      </c>
      <c r="AT37" s="26" t="s">
        <v>18</v>
      </c>
      <c r="AU37" s="26" t="s">
        <v>17</v>
      </c>
      <c r="AV37" s="26" t="s">
        <v>17</v>
      </c>
      <c r="AW37" s="26" t="s">
        <v>18</v>
      </c>
      <c r="AX37" s="26" t="s">
        <v>22</v>
      </c>
      <c r="AY37" s="26" t="s">
        <v>17</v>
      </c>
      <c r="AZ37" s="26" t="s">
        <v>18</v>
      </c>
      <c r="BA37" s="26" t="s">
        <v>22</v>
      </c>
      <c r="BB37" s="26" t="s">
        <v>18</v>
      </c>
      <c r="BC37" s="26" t="s">
        <v>22</v>
      </c>
      <c r="BD37" s="26" t="s">
        <v>18</v>
      </c>
      <c r="BE37" s="30">
        <v>8.5</v>
      </c>
      <c r="BF37" s="1">
        <f t="shared" si="0"/>
        <v>0</v>
      </c>
      <c r="BG37" s="1">
        <f t="shared" si="1"/>
        <v>0</v>
      </c>
      <c r="BH37" s="1">
        <f t="shared" si="2"/>
        <v>0</v>
      </c>
      <c r="BI37" s="1">
        <f t="shared" si="3"/>
        <v>0</v>
      </c>
      <c r="BJ37" s="1">
        <f t="shared" si="4"/>
        <v>0</v>
      </c>
      <c r="BK37" s="1">
        <f t="shared" si="5"/>
        <v>0</v>
      </c>
      <c r="BL37" s="1">
        <f t="shared" si="6"/>
        <v>0</v>
      </c>
      <c r="BN37" s="1">
        <f t="shared" si="7"/>
        <v>16</v>
      </c>
      <c r="BO37" s="1">
        <f t="shared" si="8"/>
        <v>15</v>
      </c>
      <c r="BP37" s="1">
        <f t="shared" si="9"/>
        <v>11</v>
      </c>
      <c r="BQ37" s="1">
        <f t="shared" si="10"/>
        <v>6</v>
      </c>
      <c r="BR37" s="1">
        <f>COUNTIF($G37:$BD37, "P_D")</f>
        <v>2</v>
      </c>
    </row>
    <row r="38" spans="1:70" x14ac:dyDescent="0.3">
      <c r="A38" s="56"/>
      <c r="B38" s="56"/>
      <c r="C38" s="24"/>
      <c r="D38" s="33"/>
      <c r="E38" s="64"/>
      <c r="F38" s="53"/>
    </row>
    <row r="39" spans="1:70" x14ac:dyDescent="0.3">
      <c r="A39" s="56"/>
      <c r="B39" s="56"/>
      <c r="C39" s="24"/>
      <c r="D39" s="33"/>
      <c r="E39" s="64"/>
      <c r="F39" s="53"/>
    </row>
    <row r="40" spans="1:70" x14ac:dyDescent="0.3">
      <c r="A40" s="56"/>
      <c r="B40" s="56"/>
      <c r="C40" s="24"/>
      <c r="D40" s="33"/>
      <c r="E40" s="64"/>
      <c r="F40" s="53"/>
    </row>
    <row r="41" spans="1:70" x14ac:dyDescent="0.3">
      <c r="A41" s="56"/>
      <c r="B41" s="56"/>
      <c r="C41" s="24"/>
      <c r="D41" s="33"/>
      <c r="E41" s="64"/>
      <c r="F41" s="53"/>
    </row>
    <row r="42" spans="1:70" x14ac:dyDescent="0.3">
      <c r="A42" s="56"/>
      <c r="B42" s="56"/>
      <c r="C42" s="24"/>
      <c r="D42" s="33"/>
      <c r="E42" s="64"/>
      <c r="F42" s="53"/>
    </row>
    <row r="43" spans="1:70" x14ac:dyDescent="0.3">
      <c r="A43" s="56"/>
      <c r="B43" s="56"/>
      <c r="C43" s="24"/>
      <c r="D43" s="33"/>
      <c r="E43" s="64"/>
      <c r="F43" s="53"/>
    </row>
    <row r="44" spans="1:70" x14ac:dyDescent="0.3">
      <c r="A44" s="56"/>
      <c r="B44" s="56"/>
      <c r="C44" s="24"/>
      <c r="D44" s="33"/>
      <c r="E44" s="64"/>
      <c r="F44" s="53"/>
    </row>
    <row r="45" spans="1:70" x14ac:dyDescent="0.3">
      <c r="A45" s="56"/>
      <c r="B45" s="56"/>
      <c r="C45" s="24"/>
      <c r="D45" s="33"/>
      <c r="E45" s="64"/>
      <c r="F45" s="53"/>
    </row>
    <row r="46" spans="1:70" x14ac:dyDescent="0.3">
      <c r="A46" s="56"/>
      <c r="B46" s="56"/>
      <c r="C46" s="24"/>
      <c r="D46" s="33"/>
      <c r="E46" s="64"/>
      <c r="F46" s="53"/>
    </row>
    <row r="47" spans="1:70" x14ac:dyDescent="0.3">
      <c r="A47" s="56"/>
      <c r="B47" s="56"/>
      <c r="C47" s="24"/>
      <c r="D47" s="33"/>
      <c r="E47" s="64"/>
      <c r="F47" s="53"/>
    </row>
    <row r="48" spans="1:70" x14ac:dyDescent="0.3">
      <c r="A48" s="56"/>
      <c r="B48" s="56"/>
      <c r="C48" s="24"/>
      <c r="D48" s="33"/>
      <c r="E48" s="64"/>
      <c r="F48" s="53"/>
    </row>
    <row r="49" spans="1:6" x14ac:dyDescent="0.3">
      <c r="A49" s="56"/>
      <c r="B49" s="56"/>
      <c r="C49" s="24"/>
      <c r="D49" s="33"/>
      <c r="E49" s="64"/>
      <c r="F49" s="53"/>
    </row>
    <row r="50" spans="1:6" x14ac:dyDescent="0.3">
      <c r="A50" s="56"/>
      <c r="B50" s="56"/>
      <c r="C50" s="24"/>
      <c r="D50" s="33"/>
      <c r="E50" s="64"/>
      <c r="F50" s="53"/>
    </row>
    <row r="51" spans="1:6" x14ac:dyDescent="0.3">
      <c r="A51" s="56"/>
      <c r="B51" s="56"/>
      <c r="C51" s="24"/>
      <c r="D51" s="33"/>
      <c r="E51" s="64"/>
      <c r="F51" s="53"/>
    </row>
    <row r="52" spans="1:6" x14ac:dyDescent="0.3">
      <c r="A52" s="56"/>
      <c r="B52" s="56"/>
      <c r="C52" s="24"/>
      <c r="D52" s="33"/>
      <c r="E52" s="64"/>
      <c r="F52" s="53"/>
    </row>
    <row r="53" spans="1:6" x14ac:dyDescent="0.3">
      <c r="A53" s="56"/>
      <c r="B53" s="56"/>
      <c r="C53" s="24"/>
      <c r="D53" s="33"/>
      <c r="E53" s="64"/>
      <c r="F53" s="53"/>
    </row>
    <row r="54" spans="1:6" x14ac:dyDescent="0.3">
      <c r="A54" s="56"/>
      <c r="B54" s="56"/>
      <c r="C54" s="24"/>
      <c r="D54" s="33"/>
      <c r="E54" s="64"/>
      <c r="F54" s="53"/>
    </row>
    <row r="55" spans="1:6" x14ac:dyDescent="0.3">
      <c r="A55" s="56"/>
      <c r="B55" s="56"/>
      <c r="C55" s="24"/>
      <c r="D55" s="33"/>
      <c r="E55" s="64"/>
      <c r="F55" s="53"/>
    </row>
    <row r="56" spans="1:6" x14ac:dyDescent="0.3">
      <c r="A56" s="56"/>
      <c r="B56" s="56"/>
      <c r="C56" s="24"/>
      <c r="D56" s="33"/>
      <c r="E56" s="64"/>
      <c r="F56" s="53"/>
    </row>
    <row r="57" spans="1:6" x14ac:dyDescent="0.3">
      <c r="A57" s="56"/>
      <c r="B57" s="56"/>
      <c r="C57" s="24"/>
      <c r="D57" s="33"/>
      <c r="E57" s="64"/>
      <c r="F57" s="53"/>
    </row>
    <row r="58" spans="1:6" x14ac:dyDescent="0.3">
      <c r="A58" s="56"/>
      <c r="B58" s="56"/>
      <c r="C58" s="24"/>
      <c r="D58" s="33"/>
      <c r="E58" s="64"/>
      <c r="F58" s="53"/>
    </row>
  </sheetData>
  <mergeCells count="7">
    <mergeCell ref="F1:F2"/>
    <mergeCell ref="G1:BD2"/>
    <mergeCell ref="A1:A2"/>
    <mergeCell ref="B1:B2"/>
    <mergeCell ref="C1:C2"/>
    <mergeCell ref="D1:D2"/>
    <mergeCell ref="E1:E2"/>
  </mergeCells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CFCC-3F1A-4CA2-A003-CC978AEB94AA}">
  <dimension ref="A1:BR43"/>
  <sheetViews>
    <sheetView topLeftCell="AR1" zoomScale="85" zoomScaleNormal="85" workbookViewId="0">
      <selection activeCell="BE3" sqref="BE3:BE41"/>
    </sheetView>
  </sheetViews>
  <sheetFormatPr defaultRowHeight="14.4" x14ac:dyDescent="0.3"/>
  <cols>
    <col min="3" max="3" width="14.6640625" bestFit="1" customWidth="1"/>
    <col min="4" max="4" width="12.88671875" customWidth="1"/>
    <col min="5" max="5" width="19.5546875" customWidth="1"/>
    <col min="6" max="6" width="10.21875" bestFit="1" customWidth="1"/>
  </cols>
  <sheetData>
    <row r="1" spans="1:70" x14ac:dyDescent="0.3">
      <c r="A1" s="73" t="s">
        <v>0</v>
      </c>
      <c r="B1" s="75" t="s">
        <v>29</v>
      </c>
      <c r="C1" s="76" t="s">
        <v>1</v>
      </c>
      <c r="D1" s="77" t="s">
        <v>23</v>
      </c>
      <c r="E1" s="77" t="s">
        <v>24</v>
      </c>
      <c r="F1" s="78" t="s">
        <v>3</v>
      </c>
      <c r="G1" s="80" t="s">
        <v>12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62"/>
      <c r="BF1" s="50" t="s">
        <v>15</v>
      </c>
      <c r="BG1" s="27"/>
      <c r="BH1" s="27"/>
      <c r="BI1" s="27"/>
      <c r="BJ1" s="27"/>
      <c r="BK1" s="27"/>
      <c r="BL1" s="27"/>
      <c r="BN1" s="27" t="s">
        <v>16</v>
      </c>
      <c r="BO1" s="27"/>
      <c r="BP1" s="27"/>
      <c r="BQ1" s="27"/>
      <c r="BR1" s="27"/>
    </row>
    <row r="2" spans="1:70" x14ac:dyDescent="0.3">
      <c r="A2" s="73"/>
      <c r="B2" s="75"/>
      <c r="C2" s="76"/>
      <c r="D2" s="77"/>
      <c r="E2" s="77"/>
      <c r="F2" s="78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62" t="s">
        <v>50</v>
      </c>
      <c r="BF2" s="22" t="s">
        <v>9</v>
      </c>
      <c r="BG2" s="23" t="s">
        <v>5</v>
      </c>
      <c r="BH2" s="16" t="s">
        <v>8</v>
      </c>
      <c r="BI2" s="17" t="s">
        <v>10</v>
      </c>
      <c r="BJ2" s="18" t="s">
        <v>11</v>
      </c>
      <c r="BK2" s="19" t="s">
        <v>13</v>
      </c>
      <c r="BL2" s="20" t="s">
        <v>14</v>
      </c>
      <c r="BN2" s="22" t="s">
        <v>9</v>
      </c>
      <c r="BO2" s="23" t="s">
        <v>5</v>
      </c>
      <c r="BP2" s="16" t="s">
        <v>8</v>
      </c>
      <c r="BQ2" s="17" t="s">
        <v>10</v>
      </c>
      <c r="BR2" s="18" t="s">
        <v>11</v>
      </c>
    </row>
    <row r="3" spans="1:70" x14ac:dyDescent="0.3">
      <c r="A3" s="56">
        <v>160</v>
      </c>
      <c r="B3" s="56">
        <v>1</v>
      </c>
      <c r="C3" s="24">
        <v>44721.729166666664</v>
      </c>
      <c r="D3" s="33">
        <v>0</v>
      </c>
      <c r="E3" s="64">
        <v>0</v>
      </c>
      <c r="F3" s="40">
        <v>0</v>
      </c>
      <c r="G3" s="26" t="s">
        <v>4</v>
      </c>
      <c r="H3" s="26" t="s">
        <v>4</v>
      </c>
      <c r="I3" s="26" t="s">
        <v>4</v>
      </c>
      <c r="J3" s="26" t="s">
        <v>4</v>
      </c>
      <c r="K3" s="26" t="s">
        <v>4</v>
      </c>
      <c r="L3" s="26" t="s">
        <v>4</v>
      </c>
      <c r="M3" s="26" t="s">
        <v>4</v>
      </c>
      <c r="N3" s="26" t="s">
        <v>4</v>
      </c>
      <c r="O3" s="26" t="s">
        <v>4</v>
      </c>
      <c r="P3" s="26" t="s">
        <v>4</v>
      </c>
      <c r="Q3" s="26" t="s">
        <v>4</v>
      </c>
      <c r="R3" s="26" t="s">
        <v>4</v>
      </c>
      <c r="S3" s="26" t="s">
        <v>4</v>
      </c>
      <c r="T3" s="26" t="s">
        <v>4</v>
      </c>
      <c r="U3" s="26" t="s">
        <v>4</v>
      </c>
      <c r="V3" s="26" t="s">
        <v>4</v>
      </c>
      <c r="W3" s="26" t="s">
        <v>4</v>
      </c>
      <c r="X3" s="26" t="s">
        <v>4</v>
      </c>
      <c r="Y3" s="26" t="s">
        <v>4</v>
      </c>
      <c r="Z3" s="26" t="s">
        <v>4</v>
      </c>
      <c r="AA3" s="26" t="s">
        <v>4</v>
      </c>
      <c r="AB3" s="26" t="s">
        <v>4</v>
      </c>
      <c r="AC3" s="26" t="s">
        <v>4</v>
      </c>
      <c r="AD3" s="26" t="s">
        <v>4</v>
      </c>
      <c r="AE3" s="26" t="s">
        <v>4</v>
      </c>
      <c r="AF3" s="26" t="s">
        <v>4</v>
      </c>
      <c r="AG3" s="26" t="s">
        <v>4</v>
      </c>
      <c r="AH3" s="26" t="s">
        <v>4</v>
      </c>
      <c r="AI3" s="26" t="s">
        <v>4</v>
      </c>
      <c r="AJ3" s="26" t="s">
        <v>4</v>
      </c>
      <c r="AK3" s="26" t="s">
        <v>4</v>
      </c>
      <c r="AL3" s="26" t="s">
        <v>4</v>
      </c>
      <c r="AM3" s="26" t="s">
        <v>4</v>
      </c>
      <c r="AN3" s="26" t="s">
        <v>4</v>
      </c>
      <c r="AO3" s="26" t="s">
        <v>4</v>
      </c>
      <c r="AP3" s="26" t="s">
        <v>4</v>
      </c>
      <c r="AQ3" s="26" t="s">
        <v>4</v>
      </c>
      <c r="AR3" s="26" t="s">
        <v>4</v>
      </c>
      <c r="AS3" s="26" t="s">
        <v>4</v>
      </c>
      <c r="AT3" s="26" t="s">
        <v>4</v>
      </c>
      <c r="AU3" s="26" t="s">
        <v>4</v>
      </c>
      <c r="AV3" s="26" t="s">
        <v>4</v>
      </c>
      <c r="AW3" s="26" t="s">
        <v>4</v>
      </c>
      <c r="AX3" s="26" t="s">
        <v>4</v>
      </c>
      <c r="AY3" s="26" t="s">
        <v>4</v>
      </c>
      <c r="AZ3" s="26" t="s">
        <v>4</v>
      </c>
      <c r="BA3" s="26" t="s">
        <v>4</v>
      </c>
      <c r="BB3" s="26" t="s">
        <v>4</v>
      </c>
      <c r="BC3" s="26" t="s">
        <v>4</v>
      </c>
      <c r="BD3" s="26" t="s">
        <v>4</v>
      </c>
      <c r="BE3" s="30">
        <v>0</v>
      </c>
      <c r="BF3" s="1">
        <f>COUNTIF($G3:$BD3, "E")</f>
        <v>50</v>
      </c>
      <c r="BG3" s="1">
        <f>COUNTIF($G3:$BD3, "L1")</f>
        <v>0</v>
      </c>
      <c r="BH3" s="1">
        <f>COUNTIF($G3:$BD3, "L2")</f>
        <v>0</v>
      </c>
      <c r="BI3" s="1">
        <f>COUNTIF($G3:$BD3, "L3")</f>
        <v>0</v>
      </c>
      <c r="BJ3" s="1">
        <f>COUNTIF($G3:$BD3, "P")</f>
        <v>0</v>
      </c>
      <c r="BK3" s="1">
        <f>COUNTIF($G3:$BD3, "AM")</f>
        <v>0</v>
      </c>
      <c r="BL3" s="1">
        <f>COUNTIF($G3:$BD3, "AF")</f>
        <v>0</v>
      </c>
      <c r="BN3" s="1">
        <f>COUNTIF($G3:$BD3, "E_D")</f>
        <v>0</v>
      </c>
      <c r="BO3" s="1">
        <f>COUNTIF($G3:$BD3, "L1_D")</f>
        <v>0</v>
      </c>
      <c r="BP3" s="1">
        <f>COUNTIF($G3:$BD3, "L2_D")</f>
        <v>0</v>
      </c>
      <c r="BQ3" s="1">
        <f>COUNTIF($G3:$BD3, "L3_D")</f>
        <v>0</v>
      </c>
      <c r="BR3" s="1">
        <f>COUNTIF($G3:$BD3, "P_D")</f>
        <v>0</v>
      </c>
    </row>
    <row r="4" spans="1:70" x14ac:dyDescent="0.3">
      <c r="A4" s="56">
        <v>160</v>
      </c>
      <c r="B4" s="56">
        <v>1</v>
      </c>
      <c r="C4" s="24">
        <v>44721.916666666664</v>
      </c>
      <c r="D4" s="33">
        <f>(C4-C3)</f>
        <v>0.1875</v>
      </c>
      <c r="E4" s="64">
        <f>E3+D4</f>
        <v>0.1875</v>
      </c>
      <c r="F4" s="40">
        <f>D4+F3</f>
        <v>0.1875</v>
      </c>
      <c r="G4" s="26" t="s">
        <v>5</v>
      </c>
      <c r="H4" s="26" t="s">
        <v>4</v>
      </c>
      <c r="I4" s="26" t="s">
        <v>4</v>
      </c>
      <c r="J4" s="26" t="s">
        <v>4</v>
      </c>
      <c r="K4" s="26" t="s">
        <v>4</v>
      </c>
      <c r="L4" s="26" t="s">
        <v>5</v>
      </c>
      <c r="M4" s="26" t="s">
        <v>5</v>
      </c>
      <c r="N4" s="26" t="s">
        <v>4</v>
      </c>
      <c r="O4" s="26" t="s">
        <v>4</v>
      </c>
      <c r="P4" s="26" t="s">
        <v>4</v>
      </c>
      <c r="Q4" s="26" t="s">
        <v>5</v>
      </c>
      <c r="R4" s="26" t="s">
        <v>4</v>
      </c>
      <c r="S4" s="26" t="s">
        <v>4</v>
      </c>
      <c r="T4" s="26" t="s">
        <v>4</v>
      </c>
      <c r="U4" s="26" t="s">
        <v>4</v>
      </c>
      <c r="V4" s="26" t="s">
        <v>5</v>
      </c>
      <c r="W4" s="26" t="s">
        <v>5</v>
      </c>
      <c r="X4" s="26" t="s">
        <v>4</v>
      </c>
      <c r="Y4" s="26" t="s">
        <v>4</v>
      </c>
      <c r="Z4" s="26" t="s">
        <v>4</v>
      </c>
      <c r="AA4" s="26" t="s">
        <v>4</v>
      </c>
      <c r="AB4" s="26" t="s">
        <v>4</v>
      </c>
      <c r="AC4" s="26" t="s">
        <v>4</v>
      </c>
      <c r="AD4" s="26" t="s">
        <v>4</v>
      </c>
      <c r="AE4" s="26" t="s">
        <v>4</v>
      </c>
      <c r="AF4" s="26" t="s">
        <v>5</v>
      </c>
      <c r="AG4" s="26" t="s">
        <v>4</v>
      </c>
      <c r="AH4" s="26" t="s">
        <v>4</v>
      </c>
      <c r="AI4" s="26" t="s">
        <v>4</v>
      </c>
      <c r="AJ4" s="26" t="s">
        <v>4</v>
      </c>
      <c r="AK4" s="26" t="s">
        <v>5</v>
      </c>
      <c r="AL4" s="26" t="s">
        <v>5</v>
      </c>
      <c r="AM4" s="26" t="s">
        <v>4</v>
      </c>
      <c r="AN4" s="26" t="s">
        <v>4</v>
      </c>
      <c r="AO4" s="26" t="s">
        <v>4</v>
      </c>
      <c r="AP4" s="26" t="s">
        <v>5</v>
      </c>
      <c r="AQ4" s="26" t="s">
        <v>5</v>
      </c>
      <c r="AR4" s="26" t="s">
        <v>4</v>
      </c>
      <c r="AS4" s="26" t="s">
        <v>4</v>
      </c>
      <c r="AT4" s="26" t="s">
        <v>4</v>
      </c>
      <c r="AU4" s="26" t="s">
        <v>5</v>
      </c>
      <c r="AV4" s="26" t="s">
        <v>5</v>
      </c>
      <c r="AW4" s="26" t="s">
        <v>4</v>
      </c>
      <c r="AX4" s="26" t="s">
        <v>4</v>
      </c>
      <c r="AY4" s="26" t="s">
        <v>4</v>
      </c>
      <c r="AZ4" s="26" t="s">
        <v>4</v>
      </c>
      <c r="BA4" s="26" t="s">
        <v>5</v>
      </c>
      <c r="BB4" s="26" t="s">
        <v>4</v>
      </c>
      <c r="BC4" s="26" t="s">
        <v>4</v>
      </c>
      <c r="BD4" s="26" t="s">
        <v>4</v>
      </c>
      <c r="BE4" s="30">
        <v>0.1875</v>
      </c>
      <c r="BF4" s="1">
        <f t="shared" ref="BF4:BF41" si="0">COUNTIF($G4:$BD4, "E")</f>
        <v>36</v>
      </c>
      <c r="BG4" s="1">
        <f t="shared" ref="BG4:BG41" si="1">COUNTIF($G4:$BD4, "L1")</f>
        <v>14</v>
      </c>
      <c r="BH4" s="1">
        <f t="shared" ref="BH4:BH41" si="2">COUNTIF($G4:$BD4, "L2")</f>
        <v>0</v>
      </c>
      <c r="BI4" s="1">
        <f t="shared" ref="BI4:BI41" si="3">COUNTIF($G4:$BD4, "L3")</f>
        <v>0</v>
      </c>
      <c r="BJ4" s="1">
        <f t="shared" ref="BJ4:BJ41" si="4">COUNTIF($G4:$BD4, "P")</f>
        <v>0</v>
      </c>
      <c r="BK4" s="1">
        <f t="shared" ref="BK4:BK41" si="5">COUNTIF($G4:$BD4, "AM")</f>
        <v>0</v>
      </c>
      <c r="BL4" s="1">
        <f t="shared" ref="BL4:BL41" si="6">COUNTIF($G4:$BD4, "AF")</f>
        <v>0</v>
      </c>
      <c r="BN4" s="1">
        <f t="shared" ref="BN4:BN41" si="7">COUNTIF($G4:$BD4, "E_D")</f>
        <v>0</v>
      </c>
      <c r="BO4" s="1">
        <f t="shared" ref="BO4:BO41" si="8">COUNTIF($G4:$BD4, "L1_D")</f>
        <v>0</v>
      </c>
      <c r="BP4" s="1">
        <f t="shared" ref="BP4:BP41" si="9">COUNTIF($G4:$BD4, "L2_D")</f>
        <v>0</v>
      </c>
      <c r="BQ4" s="1">
        <f t="shared" ref="BQ4:BQ41" si="10">COUNTIF($G4:$BD4, "L3_D")</f>
        <v>0</v>
      </c>
      <c r="BR4" s="1">
        <f t="shared" ref="BR4:BR41" si="11">COUNTIF($G4:$BD4, "P_D")</f>
        <v>0</v>
      </c>
    </row>
    <row r="5" spans="1:70" x14ac:dyDescent="0.3">
      <c r="A5">
        <v>161</v>
      </c>
      <c r="B5" s="56">
        <v>2</v>
      </c>
      <c r="C5" s="24">
        <v>44722.104166666664</v>
      </c>
      <c r="D5" s="33">
        <f t="shared" ref="D5:D41" si="12">(C5-C4)</f>
        <v>0.1875</v>
      </c>
      <c r="E5" s="64">
        <f t="shared" ref="E5:E30" si="13">E4+D5</f>
        <v>0.375</v>
      </c>
      <c r="F5" s="40">
        <f t="shared" ref="F5:F41" si="14">D5+F4</f>
        <v>0.375</v>
      </c>
      <c r="G5" s="26" t="s">
        <v>5</v>
      </c>
      <c r="H5" s="26" t="s">
        <v>4</v>
      </c>
      <c r="I5" s="26" t="s">
        <v>4</v>
      </c>
      <c r="J5" s="26" t="s">
        <v>4</v>
      </c>
      <c r="K5" s="26" t="s">
        <v>4</v>
      </c>
      <c r="L5" s="26" t="s">
        <v>5</v>
      </c>
      <c r="M5" s="26" t="s">
        <v>5</v>
      </c>
      <c r="N5" s="26" t="s">
        <v>4</v>
      </c>
      <c r="O5" s="26" t="s">
        <v>4</v>
      </c>
      <c r="P5" s="26" t="s">
        <v>4</v>
      </c>
      <c r="Q5" s="26" t="s">
        <v>5</v>
      </c>
      <c r="R5" s="26" t="s">
        <v>4</v>
      </c>
      <c r="S5" s="26" t="s">
        <v>4</v>
      </c>
      <c r="T5" s="26" t="s">
        <v>4</v>
      </c>
      <c r="U5" s="26" t="s">
        <v>4</v>
      </c>
      <c r="V5" s="26" t="s">
        <v>5</v>
      </c>
      <c r="W5" s="26" t="s">
        <v>5</v>
      </c>
      <c r="X5" s="26" t="s">
        <v>4</v>
      </c>
      <c r="Y5" s="26" t="s">
        <v>4</v>
      </c>
      <c r="Z5" s="26" t="s">
        <v>4</v>
      </c>
      <c r="AA5" s="26" t="s">
        <v>4</v>
      </c>
      <c r="AB5" s="26" t="s">
        <v>4</v>
      </c>
      <c r="AC5" s="26" t="s">
        <v>4</v>
      </c>
      <c r="AD5" s="26" t="s">
        <v>4</v>
      </c>
      <c r="AE5" s="26" t="s">
        <v>4</v>
      </c>
      <c r="AF5" s="26" t="s">
        <v>5</v>
      </c>
      <c r="AG5" s="26" t="s">
        <v>4</v>
      </c>
      <c r="AH5" s="26" t="s">
        <v>4</v>
      </c>
      <c r="AI5" s="26" t="s">
        <v>4</v>
      </c>
      <c r="AJ5" s="26" t="s">
        <v>4</v>
      </c>
      <c r="AK5" s="26" t="s">
        <v>5</v>
      </c>
      <c r="AL5" s="26" t="s">
        <v>5</v>
      </c>
      <c r="AM5" s="26" t="s">
        <v>4</v>
      </c>
      <c r="AN5" s="26" t="s">
        <v>4</v>
      </c>
      <c r="AO5" s="26" t="s">
        <v>4</v>
      </c>
      <c r="AP5" s="26" t="s">
        <v>5</v>
      </c>
      <c r="AQ5" s="26" t="s">
        <v>5</v>
      </c>
      <c r="AR5" s="26" t="s">
        <v>4</v>
      </c>
      <c r="AS5" s="26" t="s">
        <v>4</v>
      </c>
      <c r="AT5" s="26" t="s">
        <v>4</v>
      </c>
      <c r="AU5" s="26" t="s">
        <v>5</v>
      </c>
      <c r="AV5" s="26" t="s">
        <v>5</v>
      </c>
      <c r="AW5" s="26" t="s">
        <v>4</v>
      </c>
      <c r="AX5" s="26" t="s">
        <v>4</v>
      </c>
      <c r="AY5" s="26" t="s">
        <v>4</v>
      </c>
      <c r="AZ5" s="26" t="s">
        <v>4</v>
      </c>
      <c r="BA5" s="26" t="s">
        <v>5</v>
      </c>
      <c r="BB5" s="26" t="s">
        <v>4</v>
      </c>
      <c r="BC5" s="26" t="s">
        <v>4</v>
      </c>
      <c r="BD5" s="26" t="s">
        <v>4</v>
      </c>
      <c r="BE5" s="30">
        <v>0.375</v>
      </c>
      <c r="BF5" s="1">
        <f t="shared" si="0"/>
        <v>36</v>
      </c>
      <c r="BG5" s="1">
        <f t="shared" si="1"/>
        <v>14</v>
      </c>
      <c r="BH5" s="1">
        <f t="shared" si="2"/>
        <v>0</v>
      </c>
      <c r="BI5" s="1">
        <f t="shared" si="3"/>
        <v>0</v>
      </c>
      <c r="BJ5" s="1">
        <f t="shared" si="4"/>
        <v>0</v>
      </c>
      <c r="BK5" s="1">
        <f t="shared" si="5"/>
        <v>0</v>
      </c>
      <c r="BL5" s="1">
        <f t="shared" si="6"/>
        <v>0</v>
      </c>
      <c r="BN5" s="1">
        <f t="shared" si="7"/>
        <v>0</v>
      </c>
      <c r="BO5" s="1">
        <f t="shared" si="8"/>
        <v>0</v>
      </c>
      <c r="BP5" s="1">
        <f t="shared" si="9"/>
        <v>0</v>
      </c>
      <c r="BQ5" s="1">
        <f t="shared" si="10"/>
        <v>0</v>
      </c>
      <c r="BR5" s="1">
        <f t="shared" si="11"/>
        <v>0</v>
      </c>
    </row>
    <row r="6" spans="1:70" x14ac:dyDescent="0.3">
      <c r="A6">
        <v>161</v>
      </c>
      <c r="B6" s="56">
        <v>2</v>
      </c>
      <c r="C6" s="24">
        <v>44722.291666666664</v>
      </c>
      <c r="D6" s="33">
        <f t="shared" si="12"/>
        <v>0.1875</v>
      </c>
      <c r="E6" s="64">
        <f t="shared" si="13"/>
        <v>0.5625</v>
      </c>
      <c r="F6" s="40">
        <f t="shared" si="14"/>
        <v>0.5625</v>
      </c>
      <c r="G6" s="26" t="s">
        <v>5</v>
      </c>
      <c r="H6" s="26" t="s">
        <v>5</v>
      </c>
      <c r="I6" s="63" t="s">
        <v>17</v>
      </c>
      <c r="J6" s="63" t="s">
        <v>17</v>
      </c>
      <c r="K6" s="63" t="s">
        <v>17</v>
      </c>
      <c r="L6" s="26" t="s">
        <v>5</v>
      </c>
      <c r="M6" s="26" t="s">
        <v>5</v>
      </c>
      <c r="N6" s="63" t="s">
        <v>17</v>
      </c>
      <c r="O6" s="63" t="s">
        <v>17</v>
      </c>
      <c r="P6" s="63" t="s">
        <v>17</v>
      </c>
      <c r="Q6" s="26" t="s">
        <v>5</v>
      </c>
      <c r="R6" s="63" t="s">
        <v>17</v>
      </c>
      <c r="S6" s="63" t="s">
        <v>17</v>
      </c>
      <c r="T6" s="63" t="s">
        <v>17</v>
      </c>
      <c r="U6" s="63" t="s">
        <v>17</v>
      </c>
      <c r="V6" s="26" t="s">
        <v>5</v>
      </c>
      <c r="W6" s="26" t="s">
        <v>5</v>
      </c>
      <c r="X6" s="63" t="s">
        <v>17</v>
      </c>
      <c r="Y6" s="63" t="s">
        <v>17</v>
      </c>
      <c r="Z6" s="63" t="s">
        <v>17</v>
      </c>
      <c r="AA6" s="63" t="s">
        <v>17</v>
      </c>
      <c r="AB6" s="63" t="s">
        <v>17</v>
      </c>
      <c r="AC6" s="63" t="s">
        <v>17</v>
      </c>
      <c r="AD6" s="63" t="s">
        <v>17</v>
      </c>
      <c r="AE6" s="63" t="s">
        <v>17</v>
      </c>
      <c r="AF6" s="26" t="s">
        <v>5</v>
      </c>
      <c r="AG6" s="26" t="s">
        <v>4</v>
      </c>
      <c r="AH6" s="26" t="s">
        <v>4</v>
      </c>
      <c r="AI6" s="26" t="s">
        <v>4</v>
      </c>
      <c r="AJ6" s="26" t="s">
        <v>4</v>
      </c>
      <c r="AK6" s="26" t="s">
        <v>5</v>
      </c>
      <c r="AL6" s="26" t="s">
        <v>5</v>
      </c>
      <c r="AM6" s="26" t="s">
        <v>4</v>
      </c>
      <c r="AN6" s="26" t="s">
        <v>4</v>
      </c>
      <c r="AO6" s="26" t="s">
        <v>4</v>
      </c>
      <c r="AP6" s="26" t="s">
        <v>5</v>
      </c>
      <c r="AQ6" s="26" t="s">
        <v>5</v>
      </c>
      <c r="AR6" s="26" t="s">
        <v>4</v>
      </c>
      <c r="AS6" s="26" t="s">
        <v>4</v>
      </c>
      <c r="AT6" s="26" t="s">
        <v>4</v>
      </c>
      <c r="AU6" s="26" t="s">
        <v>5</v>
      </c>
      <c r="AV6" s="26" t="s">
        <v>5</v>
      </c>
      <c r="AW6" s="26" t="s">
        <v>4</v>
      </c>
      <c r="AX6" s="26" t="s">
        <v>4</v>
      </c>
      <c r="AY6" s="26" t="s">
        <v>4</v>
      </c>
      <c r="AZ6" s="26" t="s">
        <v>5</v>
      </c>
      <c r="BA6" s="26" t="s">
        <v>5</v>
      </c>
      <c r="BB6" s="26" t="s">
        <v>4</v>
      </c>
      <c r="BC6" s="26" t="s">
        <v>4</v>
      </c>
      <c r="BD6" s="26" t="s">
        <v>4</v>
      </c>
      <c r="BE6" s="30">
        <v>0.5625</v>
      </c>
      <c r="BF6" s="1">
        <f t="shared" si="0"/>
        <v>16</v>
      </c>
      <c r="BG6" s="1">
        <f t="shared" si="1"/>
        <v>16</v>
      </c>
      <c r="BH6" s="1">
        <f t="shared" si="2"/>
        <v>0</v>
      </c>
      <c r="BI6" s="1">
        <f t="shared" si="3"/>
        <v>0</v>
      </c>
      <c r="BJ6" s="1">
        <f t="shared" si="4"/>
        <v>0</v>
      </c>
      <c r="BK6" s="1">
        <f t="shared" si="5"/>
        <v>0</v>
      </c>
      <c r="BL6" s="1">
        <f t="shared" si="6"/>
        <v>0</v>
      </c>
      <c r="BN6" s="1">
        <f t="shared" si="7"/>
        <v>18</v>
      </c>
      <c r="BO6" s="1">
        <f t="shared" si="8"/>
        <v>0</v>
      </c>
      <c r="BP6" s="1">
        <f t="shared" si="9"/>
        <v>0</v>
      </c>
      <c r="BQ6" s="1">
        <f t="shared" si="10"/>
        <v>0</v>
      </c>
      <c r="BR6" s="1">
        <f t="shared" si="11"/>
        <v>0</v>
      </c>
    </row>
    <row r="7" spans="1:70" x14ac:dyDescent="0.3">
      <c r="A7">
        <v>161</v>
      </c>
      <c r="B7" s="56">
        <v>2</v>
      </c>
      <c r="C7" s="24">
        <v>44722.479166666664</v>
      </c>
      <c r="D7" s="33">
        <f t="shared" si="12"/>
        <v>0.1875</v>
      </c>
      <c r="E7" s="64">
        <f t="shared" si="13"/>
        <v>0.75</v>
      </c>
      <c r="F7" s="40">
        <f t="shared" si="14"/>
        <v>0.75</v>
      </c>
      <c r="G7" s="26" t="s">
        <v>5</v>
      </c>
      <c r="H7" s="26" t="s">
        <v>5</v>
      </c>
      <c r="I7" s="63" t="s">
        <v>17</v>
      </c>
      <c r="J7" s="63" t="s">
        <v>17</v>
      </c>
      <c r="K7" s="63" t="s">
        <v>17</v>
      </c>
      <c r="L7" s="26" t="s">
        <v>5</v>
      </c>
      <c r="M7" s="26" t="s">
        <v>5</v>
      </c>
      <c r="N7" s="63" t="s">
        <v>17</v>
      </c>
      <c r="O7" s="63" t="s">
        <v>17</v>
      </c>
      <c r="P7" s="63" t="s">
        <v>17</v>
      </c>
      <c r="Q7" s="26" t="s">
        <v>5</v>
      </c>
      <c r="R7" s="63" t="s">
        <v>17</v>
      </c>
      <c r="S7" s="63" t="s">
        <v>17</v>
      </c>
      <c r="T7" s="63" t="s">
        <v>17</v>
      </c>
      <c r="U7" s="63" t="s">
        <v>17</v>
      </c>
      <c r="V7" s="26" t="s">
        <v>5</v>
      </c>
      <c r="W7" s="26" t="s">
        <v>5</v>
      </c>
      <c r="X7" s="63" t="s">
        <v>17</v>
      </c>
      <c r="Y7" s="63" t="s">
        <v>17</v>
      </c>
      <c r="Z7" s="63" t="s">
        <v>17</v>
      </c>
      <c r="AA7" s="63" t="s">
        <v>17</v>
      </c>
      <c r="AB7" s="63" t="s">
        <v>17</v>
      </c>
      <c r="AC7" s="63" t="s">
        <v>17</v>
      </c>
      <c r="AD7" s="63" t="s">
        <v>17</v>
      </c>
      <c r="AE7" s="63" t="s">
        <v>17</v>
      </c>
      <c r="AF7" s="26" t="s">
        <v>5</v>
      </c>
      <c r="AG7" s="63" t="s">
        <v>17</v>
      </c>
      <c r="AH7" s="63" t="s">
        <v>17</v>
      </c>
      <c r="AI7" s="63" t="s">
        <v>17</v>
      </c>
      <c r="AJ7" s="63" t="s">
        <v>17</v>
      </c>
      <c r="AK7" s="26" t="s">
        <v>5</v>
      </c>
      <c r="AL7" s="26" t="s">
        <v>5</v>
      </c>
      <c r="AM7" s="63" t="s">
        <v>17</v>
      </c>
      <c r="AN7" s="63" t="s">
        <v>17</v>
      </c>
      <c r="AO7" s="63" t="s">
        <v>17</v>
      </c>
      <c r="AP7" s="26" t="s">
        <v>5</v>
      </c>
      <c r="AQ7" s="26" t="s">
        <v>5</v>
      </c>
      <c r="AR7" s="63" t="s">
        <v>17</v>
      </c>
      <c r="AS7" s="63" t="s">
        <v>17</v>
      </c>
      <c r="AT7" s="63" t="s">
        <v>17</v>
      </c>
      <c r="AU7" s="26" t="s">
        <v>5</v>
      </c>
      <c r="AV7" s="26" t="s">
        <v>5</v>
      </c>
      <c r="AW7" s="63" t="s">
        <v>17</v>
      </c>
      <c r="AX7" s="63" t="s">
        <v>17</v>
      </c>
      <c r="AY7" s="63" t="s">
        <v>17</v>
      </c>
      <c r="AZ7" s="26" t="s">
        <v>5</v>
      </c>
      <c r="BA7" s="26" t="s">
        <v>5</v>
      </c>
      <c r="BB7" s="63" t="s">
        <v>17</v>
      </c>
      <c r="BC7" s="63" t="s">
        <v>17</v>
      </c>
      <c r="BD7" s="63" t="s">
        <v>17</v>
      </c>
      <c r="BE7" s="30">
        <v>0.75</v>
      </c>
      <c r="BF7" s="1">
        <f t="shared" si="0"/>
        <v>0</v>
      </c>
      <c r="BG7" s="1">
        <f t="shared" si="1"/>
        <v>16</v>
      </c>
      <c r="BH7" s="1">
        <f t="shared" si="2"/>
        <v>0</v>
      </c>
      <c r="BI7" s="1">
        <f t="shared" si="3"/>
        <v>0</v>
      </c>
      <c r="BJ7" s="1">
        <f t="shared" si="4"/>
        <v>0</v>
      </c>
      <c r="BK7" s="1">
        <f t="shared" si="5"/>
        <v>0</v>
      </c>
      <c r="BL7" s="1">
        <f t="shared" si="6"/>
        <v>0</v>
      </c>
      <c r="BN7" s="1">
        <f t="shared" si="7"/>
        <v>34</v>
      </c>
      <c r="BO7" s="1">
        <f t="shared" si="8"/>
        <v>0</v>
      </c>
      <c r="BP7" s="1">
        <f t="shared" si="9"/>
        <v>0</v>
      </c>
      <c r="BQ7" s="1">
        <f t="shared" si="10"/>
        <v>0</v>
      </c>
      <c r="BR7" s="1">
        <f t="shared" si="11"/>
        <v>0</v>
      </c>
    </row>
    <row r="8" spans="1:70" x14ac:dyDescent="0.3">
      <c r="A8">
        <v>161</v>
      </c>
      <c r="B8" s="56">
        <v>2</v>
      </c>
      <c r="C8" s="24">
        <v>44722.666666666664</v>
      </c>
      <c r="D8" s="33">
        <f t="shared" si="12"/>
        <v>0.1875</v>
      </c>
      <c r="E8" s="64">
        <f t="shared" si="13"/>
        <v>0.9375</v>
      </c>
      <c r="F8" s="40">
        <f t="shared" si="14"/>
        <v>0.9375</v>
      </c>
      <c r="G8" s="26" t="s">
        <v>5</v>
      </c>
      <c r="H8" s="26" t="s">
        <v>5</v>
      </c>
      <c r="I8" s="63" t="s">
        <v>17</v>
      </c>
      <c r="J8" s="63" t="s">
        <v>17</v>
      </c>
      <c r="K8" s="63" t="s">
        <v>17</v>
      </c>
      <c r="L8" s="26" t="s">
        <v>5</v>
      </c>
      <c r="M8" s="26" t="s">
        <v>5</v>
      </c>
      <c r="N8" s="63" t="s">
        <v>17</v>
      </c>
      <c r="O8" s="63" t="s">
        <v>17</v>
      </c>
      <c r="P8" s="63" t="s">
        <v>17</v>
      </c>
      <c r="Q8" s="26" t="s">
        <v>5</v>
      </c>
      <c r="R8" s="63" t="s">
        <v>17</v>
      </c>
      <c r="S8" s="63" t="s">
        <v>17</v>
      </c>
      <c r="T8" s="63" t="s">
        <v>17</v>
      </c>
      <c r="U8" s="63" t="s">
        <v>17</v>
      </c>
      <c r="V8" s="26" t="s">
        <v>5</v>
      </c>
      <c r="W8" s="26" t="s">
        <v>5</v>
      </c>
      <c r="X8" s="63" t="s">
        <v>17</v>
      </c>
      <c r="Y8" s="63" t="s">
        <v>17</v>
      </c>
      <c r="Z8" s="63" t="s">
        <v>17</v>
      </c>
      <c r="AA8" s="63" t="s">
        <v>17</v>
      </c>
      <c r="AB8" s="63" t="s">
        <v>17</v>
      </c>
      <c r="AC8" s="63" t="s">
        <v>17</v>
      </c>
      <c r="AD8" s="63" t="s">
        <v>17</v>
      </c>
      <c r="AE8" s="63" t="s">
        <v>17</v>
      </c>
      <c r="AF8" s="26" t="s">
        <v>5</v>
      </c>
      <c r="AG8" s="63" t="s">
        <v>17</v>
      </c>
      <c r="AH8" s="63" t="s">
        <v>17</v>
      </c>
      <c r="AI8" s="63" t="s">
        <v>17</v>
      </c>
      <c r="AJ8" s="63" t="s">
        <v>17</v>
      </c>
      <c r="AK8" s="26" t="s">
        <v>5</v>
      </c>
      <c r="AL8" s="26" t="s">
        <v>5</v>
      </c>
      <c r="AM8" s="63" t="s">
        <v>17</v>
      </c>
      <c r="AN8" s="63" t="s">
        <v>17</v>
      </c>
      <c r="AO8" s="63" t="s">
        <v>17</v>
      </c>
      <c r="AP8" s="26" t="s">
        <v>5</v>
      </c>
      <c r="AQ8" s="26" t="s">
        <v>5</v>
      </c>
      <c r="AR8" s="63" t="s">
        <v>17</v>
      </c>
      <c r="AS8" s="63" t="s">
        <v>17</v>
      </c>
      <c r="AT8" s="63" t="s">
        <v>17</v>
      </c>
      <c r="AU8" s="26" t="s">
        <v>5</v>
      </c>
      <c r="AV8" s="26" t="s">
        <v>5</v>
      </c>
      <c r="AW8" s="63" t="s">
        <v>17</v>
      </c>
      <c r="AX8" s="63" t="s">
        <v>17</v>
      </c>
      <c r="AY8" s="63" t="s">
        <v>17</v>
      </c>
      <c r="AZ8" s="26" t="s">
        <v>5</v>
      </c>
      <c r="BA8" s="26" t="s">
        <v>5</v>
      </c>
      <c r="BB8" s="63" t="s">
        <v>17</v>
      </c>
      <c r="BC8" s="63" t="s">
        <v>17</v>
      </c>
      <c r="BD8" s="63" t="s">
        <v>17</v>
      </c>
      <c r="BE8" s="30">
        <v>0.9375</v>
      </c>
      <c r="BF8" s="1">
        <f t="shared" si="0"/>
        <v>0</v>
      </c>
      <c r="BG8" s="1">
        <f t="shared" si="1"/>
        <v>16</v>
      </c>
      <c r="BH8" s="1">
        <f t="shared" si="2"/>
        <v>0</v>
      </c>
      <c r="BI8" s="1">
        <f t="shared" si="3"/>
        <v>0</v>
      </c>
      <c r="BJ8" s="1">
        <f t="shared" si="4"/>
        <v>0</v>
      </c>
      <c r="BK8" s="1">
        <f t="shared" si="5"/>
        <v>0</v>
      </c>
      <c r="BL8" s="1">
        <f t="shared" si="6"/>
        <v>0</v>
      </c>
      <c r="BN8" s="1">
        <f t="shared" si="7"/>
        <v>34</v>
      </c>
      <c r="BO8" s="1">
        <f t="shared" si="8"/>
        <v>0</v>
      </c>
      <c r="BP8" s="1">
        <f t="shared" si="9"/>
        <v>0</v>
      </c>
      <c r="BQ8" s="1">
        <f t="shared" si="10"/>
        <v>0</v>
      </c>
      <c r="BR8" s="1">
        <f t="shared" si="11"/>
        <v>0</v>
      </c>
    </row>
    <row r="9" spans="1:70" x14ac:dyDescent="0.3">
      <c r="A9">
        <v>161</v>
      </c>
      <c r="B9" s="56">
        <v>2</v>
      </c>
      <c r="C9" s="24">
        <v>44722.854166666664</v>
      </c>
      <c r="D9" s="33">
        <f t="shared" si="12"/>
        <v>0.1875</v>
      </c>
      <c r="E9" s="64">
        <f t="shared" si="13"/>
        <v>1.125</v>
      </c>
      <c r="F9" s="40">
        <f t="shared" si="14"/>
        <v>1.125</v>
      </c>
      <c r="G9" s="26" t="s">
        <v>5</v>
      </c>
      <c r="H9" s="26" t="s">
        <v>5</v>
      </c>
      <c r="I9" s="63" t="s">
        <v>17</v>
      </c>
      <c r="J9" s="63" t="s">
        <v>17</v>
      </c>
      <c r="K9" s="63" t="s">
        <v>17</v>
      </c>
      <c r="L9" s="26" t="s">
        <v>18</v>
      </c>
      <c r="M9" s="26" t="s">
        <v>5</v>
      </c>
      <c r="N9" s="63" t="s">
        <v>17</v>
      </c>
      <c r="O9" s="63" t="s">
        <v>17</v>
      </c>
      <c r="P9" s="63" t="s">
        <v>17</v>
      </c>
      <c r="Q9" s="26" t="s">
        <v>18</v>
      </c>
      <c r="R9" s="63" t="s">
        <v>17</v>
      </c>
      <c r="S9" s="63" t="s">
        <v>17</v>
      </c>
      <c r="T9" s="63" t="s">
        <v>17</v>
      </c>
      <c r="U9" s="63" t="s">
        <v>17</v>
      </c>
      <c r="V9" s="26" t="s">
        <v>5</v>
      </c>
      <c r="W9" s="26" t="s">
        <v>5</v>
      </c>
      <c r="X9" s="63" t="s">
        <v>17</v>
      </c>
      <c r="Y9" s="63" t="s">
        <v>17</v>
      </c>
      <c r="Z9" s="63" t="s">
        <v>17</v>
      </c>
      <c r="AA9" s="63" t="s">
        <v>17</v>
      </c>
      <c r="AB9" s="63" t="s">
        <v>17</v>
      </c>
      <c r="AC9" s="63" t="s">
        <v>17</v>
      </c>
      <c r="AD9" s="63" t="s">
        <v>17</v>
      </c>
      <c r="AE9" s="63" t="s">
        <v>17</v>
      </c>
      <c r="AF9" s="26" t="s">
        <v>5</v>
      </c>
      <c r="AG9" s="63" t="s">
        <v>17</v>
      </c>
      <c r="AH9" s="63" t="s">
        <v>17</v>
      </c>
      <c r="AI9" s="63" t="s">
        <v>17</v>
      </c>
      <c r="AJ9" s="63" t="s">
        <v>17</v>
      </c>
      <c r="AK9" s="26" t="s">
        <v>5</v>
      </c>
      <c r="AL9" s="26" t="s">
        <v>5</v>
      </c>
      <c r="AM9" s="63" t="s">
        <v>17</v>
      </c>
      <c r="AN9" s="63" t="s">
        <v>17</v>
      </c>
      <c r="AO9" s="63" t="s">
        <v>17</v>
      </c>
      <c r="AP9" s="26" t="s">
        <v>5</v>
      </c>
      <c r="AQ9" s="26" t="s">
        <v>5</v>
      </c>
      <c r="AR9" s="63" t="s">
        <v>17</v>
      </c>
      <c r="AS9" s="63" t="s">
        <v>17</v>
      </c>
      <c r="AT9" s="63" t="s">
        <v>17</v>
      </c>
      <c r="AU9" s="26" t="s">
        <v>18</v>
      </c>
      <c r="AV9" s="26" t="s">
        <v>5</v>
      </c>
      <c r="AW9" s="63" t="s">
        <v>17</v>
      </c>
      <c r="AX9" s="63" t="s">
        <v>17</v>
      </c>
      <c r="AY9" s="63" t="s">
        <v>17</v>
      </c>
      <c r="AZ9" s="26" t="s">
        <v>5</v>
      </c>
      <c r="BA9" s="26" t="s">
        <v>5</v>
      </c>
      <c r="BB9" s="63" t="s">
        <v>17</v>
      </c>
      <c r="BC9" s="63" t="s">
        <v>17</v>
      </c>
      <c r="BD9" s="63" t="s">
        <v>17</v>
      </c>
      <c r="BE9" s="30">
        <v>1.125</v>
      </c>
      <c r="BF9" s="1">
        <f t="shared" si="0"/>
        <v>0</v>
      </c>
      <c r="BG9" s="1">
        <f t="shared" si="1"/>
        <v>13</v>
      </c>
      <c r="BH9" s="1">
        <f t="shared" si="2"/>
        <v>0</v>
      </c>
      <c r="BI9" s="1">
        <f t="shared" si="3"/>
        <v>0</v>
      </c>
      <c r="BJ9" s="1">
        <f t="shared" si="4"/>
        <v>0</v>
      </c>
      <c r="BK9" s="1">
        <f t="shared" si="5"/>
        <v>0</v>
      </c>
      <c r="BL9" s="1">
        <f t="shared" si="6"/>
        <v>0</v>
      </c>
      <c r="BN9" s="1">
        <f t="shared" si="7"/>
        <v>34</v>
      </c>
      <c r="BO9" s="1">
        <f t="shared" si="8"/>
        <v>3</v>
      </c>
      <c r="BP9" s="1">
        <f t="shared" si="9"/>
        <v>0</v>
      </c>
      <c r="BQ9" s="1">
        <f t="shared" si="10"/>
        <v>0</v>
      </c>
      <c r="BR9" s="1">
        <f t="shared" si="11"/>
        <v>0</v>
      </c>
    </row>
    <row r="10" spans="1:70" x14ac:dyDescent="0.3">
      <c r="A10">
        <v>162</v>
      </c>
      <c r="B10" s="56">
        <v>3</v>
      </c>
      <c r="C10" s="24">
        <v>44723.041666666664</v>
      </c>
      <c r="D10" s="33">
        <f t="shared" si="12"/>
        <v>0.1875</v>
      </c>
      <c r="E10" s="64">
        <f t="shared" si="13"/>
        <v>1.3125</v>
      </c>
      <c r="F10" s="40">
        <f t="shared" si="14"/>
        <v>1.3125</v>
      </c>
      <c r="G10" s="26" t="s">
        <v>5</v>
      </c>
      <c r="H10" s="26" t="s">
        <v>5</v>
      </c>
      <c r="I10" s="63" t="s">
        <v>17</v>
      </c>
      <c r="J10" s="63" t="s">
        <v>17</v>
      </c>
      <c r="K10" s="63" t="s">
        <v>17</v>
      </c>
      <c r="L10" s="26" t="s">
        <v>18</v>
      </c>
      <c r="M10" s="26" t="s">
        <v>5</v>
      </c>
      <c r="N10" s="63" t="s">
        <v>17</v>
      </c>
      <c r="O10" s="63" t="s">
        <v>17</v>
      </c>
      <c r="P10" s="63" t="s">
        <v>17</v>
      </c>
      <c r="Q10" s="26" t="s">
        <v>18</v>
      </c>
      <c r="R10" s="63" t="s">
        <v>17</v>
      </c>
      <c r="S10" s="63" t="s">
        <v>17</v>
      </c>
      <c r="T10" s="63" t="s">
        <v>17</v>
      </c>
      <c r="U10" s="63" t="s">
        <v>17</v>
      </c>
      <c r="V10" s="26" t="s">
        <v>5</v>
      </c>
      <c r="W10" s="26" t="s">
        <v>5</v>
      </c>
      <c r="X10" s="63" t="s">
        <v>17</v>
      </c>
      <c r="Y10" s="63" t="s">
        <v>17</v>
      </c>
      <c r="Z10" s="63" t="s">
        <v>17</v>
      </c>
      <c r="AA10" s="63" t="s">
        <v>17</v>
      </c>
      <c r="AB10" s="63" t="s">
        <v>17</v>
      </c>
      <c r="AC10" s="63" t="s">
        <v>17</v>
      </c>
      <c r="AD10" s="63" t="s">
        <v>17</v>
      </c>
      <c r="AE10" s="63" t="s">
        <v>17</v>
      </c>
      <c r="AF10" s="26" t="s">
        <v>5</v>
      </c>
      <c r="AG10" s="63" t="s">
        <v>17</v>
      </c>
      <c r="AH10" s="63" t="s">
        <v>17</v>
      </c>
      <c r="AI10" s="63" t="s">
        <v>17</v>
      </c>
      <c r="AJ10" s="63" t="s">
        <v>17</v>
      </c>
      <c r="AK10" s="26" t="s">
        <v>5</v>
      </c>
      <c r="AL10" s="26" t="s">
        <v>5</v>
      </c>
      <c r="AM10" s="63" t="s">
        <v>17</v>
      </c>
      <c r="AN10" s="63" t="s">
        <v>17</v>
      </c>
      <c r="AO10" s="63" t="s">
        <v>17</v>
      </c>
      <c r="AP10" s="26" t="s">
        <v>5</v>
      </c>
      <c r="AQ10" s="26" t="s">
        <v>5</v>
      </c>
      <c r="AR10" s="63" t="s">
        <v>17</v>
      </c>
      <c r="AS10" s="63" t="s">
        <v>17</v>
      </c>
      <c r="AT10" s="63" t="s">
        <v>17</v>
      </c>
      <c r="AU10" s="26" t="s">
        <v>18</v>
      </c>
      <c r="AV10" s="26" t="s">
        <v>5</v>
      </c>
      <c r="AW10" s="63" t="s">
        <v>17</v>
      </c>
      <c r="AX10" s="63" t="s">
        <v>17</v>
      </c>
      <c r="AY10" s="63" t="s">
        <v>17</v>
      </c>
      <c r="AZ10" s="26" t="s">
        <v>5</v>
      </c>
      <c r="BA10" s="26" t="s">
        <v>5</v>
      </c>
      <c r="BB10" s="63" t="s">
        <v>17</v>
      </c>
      <c r="BC10" s="63" t="s">
        <v>17</v>
      </c>
      <c r="BD10" s="63" t="s">
        <v>17</v>
      </c>
      <c r="BE10" s="30">
        <v>1.3125</v>
      </c>
      <c r="BF10" s="1">
        <f t="shared" si="0"/>
        <v>0</v>
      </c>
      <c r="BG10" s="1">
        <f t="shared" si="1"/>
        <v>13</v>
      </c>
      <c r="BH10" s="1">
        <f t="shared" si="2"/>
        <v>0</v>
      </c>
      <c r="BI10" s="1">
        <f t="shared" si="3"/>
        <v>0</v>
      </c>
      <c r="BJ10" s="1">
        <f t="shared" si="4"/>
        <v>0</v>
      </c>
      <c r="BK10" s="1">
        <f t="shared" si="5"/>
        <v>0</v>
      </c>
      <c r="BL10" s="1">
        <f t="shared" si="6"/>
        <v>0</v>
      </c>
      <c r="BN10" s="1">
        <f t="shared" si="7"/>
        <v>34</v>
      </c>
      <c r="BO10" s="1">
        <f t="shared" si="8"/>
        <v>3</v>
      </c>
      <c r="BP10" s="1">
        <f t="shared" si="9"/>
        <v>0</v>
      </c>
      <c r="BQ10" s="1">
        <f t="shared" si="10"/>
        <v>0</v>
      </c>
      <c r="BR10" s="1">
        <f t="shared" si="11"/>
        <v>0</v>
      </c>
    </row>
    <row r="11" spans="1:70" x14ac:dyDescent="0.3">
      <c r="A11">
        <v>162</v>
      </c>
      <c r="B11" s="56">
        <v>3</v>
      </c>
      <c r="C11" s="24">
        <v>44723.229166666664</v>
      </c>
      <c r="D11" s="33">
        <f t="shared" si="12"/>
        <v>0.1875</v>
      </c>
      <c r="E11" s="64">
        <f t="shared" si="13"/>
        <v>1.5</v>
      </c>
      <c r="F11" s="40">
        <f t="shared" si="14"/>
        <v>1.5</v>
      </c>
      <c r="G11" s="26" t="s">
        <v>5</v>
      </c>
      <c r="H11" s="26" t="s">
        <v>5</v>
      </c>
      <c r="I11" s="63" t="s">
        <v>17</v>
      </c>
      <c r="J11" s="63" t="s">
        <v>17</v>
      </c>
      <c r="K11" s="63" t="s">
        <v>17</v>
      </c>
      <c r="L11" s="26" t="s">
        <v>18</v>
      </c>
      <c r="M11" s="26" t="s">
        <v>5</v>
      </c>
      <c r="N11" s="63" t="s">
        <v>17</v>
      </c>
      <c r="O11" s="63" t="s">
        <v>17</v>
      </c>
      <c r="P11" s="63" t="s">
        <v>17</v>
      </c>
      <c r="Q11" s="26" t="s">
        <v>18</v>
      </c>
      <c r="R11" s="63" t="s">
        <v>17</v>
      </c>
      <c r="S11" s="63" t="s">
        <v>17</v>
      </c>
      <c r="T11" s="63" t="s">
        <v>17</v>
      </c>
      <c r="U11" s="63" t="s">
        <v>17</v>
      </c>
      <c r="V11" s="26" t="s">
        <v>5</v>
      </c>
      <c r="W11" s="26" t="s">
        <v>5</v>
      </c>
      <c r="X11" s="63" t="s">
        <v>17</v>
      </c>
      <c r="Y11" s="63" t="s">
        <v>17</v>
      </c>
      <c r="Z11" s="63" t="s">
        <v>17</v>
      </c>
      <c r="AA11" s="63" t="s">
        <v>17</v>
      </c>
      <c r="AB11" s="63" t="s">
        <v>17</v>
      </c>
      <c r="AC11" s="63" t="s">
        <v>17</v>
      </c>
      <c r="AD11" s="63" t="s">
        <v>17</v>
      </c>
      <c r="AE11" s="63" t="s">
        <v>17</v>
      </c>
      <c r="AF11" s="26" t="s">
        <v>18</v>
      </c>
      <c r="AG11" s="63" t="s">
        <v>17</v>
      </c>
      <c r="AH11" s="63" t="s">
        <v>17</v>
      </c>
      <c r="AI11" s="63" t="s">
        <v>17</v>
      </c>
      <c r="AJ11" s="63" t="s">
        <v>17</v>
      </c>
      <c r="AK11" s="26" t="s">
        <v>18</v>
      </c>
      <c r="AL11" s="26" t="s">
        <v>5</v>
      </c>
      <c r="AM11" s="63" t="s">
        <v>17</v>
      </c>
      <c r="AN11" s="63" t="s">
        <v>17</v>
      </c>
      <c r="AO11" s="63" t="s">
        <v>17</v>
      </c>
      <c r="AP11" s="26" t="s">
        <v>18</v>
      </c>
      <c r="AQ11" s="26" t="s">
        <v>18</v>
      </c>
      <c r="AR11" s="63" t="s">
        <v>17</v>
      </c>
      <c r="AS11" s="63" t="s">
        <v>17</v>
      </c>
      <c r="AT11" s="63" t="s">
        <v>17</v>
      </c>
      <c r="AU11" s="26" t="s">
        <v>18</v>
      </c>
      <c r="AV11" s="26" t="s">
        <v>18</v>
      </c>
      <c r="AW11" s="63" t="s">
        <v>17</v>
      </c>
      <c r="AX11" s="63" t="s">
        <v>17</v>
      </c>
      <c r="AY11" s="63" t="s">
        <v>17</v>
      </c>
      <c r="AZ11" s="26" t="s">
        <v>18</v>
      </c>
      <c r="BA11" s="26" t="s">
        <v>5</v>
      </c>
      <c r="BB11" s="63" t="s">
        <v>17</v>
      </c>
      <c r="BC11" s="63" t="s">
        <v>17</v>
      </c>
      <c r="BD11" s="63" t="s">
        <v>17</v>
      </c>
      <c r="BE11" s="30">
        <v>1.5</v>
      </c>
      <c r="BF11" s="1">
        <f t="shared" si="0"/>
        <v>0</v>
      </c>
      <c r="BG11" s="1">
        <f t="shared" si="1"/>
        <v>7</v>
      </c>
      <c r="BH11" s="1">
        <f t="shared" si="2"/>
        <v>0</v>
      </c>
      <c r="BI11" s="1">
        <f t="shared" si="3"/>
        <v>0</v>
      </c>
      <c r="BJ11" s="1">
        <f t="shared" si="4"/>
        <v>0</v>
      </c>
      <c r="BK11" s="1">
        <f t="shared" si="5"/>
        <v>0</v>
      </c>
      <c r="BL11" s="1">
        <f t="shared" si="6"/>
        <v>0</v>
      </c>
      <c r="BN11" s="1">
        <f t="shared" si="7"/>
        <v>34</v>
      </c>
      <c r="BO11" s="1">
        <f t="shared" si="8"/>
        <v>9</v>
      </c>
      <c r="BP11" s="1">
        <f t="shared" si="9"/>
        <v>0</v>
      </c>
      <c r="BQ11" s="1">
        <f t="shared" si="10"/>
        <v>0</v>
      </c>
      <c r="BR11" s="1">
        <f t="shared" si="11"/>
        <v>0</v>
      </c>
    </row>
    <row r="12" spans="1:70" x14ac:dyDescent="0.3">
      <c r="A12">
        <v>162</v>
      </c>
      <c r="B12" s="56">
        <v>3</v>
      </c>
      <c r="C12" s="24">
        <v>44723.416666666664</v>
      </c>
      <c r="D12" s="33">
        <f t="shared" si="12"/>
        <v>0.1875</v>
      </c>
      <c r="E12" s="64">
        <f t="shared" si="13"/>
        <v>1.6875</v>
      </c>
      <c r="F12" s="40">
        <f t="shared" si="14"/>
        <v>1.6875</v>
      </c>
      <c r="G12" s="26" t="s">
        <v>5</v>
      </c>
      <c r="H12" s="26" t="s">
        <v>5</v>
      </c>
      <c r="I12" s="63" t="s">
        <v>17</v>
      </c>
      <c r="J12" s="63" t="s">
        <v>17</v>
      </c>
      <c r="K12" s="63" t="s">
        <v>17</v>
      </c>
      <c r="L12" s="26" t="s">
        <v>18</v>
      </c>
      <c r="M12" s="26" t="s">
        <v>5</v>
      </c>
      <c r="N12" s="63" t="s">
        <v>17</v>
      </c>
      <c r="O12" s="63" t="s">
        <v>17</v>
      </c>
      <c r="P12" s="63" t="s">
        <v>17</v>
      </c>
      <c r="Q12" s="26" t="s">
        <v>18</v>
      </c>
      <c r="R12" s="63" t="s">
        <v>17</v>
      </c>
      <c r="S12" s="63" t="s">
        <v>17</v>
      </c>
      <c r="T12" s="63" t="s">
        <v>17</v>
      </c>
      <c r="U12" s="63" t="s">
        <v>17</v>
      </c>
      <c r="V12" s="26" t="s">
        <v>5</v>
      </c>
      <c r="W12" s="26" t="s">
        <v>5</v>
      </c>
      <c r="X12" s="63" t="s">
        <v>17</v>
      </c>
      <c r="Y12" s="63" t="s">
        <v>17</v>
      </c>
      <c r="Z12" s="63" t="s">
        <v>17</v>
      </c>
      <c r="AA12" s="63" t="s">
        <v>17</v>
      </c>
      <c r="AB12" s="63" t="s">
        <v>17</v>
      </c>
      <c r="AC12" s="63" t="s">
        <v>17</v>
      </c>
      <c r="AD12" s="63" t="s">
        <v>17</v>
      </c>
      <c r="AE12" s="63" t="s">
        <v>17</v>
      </c>
      <c r="AF12" s="26" t="s">
        <v>18</v>
      </c>
      <c r="AG12" s="63" t="s">
        <v>17</v>
      </c>
      <c r="AH12" s="63" t="s">
        <v>17</v>
      </c>
      <c r="AI12" s="63" t="s">
        <v>17</v>
      </c>
      <c r="AJ12" s="63" t="s">
        <v>17</v>
      </c>
      <c r="AK12" s="26" t="s">
        <v>18</v>
      </c>
      <c r="AL12" s="26" t="s">
        <v>5</v>
      </c>
      <c r="AM12" s="63" t="s">
        <v>17</v>
      </c>
      <c r="AN12" s="63" t="s">
        <v>17</v>
      </c>
      <c r="AO12" s="63" t="s">
        <v>17</v>
      </c>
      <c r="AP12" s="26" t="s">
        <v>18</v>
      </c>
      <c r="AQ12" s="26" t="s">
        <v>18</v>
      </c>
      <c r="AR12" s="63" t="s">
        <v>17</v>
      </c>
      <c r="AS12" s="63" t="s">
        <v>17</v>
      </c>
      <c r="AT12" s="63" t="s">
        <v>17</v>
      </c>
      <c r="AU12" s="26" t="s">
        <v>18</v>
      </c>
      <c r="AV12" s="26" t="s">
        <v>18</v>
      </c>
      <c r="AW12" s="63" t="s">
        <v>17</v>
      </c>
      <c r="AX12" s="63" t="s">
        <v>17</v>
      </c>
      <c r="AY12" s="63" t="s">
        <v>17</v>
      </c>
      <c r="AZ12" s="26" t="s">
        <v>18</v>
      </c>
      <c r="BA12" s="26" t="s">
        <v>5</v>
      </c>
      <c r="BB12" s="63" t="s">
        <v>17</v>
      </c>
      <c r="BC12" s="63" t="s">
        <v>17</v>
      </c>
      <c r="BD12" s="63" t="s">
        <v>17</v>
      </c>
      <c r="BE12" s="30">
        <v>1.6875</v>
      </c>
      <c r="BF12" s="1">
        <f t="shared" si="0"/>
        <v>0</v>
      </c>
      <c r="BG12" s="1">
        <f t="shared" si="1"/>
        <v>7</v>
      </c>
      <c r="BH12" s="1">
        <f t="shared" si="2"/>
        <v>0</v>
      </c>
      <c r="BI12" s="1">
        <f t="shared" si="3"/>
        <v>0</v>
      </c>
      <c r="BJ12" s="1">
        <f t="shared" si="4"/>
        <v>0</v>
      </c>
      <c r="BK12" s="1">
        <f t="shared" si="5"/>
        <v>0</v>
      </c>
      <c r="BL12" s="1">
        <f t="shared" si="6"/>
        <v>0</v>
      </c>
      <c r="BN12" s="1">
        <f t="shared" si="7"/>
        <v>34</v>
      </c>
      <c r="BO12" s="1">
        <f t="shared" si="8"/>
        <v>9</v>
      </c>
      <c r="BP12" s="1">
        <f t="shared" si="9"/>
        <v>0</v>
      </c>
      <c r="BQ12" s="1">
        <f t="shared" si="10"/>
        <v>0</v>
      </c>
      <c r="BR12" s="1">
        <f t="shared" si="11"/>
        <v>0</v>
      </c>
    </row>
    <row r="13" spans="1:70" x14ac:dyDescent="0.3">
      <c r="A13">
        <v>162</v>
      </c>
      <c r="B13" s="56">
        <v>3</v>
      </c>
      <c r="C13" s="24">
        <v>44723.604166666664</v>
      </c>
      <c r="D13" s="33">
        <f t="shared" si="12"/>
        <v>0.1875</v>
      </c>
      <c r="E13" s="64">
        <f t="shared" si="13"/>
        <v>1.875</v>
      </c>
      <c r="F13" s="40">
        <f t="shared" si="14"/>
        <v>1.875</v>
      </c>
      <c r="G13" s="26" t="s">
        <v>5</v>
      </c>
      <c r="H13" s="26" t="s">
        <v>18</v>
      </c>
      <c r="I13" s="63" t="s">
        <v>17</v>
      </c>
      <c r="J13" s="63" t="s">
        <v>17</v>
      </c>
      <c r="K13" s="63" t="s">
        <v>17</v>
      </c>
      <c r="L13" s="26" t="s">
        <v>18</v>
      </c>
      <c r="M13" s="26" t="s">
        <v>5</v>
      </c>
      <c r="N13" s="63" t="s">
        <v>17</v>
      </c>
      <c r="O13" s="63" t="s">
        <v>17</v>
      </c>
      <c r="P13" s="63" t="s">
        <v>17</v>
      </c>
      <c r="Q13" s="26" t="s">
        <v>18</v>
      </c>
      <c r="R13" s="63" t="s">
        <v>17</v>
      </c>
      <c r="S13" s="63" t="s">
        <v>17</v>
      </c>
      <c r="T13" s="63" t="s">
        <v>17</v>
      </c>
      <c r="U13" s="63" t="s">
        <v>17</v>
      </c>
      <c r="V13" s="26" t="s">
        <v>5</v>
      </c>
      <c r="W13" s="26" t="s">
        <v>18</v>
      </c>
      <c r="X13" s="63" t="s">
        <v>17</v>
      </c>
      <c r="Y13" s="63" t="s">
        <v>17</v>
      </c>
      <c r="Z13" s="63" t="s">
        <v>17</v>
      </c>
      <c r="AA13" s="63" t="s">
        <v>17</v>
      </c>
      <c r="AB13" s="63" t="s">
        <v>17</v>
      </c>
      <c r="AC13" s="63" t="s">
        <v>17</v>
      </c>
      <c r="AD13" s="63" t="s">
        <v>17</v>
      </c>
      <c r="AE13" s="63" t="s">
        <v>17</v>
      </c>
      <c r="AF13" s="26" t="s">
        <v>18</v>
      </c>
      <c r="AG13" s="63" t="s">
        <v>17</v>
      </c>
      <c r="AH13" s="63" t="s">
        <v>17</v>
      </c>
      <c r="AI13" s="63" t="s">
        <v>17</v>
      </c>
      <c r="AJ13" s="63" t="s">
        <v>17</v>
      </c>
      <c r="AK13" s="26" t="s">
        <v>18</v>
      </c>
      <c r="AL13" s="26" t="s">
        <v>18</v>
      </c>
      <c r="AM13" s="63" t="s">
        <v>17</v>
      </c>
      <c r="AN13" s="63" t="s">
        <v>17</v>
      </c>
      <c r="AO13" s="63" t="s">
        <v>17</v>
      </c>
      <c r="AP13" s="26" t="s">
        <v>18</v>
      </c>
      <c r="AQ13" s="26" t="s">
        <v>18</v>
      </c>
      <c r="AR13" s="63" t="s">
        <v>17</v>
      </c>
      <c r="AS13" s="63" t="s">
        <v>17</v>
      </c>
      <c r="AT13" s="63" t="s">
        <v>17</v>
      </c>
      <c r="AU13" s="26" t="s">
        <v>18</v>
      </c>
      <c r="AV13" s="26" t="s">
        <v>18</v>
      </c>
      <c r="AW13" s="63" t="s">
        <v>17</v>
      </c>
      <c r="AX13" s="63" t="s">
        <v>17</v>
      </c>
      <c r="AY13" s="63" t="s">
        <v>17</v>
      </c>
      <c r="AZ13" s="26" t="s">
        <v>18</v>
      </c>
      <c r="BA13" s="26" t="s">
        <v>18</v>
      </c>
      <c r="BB13" s="63" t="s">
        <v>17</v>
      </c>
      <c r="BC13" s="63" t="s">
        <v>17</v>
      </c>
      <c r="BD13" s="63" t="s">
        <v>17</v>
      </c>
      <c r="BE13" s="30">
        <v>1.875</v>
      </c>
      <c r="BF13" s="1">
        <f t="shared" si="0"/>
        <v>0</v>
      </c>
      <c r="BG13" s="1">
        <f t="shared" si="1"/>
        <v>3</v>
      </c>
      <c r="BH13" s="1">
        <f t="shared" si="2"/>
        <v>0</v>
      </c>
      <c r="BI13" s="1">
        <f t="shared" si="3"/>
        <v>0</v>
      </c>
      <c r="BJ13" s="1">
        <f t="shared" si="4"/>
        <v>0</v>
      </c>
      <c r="BK13" s="1">
        <f t="shared" si="5"/>
        <v>0</v>
      </c>
      <c r="BL13" s="1">
        <f t="shared" si="6"/>
        <v>0</v>
      </c>
      <c r="BN13" s="1">
        <f t="shared" si="7"/>
        <v>34</v>
      </c>
      <c r="BO13" s="1">
        <f t="shared" si="8"/>
        <v>13</v>
      </c>
      <c r="BP13" s="1">
        <f t="shared" si="9"/>
        <v>0</v>
      </c>
      <c r="BQ13" s="1">
        <f t="shared" si="10"/>
        <v>0</v>
      </c>
      <c r="BR13" s="1">
        <f t="shared" si="11"/>
        <v>0</v>
      </c>
    </row>
    <row r="14" spans="1:70" x14ac:dyDescent="0.3">
      <c r="A14">
        <v>162</v>
      </c>
      <c r="B14" s="56">
        <v>3</v>
      </c>
      <c r="C14" s="24">
        <v>44723.791666666664</v>
      </c>
      <c r="D14" s="33">
        <f t="shared" si="12"/>
        <v>0.1875</v>
      </c>
      <c r="E14" s="64">
        <f t="shared" si="13"/>
        <v>2.0625</v>
      </c>
      <c r="F14" s="40">
        <f t="shared" si="14"/>
        <v>2.0625</v>
      </c>
      <c r="G14" s="26" t="s">
        <v>5</v>
      </c>
      <c r="H14" s="26" t="s">
        <v>18</v>
      </c>
      <c r="I14" s="63" t="s">
        <v>17</v>
      </c>
      <c r="J14" s="63" t="s">
        <v>17</v>
      </c>
      <c r="K14" s="63" t="s">
        <v>17</v>
      </c>
      <c r="L14" s="26" t="s">
        <v>18</v>
      </c>
      <c r="M14" s="26" t="s">
        <v>5</v>
      </c>
      <c r="N14" s="63" t="s">
        <v>17</v>
      </c>
      <c r="O14" s="63" t="s">
        <v>17</v>
      </c>
      <c r="P14" s="63" t="s">
        <v>17</v>
      </c>
      <c r="Q14" s="26" t="s">
        <v>18</v>
      </c>
      <c r="R14" s="63" t="s">
        <v>17</v>
      </c>
      <c r="S14" s="63" t="s">
        <v>17</v>
      </c>
      <c r="T14" s="63" t="s">
        <v>17</v>
      </c>
      <c r="U14" s="63" t="s">
        <v>17</v>
      </c>
      <c r="V14" s="26" t="s">
        <v>5</v>
      </c>
      <c r="W14" s="26" t="s">
        <v>18</v>
      </c>
      <c r="X14" s="63" t="s">
        <v>17</v>
      </c>
      <c r="Y14" s="63" t="s">
        <v>17</v>
      </c>
      <c r="Z14" s="63" t="s">
        <v>17</v>
      </c>
      <c r="AA14" s="63" t="s">
        <v>17</v>
      </c>
      <c r="AB14" s="63" t="s">
        <v>17</v>
      </c>
      <c r="AC14" s="63" t="s">
        <v>17</v>
      </c>
      <c r="AD14" s="63" t="s">
        <v>17</v>
      </c>
      <c r="AE14" s="63" t="s">
        <v>17</v>
      </c>
      <c r="AF14" s="26" t="s">
        <v>18</v>
      </c>
      <c r="AG14" s="63" t="s">
        <v>17</v>
      </c>
      <c r="AH14" s="63" t="s">
        <v>17</v>
      </c>
      <c r="AI14" s="63" t="s">
        <v>17</v>
      </c>
      <c r="AJ14" s="63" t="s">
        <v>17</v>
      </c>
      <c r="AK14" s="26" t="s">
        <v>18</v>
      </c>
      <c r="AL14" s="26" t="s">
        <v>18</v>
      </c>
      <c r="AM14" s="63" t="s">
        <v>17</v>
      </c>
      <c r="AN14" s="63" t="s">
        <v>17</v>
      </c>
      <c r="AO14" s="63" t="s">
        <v>17</v>
      </c>
      <c r="AP14" s="26" t="s">
        <v>18</v>
      </c>
      <c r="AQ14" s="26" t="s">
        <v>18</v>
      </c>
      <c r="AR14" s="63" t="s">
        <v>17</v>
      </c>
      <c r="AS14" s="63" t="s">
        <v>17</v>
      </c>
      <c r="AT14" s="63" t="s">
        <v>17</v>
      </c>
      <c r="AU14" s="26" t="s">
        <v>18</v>
      </c>
      <c r="AV14" s="26" t="s">
        <v>18</v>
      </c>
      <c r="AW14" s="63" t="s">
        <v>17</v>
      </c>
      <c r="AX14" s="63" t="s">
        <v>17</v>
      </c>
      <c r="AY14" s="63" t="s">
        <v>17</v>
      </c>
      <c r="AZ14" s="26" t="s">
        <v>18</v>
      </c>
      <c r="BA14" s="26" t="s">
        <v>18</v>
      </c>
      <c r="BB14" s="63" t="s">
        <v>17</v>
      </c>
      <c r="BC14" s="63" t="s">
        <v>17</v>
      </c>
      <c r="BD14" s="63" t="s">
        <v>17</v>
      </c>
      <c r="BE14" s="30">
        <v>2.0625</v>
      </c>
      <c r="BF14" s="1">
        <f t="shared" si="0"/>
        <v>0</v>
      </c>
      <c r="BG14" s="1">
        <f t="shared" si="1"/>
        <v>3</v>
      </c>
      <c r="BH14" s="1">
        <f t="shared" si="2"/>
        <v>0</v>
      </c>
      <c r="BI14" s="1">
        <f t="shared" si="3"/>
        <v>0</v>
      </c>
      <c r="BJ14" s="1">
        <f t="shared" si="4"/>
        <v>0</v>
      </c>
      <c r="BK14" s="1">
        <f t="shared" si="5"/>
        <v>0</v>
      </c>
      <c r="BL14" s="1">
        <f t="shared" si="6"/>
        <v>0</v>
      </c>
      <c r="BN14" s="1">
        <f t="shared" si="7"/>
        <v>34</v>
      </c>
      <c r="BO14" s="1">
        <f t="shared" si="8"/>
        <v>13</v>
      </c>
      <c r="BP14" s="1">
        <f t="shared" si="9"/>
        <v>0</v>
      </c>
      <c r="BQ14" s="1">
        <f t="shared" si="10"/>
        <v>0</v>
      </c>
      <c r="BR14" s="1">
        <f t="shared" si="11"/>
        <v>0</v>
      </c>
    </row>
    <row r="15" spans="1:70" x14ac:dyDescent="0.3">
      <c r="A15">
        <v>162</v>
      </c>
      <c r="B15" s="56">
        <v>3</v>
      </c>
      <c r="C15" s="24">
        <v>44723.979166666664</v>
      </c>
      <c r="D15" s="33">
        <f t="shared" si="12"/>
        <v>0.1875</v>
      </c>
      <c r="E15" s="64">
        <f t="shared" si="13"/>
        <v>2.25</v>
      </c>
      <c r="F15" s="40">
        <f t="shared" si="14"/>
        <v>2.25</v>
      </c>
      <c r="G15" s="26" t="s">
        <v>5</v>
      </c>
      <c r="H15" s="26" t="s">
        <v>18</v>
      </c>
      <c r="I15" s="63" t="s">
        <v>17</v>
      </c>
      <c r="J15" s="63" t="s">
        <v>17</v>
      </c>
      <c r="K15" s="63" t="s">
        <v>17</v>
      </c>
      <c r="L15" s="26" t="s">
        <v>18</v>
      </c>
      <c r="M15" s="26" t="s">
        <v>18</v>
      </c>
      <c r="N15" s="63" t="s">
        <v>17</v>
      </c>
      <c r="O15" s="63" t="s">
        <v>17</v>
      </c>
      <c r="P15" s="63" t="s">
        <v>17</v>
      </c>
      <c r="Q15" s="26" t="s">
        <v>18</v>
      </c>
      <c r="R15" s="63" t="s">
        <v>17</v>
      </c>
      <c r="S15" s="63" t="s">
        <v>17</v>
      </c>
      <c r="T15" s="63" t="s">
        <v>17</v>
      </c>
      <c r="U15" s="63" t="s">
        <v>17</v>
      </c>
      <c r="V15" s="26" t="s">
        <v>18</v>
      </c>
      <c r="W15" s="26" t="s">
        <v>18</v>
      </c>
      <c r="X15" s="63" t="s">
        <v>17</v>
      </c>
      <c r="Y15" s="63" t="s">
        <v>17</v>
      </c>
      <c r="Z15" s="63" t="s">
        <v>17</v>
      </c>
      <c r="AA15" s="63" t="s">
        <v>17</v>
      </c>
      <c r="AB15" s="63" t="s">
        <v>17</v>
      </c>
      <c r="AC15" s="63" t="s">
        <v>17</v>
      </c>
      <c r="AD15" s="63" t="s">
        <v>17</v>
      </c>
      <c r="AE15" s="63" t="s">
        <v>17</v>
      </c>
      <c r="AF15" s="26" t="s">
        <v>18</v>
      </c>
      <c r="AG15" s="63" t="s">
        <v>17</v>
      </c>
      <c r="AH15" s="63" t="s">
        <v>17</v>
      </c>
      <c r="AI15" s="63" t="s">
        <v>17</v>
      </c>
      <c r="AJ15" s="63" t="s">
        <v>17</v>
      </c>
      <c r="AK15" s="26" t="s">
        <v>18</v>
      </c>
      <c r="AL15" s="26" t="s">
        <v>18</v>
      </c>
      <c r="AM15" s="63" t="s">
        <v>17</v>
      </c>
      <c r="AN15" s="63" t="s">
        <v>17</v>
      </c>
      <c r="AO15" s="63" t="s">
        <v>17</v>
      </c>
      <c r="AP15" s="26" t="s">
        <v>18</v>
      </c>
      <c r="AQ15" s="26" t="s">
        <v>18</v>
      </c>
      <c r="AR15" s="63" t="s">
        <v>17</v>
      </c>
      <c r="AS15" s="63" t="s">
        <v>17</v>
      </c>
      <c r="AT15" s="63" t="s">
        <v>17</v>
      </c>
      <c r="AU15" s="26" t="s">
        <v>18</v>
      </c>
      <c r="AV15" s="26" t="s">
        <v>18</v>
      </c>
      <c r="AW15" s="63" t="s">
        <v>17</v>
      </c>
      <c r="AX15" s="63" t="s">
        <v>17</v>
      </c>
      <c r="AY15" s="63" t="s">
        <v>17</v>
      </c>
      <c r="AZ15" s="26" t="s">
        <v>18</v>
      </c>
      <c r="BA15" s="26" t="s">
        <v>18</v>
      </c>
      <c r="BB15" s="63" t="s">
        <v>17</v>
      </c>
      <c r="BC15" s="63" t="s">
        <v>17</v>
      </c>
      <c r="BD15" s="63" t="s">
        <v>17</v>
      </c>
      <c r="BE15" s="30">
        <v>2.25</v>
      </c>
      <c r="BF15" s="1">
        <f t="shared" si="0"/>
        <v>0</v>
      </c>
      <c r="BG15" s="1">
        <f t="shared" si="1"/>
        <v>1</v>
      </c>
      <c r="BH15" s="1">
        <f t="shared" si="2"/>
        <v>0</v>
      </c>
      <c r="BI15" s="1">
        <f t="shared" si="3"/>
        <v>0</v>
      </c>
      <c r="BJ15" s="1">
        <f t="shared" si="4"/>
        <v>0</v>
      </c>
      <c r="BK15" s="1">
        <f t="shared" si="5"/>
        <v>0</v>
      </c>
      <c r="BL15" s="1">
        <f t="shared" si="6"/>
        <v>0</v>
      </c>
      <c r="BN15" s="1">
        <f t="shared" si="7"/>
        <v>34</v>
      </c>
      <c r="BO15" s="1">
        <f t="shared" si="8"/>
        <v>15</v>
      </c>
      <c r="BP15" s="1">
        <f t="shared" si="9"/>
        <v>0</v>
      </c>
      <c r="BQ15" s="1">
        <f t="shared" si="10"/>
        <v>0</v>
      </c>
      <c r="BR15" s="1">
        <f t="shared" si="11"/>
        <v>0</v>
      </c>
    </row>
    <row r="16" spans="1:70" x14ac:dyDescent="0.3">
      <c r="A16">
        <v>163</v>
      </c>
      <c r="B16" s="56">
        <v>4</v>
      </c>
      <c r="C16" s="24">
        <v>44724.166666666664</v>
      </c>
      <c r="D16" s="33">
        <f t="shared" si="12"/>
        <v>0.1875</v>
      </c>
      <c r="E16" s="64">
        <f t="shared" si="13"/>
        <v>2.4375</v>
      </c>
      <c r="F16" s="40">
        <f t="shared" si="14"/>
        <v>2.4375</v>
      </c>
      <c r="G16" s="26" t="s">
        <v>5</v>
      </c>
      <c r="H16" s="26" t="s">
        <v>18</v>
      </c>
      <c r="I16" s="63" t="s">
        <v>17</v>
      </c>
      <c r="J16" s="63" t="s">
        <v>17</v>
      </c>
      <c r="K16" s="63" t="s">
        <v>17</v>
      </c>
      <c r="L16" s="26" t="s">
        <v>18</v>
      </c>
      <c r="M16" s="26" t="s">
        <v>18</v>
      </c>
      <c r="N16" s="63" t="s">
        <v>17</v>
      </c>
      <c r="O16" s="63" t="s">
        <v>17</v>
      </c>
      <c r="P16" s="63" t="s">
        <v>17</v>
      </c>
      <c r="Q16" s="26" t="s">
        <v>18</v>
      </c>
      <c r="R16" s="63" t="s">
        <v>17</v>
      </c>
      <c r="S16" s="63" t="s">
        <v>17</v>
      </c>
      <c r="T16" s="63" t="s">
        <v>17</v>
      </c>
      <c r="U16" s="63" t="s">
        <v>17</v>
      </c>
      <c r="V16" s="26" t="s">
        <v>18</v>
      </c>
      <c r="W16" s="26" t="s">
        <v>18</v>
      </c>
      <c r="X16" s="63" t="s">
        <v>17</v>
      </c>
      <c r="Y16" s="63" t="s">
        <v>17</v>
      </c>
      <c r="Z16" s="63" t="s">
        <v>17</v>
      </c>
      <c r="AA16" s="63" t="s">
        <v>17</v>
      </c>
      <c r="AB16" s="63" t="s">
        <v>17</v>
      </c>
      <c r="AC16" s="63" t="s">
        <v>17</v>
      </c>
      <c r="AD16" s="63" t="s">
        <v>17</v>
      </c>
      <c r="AE16" s="63" t="s">
        <v>17</v>
      </c>
      <c r="AF16" s="26" t="s">
        <v>18</v>
      </c>
      <c r="AG16" s="63" t="s">
        <v>17</v>
      </c>
      <c r="AH16" s="63" t="s">
        <v>17</v>
      </c>
      <c r="AI16" s="63" t="s">
        <v>17</v>
      </c>
      <c r="AJ16" s="63" t="s">
        <v>17</v>
      </c>
      <c r="AK16" s="26" t="s">
        <v>18</v>
      </c>
      <c r="AL16" s="26" t="s">
        <v>18</v>
      </c>
      <c r="AM16" s="63" t="s">
        <v>17</v>
      </c>
      <c r="AN16" s="63" t="s">
        <v>17</v>
      </c>
      <c r="AO16" s="63" t="s">
        <v>17</v>
      </c>
      <c r="AP16" s="26" t="s">
        <v>18</v>
      </c>
      <c r="AQ16" s="26" t="s">
        <v>18</v>
      </c>
      <c r="AR16" s="63" t="s">
        <v>17</v>
      </c>
      <c r="AS16" s="63" t="s">
        <v>17</v>
      </c>
      <c r="AT16" s="63" t="s">
        <v>17</v>
      </c>
      <c r="AU16" s="26" t="s">
        <v>18</v>
      </c>
      <c r="AV16" s="26" t="s">
        <v>18</v>
      </c>
      <c r="AW16" s="63" t="s">
        <v>17</v>
      </c>
      <c r="AX16" s="63" t="s">
        <v>17</v>
      </c>
      <c r="AY16" s="63" t="s">
        <v>17</v>
      </c>
      <c r="AZ16" s="26" t="s">
        <v>18</v>
      </c>
      <c r="BA16" s="26" t="s">
        <v>18</v>
      </c>
      <c r="BB16" s="63" t="s">
        <v>17</v>
      </c>
      <c r="BC16" s="63" t="s">
        <v>17</v>
      </c>
      <c r="BD16" s="63" t="s">
        <v>17</v>
      </c>
      <c r="BE16" s="30">
        <v>2.4375</v>
      </c>
      <c r="BF16" s="1">
        <f t="shared" si="0"/>
        <v>0</v>
      </c>
      <c r="BG16" s="1">
        <f t="shared" si="1"/>
        <v>1</v>
      </c>
      <c r="BH16" s="1">
        <f t="shared" si="2"/>
        <v>0</v>
      </c>
      <c r="BI16" s="1">
        <f t="shared" si="3"/>
        <v>0</v>
      </c>
      <c r="BJ16" s="1">
        <f t="shared" si="4"/>
        <v>0</v>
      </c>
      <c r="BK16" s="1">
        <f t="shared" si="5"/>
        <v>0</v>
      </c>
      <c r="BL16" s="1">
        <f t="shared" si="6"/>
        <v>0</v>
      </c>
      <c r="BN16" s="1">
        <f t="shared" si="7"/>
        <v>34</v>
      </c>
      <c r="BO16" s="1">
        <f t="shared" si="8"/>
        <v>15</v>
      </c>
      <c r="BP16" s="1">
        <f t="shared" si="9"/>
        <v>0</v>
      </c>
      <c r="BQ16" s="1">
        <f t="shared" si="10"/>
        <v>0</v>
      </c>
      <c r="BR16" s="1">
        <f t="shared" si="11"/>
        <v>0</v>
      </c>
    </row>
    <row r="17" spans="1:70" x14ac:dyDescent="0.3">
      <c r="A17">
        <v>163</v>
      </c>
      <c r="B17" s="56">
        <v>4</v>
      </c>
      <c r="C17" s="24">
        <v>44724.354166666664</v>
      </c>
      <c r="D17" s="33">
        <f t="shared" si="12"/>
        <v>0.1875</v>
      </c>
      <c r="E17" s="64">
        <f t="shared" si="13"/>
        <v>2.625</v>
      </c>
      <c r="F17" s="40">
        <f t="shared" si="14"/>
        <v>2.625</v>
      </c>
      <c r="G17" s="26" t="s">
        <v>18</v>
      </c>
      <c r="H17" s="26" t="s">
        <v>18</v>
      </c>
      <c r="I17" s="63" t="s">
        <v>17</v>
      </c>
      <c r="J17" s="63" t="s">
        <v>17</v>
      </c>
      <c r="K17" s="63" t="s">
        <v>17</v>
      </c>
      <c r="L17" s="26" t="s">
        <v>18</v>
      </c>
      <c r="M17" s="26" t="s">
        <v>18</v>
      </c>
      <c r="N17" s="63" t="s">
        <v>17</v>
      </c>
      <c r="O17" s="63" t="s">
        <v>17</v>
      </c>
      <c r="P17" s="63" t="s">
        <v>17</v>
      </c>
      <c r="Q17" s="26" t="s">
        <v>18</v>
      </c>
      <c r="R17" s="63" t="s">
        <v>17</v>
      </c>
      <c r="S17" s="63" t="s">
        <v>17</v>
      </c>
      <c r="T17" s="63" t="s">
        <v>17</v>
      </c>
      <c r="U17" s="63" t="s">
        <v>17</v>
      </c>
      <c r="V17" s="26" t="s">
        <v>18</v>
      </c>
      <c r="W17" s="26" t="s">
        <v>18</v>
      </c>
      <c r="X17" s="63" t="s">
        <v>17</v>
      </c>
      <c r="Y17" s="63" t="s">
        <v>17</v>
      </c>
      <c r="Z17" s="63" t="s">
        <v>17</v>
      </c>
      <c r="AA17" s="63" t="s">
        <v>17</v>
      </c>
      <c r="AB17" s="63" t="s">
        <v>17</v>
      </c>
      <c r="AC17" s="63" t="s">
        <v>17</v>
      </c>
      <c r="AD17" s="63" t="s">
        <v>17</v>
      </c>
      <c r="AE17" s="63" t="s">
        <v>17</v>
      </c>
      <c r="AF17" s="26" t="s">
        <v>18</v>
      </c>
      <c r="AG17" s="63" t="s">
        <v>17</v>
      </c>
      <c r="AH17" s="63" t="s">
        <v>17</v>
      </c>
      <c r="AI17" s="63" t="s">
        <v>17</v>
      </c>
      <c r="AJ17" s="63" t="s">
        <v>17</v>
      </c>
      <c r="AK17" s="26" t="s">
        <v>18</v>
      </c>
      <c r="AL17" s="26" t="s">
        <v>18</v>
      </c>
      <c r="AM17" s="63" t="s">
        <v>17</v>
      </c>
      <c r="AN17" s="63" t="s">
        <v>17</v>
      </c>
      <c r="AO17" s="63" t="s">
        <v>17</v>
      </c>
      <c r="AP17" s="26" t="s">
        <v>18</v>
      </c>
      <c r="AQ17" s="26" t="s">
        <v>18</v>
      </c>
      <c r="AR17" s="63" t="s">
        <v>17</v>
      </c>
      <c r="AS17" s="63" t="s">
        <v>17</v>
      </c>
      <c r="AT17" s="63" t="s">
        <v>17</v>
      </c>
      <c r="AU17" s="26" t="s">
        <v>18</v>
      </c>
      <c r="AV17" s="26" t="s">
        <v>18</v>
      </c>
      <c r="AW17" s="63" t="s">
        <v>17</v>
      </c>
      <c r="AX17" s="63" t="s">
        <v>17</v>
      </c>
      <c r="AY17" s="63" t="s">
        <v>17</v>
      </c>
      <c r="AZ17" s="26" t="s">
        <v>18</v>
      </c>
      <c r="BA17" s="26" t="s">
        <v>18</v>
      </c>
      <c r="BB17" s="63" t="s">
        <v>17</v>
      </c>
      <c r="BC17" s="63" t="s">
        <v>17</v>
      </c>
      <c r="BD17" s="63" t="s">
        <v>17</v>
      </c>
      <c r="BE17" s="30">
        <v>2.625</v>
      </c>
      <c r="BF17" s="1">
        <f t="shared" si="0"/>
        <v>0</v>
      </c>
      <c r="BG17" s="1">
        <f t="shared" si="1"/>
        <v>0</v>
      </c>
      <c r="BH17" s="1">
        <f t="shared" si="2"/>
        <v>0</v>
      </c>
      <c r="BI17" s="1">
        <f t="shared" si="3"/>
        <v>0</v>
      </c>
      <c r="BJ17" s="1">
        <f t="shared" si="4"/>
        <v>0</v>
      </c>
      <c r="BK17" s="1">
        <f t="shared" si="5"/>
        <v>0</v>
      </c>
      <c r="BL17" s="1">
        <f t="shared" si="6"/>
        <v>0</v>
      </c>
      <c r="BN17" s="1">
        <f t="shared" si="7"/>
        <v>34</v>
      </c>
      <c r="BO17" s="1">
        <f t="shared" si="8"/>
        <v>16</v>
      </c>
      <c r="BP17" s="1">
        <f t="shared" si="9"/>
        <v>0</v>
      </c>
      <c r="BQ17" s="1">
        <f t="shared" si="10"/>
        <v>0</v>
      </c>
      <c r="BR17" s="1">
        <f t="shared" si="11"/>
        <v>0</v>
      </c>
    </row>
    <row r="18" spans="1:70" x14ac:dyDescent="0.3">
      <c r="A18">
        <v>163</v>
      </c>
      <c r="B18" s="56">
        <v>4</v>
      </c>
      <c r="C18" s="24">
        <v>44724.541666666664</v>
      </c>
      <c r="D18" s="33">
        <f t="shared" si="12"/>
        <v>0.1875</v>
      </c>
      <c r="E18" s="64">
        <f t="shared" si="13"/>
        <v>2.8125</v>
      </c>
      <c r="F18" s="40">
        <f t="shared" si="14"/>
        <v>2.8125</v>
      </c>
      <c r="G18" s="26" t="s">
        <v>18</v>
      </c>
      <c r="H18" s="26" t="s">
        <v>18</v>
      </c>
      <c r="I18" s="63" t="s">
        <v>17</v>
      </c>
      <c r="J18" s="63" t="s">
        <v>17</v>
      </c>
      <c r="K18" s="63" t="s">
        <v>17</v>
      </c>
      <c r="L18" s="26" t="s">
        <v>18</v>
      </c>
      <c r="M18" s="26" t="s">
        <v>18</v>
      </c>
      <c r="N18" s="63" t="s">
        <v>17</v>
      </c>
      <c r="O18" s="63" t="s">
        <v>17</v>
      </c>
      <c r="P18" s="63" t="s">
        <v>17</v>
      </c>
      <c r="Q18" s="26" t="s">
        <v>18</v>
      </c>
      <c r="R18" s="63" t="s">
        <v>17</v>
      </c>
      <c r="S18" s="63" t="s">
        <v>17</v>
      </c>
      <c r="T18" s="63" t="s">
        <v>17</v>
      </c>
      <c r="U18" s="63" t="s">
        <v>17</v>
      </c>
      <c r="V18" s="26" t="s">
        <v>18</v>
      </c>
      <c r="W18" s="26" t="s">
        <v>18</v>
      </c>
      <c r="X18" s="63" t="s">
        <v>17</v>
      </c>
      <c r="Y18" s="63" t="s">
        <v>17</v>
      </c>
      <c r="Z18" s="63" t="s">
        <v>17</v>
      </c>
      <c r="AA18" s="63" t="s">
        <v>17</v>
      </c>
      <c r="AB18" s="63" t="s">
        <v>17</v>
      </c>
      <c r="AC18" s="63" t="s">
        <v>17</v>
      </c>
      <c r="AD18" s="63" t="s">
        <v>17</v>
      </c>
      <c r="AE18" s="63" t="s">
        <v>17</v>
      </c>
      <c r="AF18" s="26" t="s">
        <v>18</v>
      </c>
      <c r="AG18" s="63" t="s">
        <v>17</v>
      </c>
      <c r="AH18" s="63" t="s">
        <v>17</v>
      </c>
      <c r="AI18" s="63" t="s">
        <v>17</v>
      </c>
      <c r="AJ18" s="63" t="s">
        <v>17</v>
      </c>
      <c r="AK18" s="26" t="s">
        <v>18</v>
      </c>
      <c r="AL18" s="26" t="s">
        <v>18</v>
      </c>
      <c r="AM18" s="63" t="s">
        <v>17</v>
      </c>
      <c r="AN18" s="63" t="s">
        <v>17</v>
      </c>
      <c r="AO18" s="63" t="s">
        <v>17</v>
      </c>
      <c r="AP18" s="26" t="s">
        <v>18</v>
      </c>
      <c r="AQ18" s="26" t="s">
        <v>18</v>
      </c>
      <c r="AR18" s="63" t="s">
        <v>17</v>
      </c>
      <c r="AS18" s="63" t="s">
        <v>17</v>
      </c>
      <c r="AT18" s="63" t="s">
        <v>17</v>
      </c>
      <c r="AU18" s="26" t="s">
        <v>18</v>
      </c>
      <c r="AV18" s="26" t="s">
        <v>18</v>
      </c>
      <c r="AW18" s="63" t="s">
        <v>17</v>
      </c>
      <c r="AX18" s="63" t="s">
        <v>17</v>
      </c>
      <c r="AY18" s="63" t="s">
        <v>17</v>
      </c>
      <c r="AZ18" s="26" t="s">
        <v>18</v>
      </c>
      <c r="BA18" s="26" t="s">
        <v>18</v>
      </c>
      <c r="BB18" s="63" t="s">
        <v>17</v>
      </c>
      <c r="BC18" s="63" t="s">
        <v>17</v>
      </c>
      <c r="BD18" s="63" t="s">
        <v>17</v>
      </c>
      <c r="BE18" s="30">
        <v>2.8125</v>
      </c>
      <c r="BF18" s="1">
        <f t="shared" si="0"/>
        <v>0</v>
      </c>
      <c r="BG18" s="1">
        <f t="shared" si="1"/>
        <v>0</v>
      </c>
      <c r="BH18" s="1">
        <f t="shared" si="2"/>
        <v>0</v>
      </c>
      <c r="BI18" s="1">
        <f t="shared" si="3"/>
        <v>0</v>
      </c>
      <c r="BJ18" s="1">
        <f t="shared" si="4"/>
        <v>0</v>
      </c>
      <c r="BK18" s="1">
        <f t="shared" si="5"/>
        <v>0</v>
      </c>
      <c r="BL18" s="1">
        <f t="shared" si="6"/>
        <v>0</v>
      </c>
      <c r="BN18" s="1">
        <f t="shared" si="7"/>
        <v>34</v>
      </c>
      <c r="BO18" s="1">
        <f t="shared" si="8"/>
        <v>16</v>
      </c>
      <c r="BP18" s="1">
        <f t="shared" si="9"/>
        <v>0</v>
      </c>
      <c r="BQ18" s="1">
        <f t="shared" si="10"/>
        <v>0</v>
      </c>
      <c r="BR18" s="1">
        <f t="shared" si="11"/>
        <v>0</v>
      </c>
    </row>
    <row r="19" spans="1:70" x14ac:dyDescent="0.3">
      <c r="A19">
        <v>163</v>
      </c>
      <c r="B19" s="56">
        <v>4</v>
      </c>
      <c r="C19" s="24">
        <v>44724.729166666664</v>
      </c>
      <c r="D19" s="33">
        <f t="shared" si="12"/>
        <v>0.1875</v>
      </c>
      <c r="E19" s="64">
        <f t="shared" si="13"/>
        <v>3</v>
      </c>
      <c r="F19" s="40">
        <f t="shared" si="14"/>
        <v>3</v>
      </c>
      <c r="G19" s="26" t="s">
        <v>18</v>
      </c>
      <c r="H19" s="26" t="s">
        <v>18</v>
      </c>
      <c r="I19" s="63" t="s">
        <v>17</v>
      </c>
      <c r="J19" s="63" t="s">
        <v>17</v>
      </c>
      <c r="K19" s="63" t="s">
        <v>17</v>
      </c>
      <c r="L19" s="26" t="s">
        <v>18</v>
      </c>
      <c r="M19" s="26" t="s">
        <v>18</v>
      </c>
      <c r="N19" s="63" t="s">
        <v>17</v>
      </c>
      <c r="O19" s="63" t="s">
        <v>17</v>
      </c>
      <c r="P19" s="63" t="s">
        <v>17</v>
      </c>
      <c r="Q19" s="26" t="s">
        <v>18</v>
      </c>
      <c r="R19" s="63" t="s">
        <v>17</v>
      </c>
      <c r="S19" s="63" t="s">
        <v>17</v>
      </c>
      <c r="T19" s="63" t="s">
        <v>17</v>
      </c>
      <c r="U19" s="63" t="s">
        <v>17</v>
      </c>
      <c r="V19" s="26" t="s">
        <v>18</v>
      </c>
      <c r="W19" s="26" t="s">
        <v>18</v>
      </c>
      <c r="X19" s="63" t="s">
        <v>17</v>
      </c>
      <c r="Y19" s="63" t="s">
        <v>17</v>
      </c>
      <c r="Z19" s="63" t="s">
        <v>17</v>
      </c>
      <c r="AA19" s="63" t="s">
        <v>17</v>
      </c>
      <c r="AB19" s="63" t="s">
        <v>17</v>
      </c>
      <c r="AC19" s="63" t="s">
        <v>17</v>
      </c>
      <c r="AD19" s="63" t="s">
        <v>17</v>
      </c>
      <c r="AE19" s="63" t="s">
        <v>17</v>
      </c>
      <c r="AF19" s="26" t="s">
        <v>18</v>
      </c>
      <c r="AG19" s="63" t="s">
        <v>17</v>
      </c>
      <c r="AH19" s="63" t="s">
        <v>17</v>
      </c>
      <c r="AI19" s="63" t="s">
        <v>17</v>
      </c>
      <c r="AJ19" s="63" t="s">
        <v>17</v>
      </c>
      <c r="AK19" s="26" t="s">
        <v>18</v>
      </c>
      <c r="AL19" s="26" t="s">
        <v>18</v>
      </c>
      <c r="AM19" s="63" t="s">
        <v>17</v>
      </c>
      <c r="AN19" s="63" t="s">
        <v>17</v>
      </c>
      <c r="AO19" s="63" t="s">
        <v>17</v>
      </c>
      <c r="AP19" s="26" t="s">
        <v>18</v>
      </c>
      <c r="AQ19" s="26" t="s">
        <v>18</v>
      </c>
      <c r="AR19" s="63" t="s">
        <v>17</v>
      </c>
      <c r="AS19" s="63" t="s">
        <v>17</v>
      </c>
      <c r="AT19" s="63" t="s">
        <v>17</v>
      </c>
      <c r="AU19" s="26" t="s">
        <v>18</v>
      </c>
      <c r="AV19" s="26" t="s">
        <v>18</v>
      </c>
      <c r="AW19" s="63" t="s">
        <v>17</v>
      </c>
      <c r="AX19" s="63" t="s">
        <v>17</v>
      </c>
      <c r="AY19" s="63" t="s">
        <v>17</v>
      </c>
      <c r="AZ19" s="26" t="s">
        <v>18</v>
      </c>
      <c r="BA19" s="26" t="s">
        <v>18</v>
      </c>
      <c r="BB19" s="63" t="s">
        <v>17</v>
      </c>
      <c r="BC19" s="63" t="s">
        <v>17</v>
      </c>
      <c r="BD19" s="63" t="s">
        <v>17</v>
      </c>
      <c r="BE19" s="30">
        <v>3</v>
      </c>
      <c r="BF19" s="1">
        <f t="shared" si="0"/>
        <v>0</v>
      </c>
      <c r="BG19" s="1">
        <f t="shared" si="1"/>
        <v>0</v>
      </c>
      <c r="BH19" s="1">
        <f t="shared" si="2"/>
        <v>0</v>
      </c>
      <c r="BI19" s="1">
        <f t="shared" si="3"/>
        <v>0</v>
      </c>
      <c r="BJ19" s="1">
        <f t="shared" si="4"/>
        <v>0</v>
      </c>
      <c r="BK19" s="1">
        <f t="shared" si="5"/>
        <v>0</v>
      </c>
      <c r="BL19" s="1">
        <f t="shared" si="6"/>
        <v>0</v>
      </c>
      <c r="BN19" s="1">
        <f t="shared" si="7"/>
        <v>34</v>
      </c>
      <c r="BO19" s="1">
        <f t="shared" si="8"/>
        <v>16</v>
      </c>
      <c r="BP19" s="1">
        <f t="shared" si="9"/>
        <v>0</v>
      </c>
      <c r="BQ19" s="1">
        <f t="shared" si="10"/>
        <v>0</v>
      </c>
      <c r="BR19" s="1">
        <f t="shared" si="11"/>
        <v>0</v>
      </c>
    </row>
    <row r="20" spans="1:70" x14ac:dyDescent="0.3">
      <c r="A20">
        <v>163</v>
      </c>
      <c r="B20" s="56">
        <v>4</v>
      </c>
      <c r="C20" s="24">
        <v>44724.916666666664</v>
      </c>
      <c r="D20" s="33">
        <f t="shared" si="12"/>
        <v>0.1875</v>
      </c>
      <c r="E20" s="64">
        <f t="shared" si="13"/>
        <v>3.1875</v>
      </c>
      <c r="F20" s="40">
        <f t="shared" si="14"/>
        <v>3.1875</v>
      </c>
      <c r="G20" s="26" t="s">
        <v>18</v>
      </c>
      <c r="H20" s="26" t="s">
        <v>18</v>
      </c>
      <c r="I20" s="63" t="s">
        <v>17</v>
      </c>
      <c r="J20" s="63" t="s">
        <v>17</v>
      </c>
      <c r="K20" s="63" t="s">
        <v>17</v>
      </c>
      <c r="L20" s="26" t="s">
        <v>18</v>
      </c>
      <c r="M20" s="26" t="s">
        <v>18</v>
      </c>
      <c r="N20" s="63" t="s">
        <v>17</v>
      </c>
      <c r="O20" s="63" t="s">
        <v>17</v>
      </c>
      <c r="P20" s="63" t="s">
        <v>17</v>
      </c>
      <c r="Q20" s="26" t="s">
        <v>18</v>
      </c>
      <c r="R20" s="63" t="s">
        <v>17</v>
      </c>
      <c r="S20" s="63" t="s">
        <v>17</v>
      </c>
      <c r="T20" s="63" t="s">
        <v>17</v>
      </c>
      <c r="U20" s="63" t="s">
        <v>17</v>
      </c>
      <c r="V20" s="26" t="s">
        <v>18</v>
      </c>
      <c r="W20" s="26" t="s">
        <v>18</v>
      </c>
      <c r="X20" s="63" t="s">
        <v>17</v>
      </c>
      <c r="Y20" s="63" t="s">
        <v>17</v>
      </c>
      <c r="Z20" s="63" t="s">
        <v>17</v>
      </c>
      <c r="AA20" s="63" t="s">
        <v>17</v>
      </c>
      <c r="AB20" s="63" t="s">
        <v>17</v>
      </c>
      <c r="AC20" s="63" t="s">
        <v>17</v>
      </c>
      <c r="AD20" s="63" t="s">
        <v>17</v>
      </c>
      <c r="AE20" s="63" t="s">
        <v>17</v>
      </c>
      <c r="AF20" s="26" t="s">
        <v>18</v>
      </c>
      <c r="AG20" s="63" t="s">
        <v>17</v>
      </c>
      <c r="AH20" s="63" t="s">
        <v>17</v>
      </c>
      <c r="AI20" s="63" t="s">
        <v>17</v>
      </c>
      <c r="AJ20" s="63" t="s">
        <v>17</v>
      </c>
      <c r="AK20" s="26" t="s">
        <v>18</v>
      </c>
      <c r="AL20" s="26" t="s">
        <v>18</v>
      </c>
      <c r="AM20" s="63" t="s">
        <v>17</v>
      </c>
      <c r="AN20" s="63" t="s">
        <v>17</v>
      </c>
      <c r="AO20" s="63" t="s">
        <v>17</v>
      </c>
      <c r="AP20" s="26" t="s">
        <v>18</v>
      </c>
      <c r="AQ20" s="26" t="s">
        <v>18</v>
      </c>
      <c r="AR20" s="63" t="s">
        <v>17</v>
      </c>
      <c r="AS20" s="63" t="s">
        <v>17</v>
      </c>
      <c r="AT20" s="63" t="s">
        <v>17</v>
      </c>
      <c r="AU20" s="26" t="s">
        <v>18</v>
      </c>
      <c r="AV20" s="26" t="s">
        <v>18</v>
      </c>
      <c r="AW20" s="63" t="s">
        <v>17</v>
      </c>
      <c r="AX20" s="63" t="s">
        <v>17</v>
      </c>
      <c r="AY20" s="63" t="s">
        <v>17</v>
      </c>
      <c r="AZ20" s="26" t="s">
        <v>18</v>
      </c>
      <c r="BA20" s="26" t="s">
        <v>18</v>
      </c>
      <c r="BB20" s="63" t="s">
        <v>17</v>
      </c>
      <c r="BC20" s="63" t="s">
        <v>17</v>
      </c>
      <c r="BD20" s="63" t="s">
        <v>17</v>
      </c>
      <c r="BE20" s="30">
        <v>3.1875</v>
      </c>
      <c r="BF20" s="1">
        <f t="shared" si="0"/>
        <v>0</v>
      </c>
      <c r="BG20" s="1">
        <f t="shared" si="1"/>
        <v>0</v>
      </c>
      <c r="BH20" s="1">
        <f t="shared" si="2"/>
        <v>0</v>
      </c>
      <c r="BI20" s="1">
        <f t="shared" si="3"/>
        <v>0</v>
      </c>
      <c r="BJ20" s="1">
        <f t="shared" si="4"/>
        <v>0</v>
      </c>
      <c r="BK20" s="1">
        <f t="shared" si="5"/>
        <v>0</v>
      </c>
      <c r="BL20" s="1">
        <f t="shared" si="6"/>
        <v>0</v>
      </c>
      <c r="BN20" s="1">
        <f t="shared" si="7"/>
        <v>34</v>
      </c>
      <c r="BO20" s="1">
        <f t="shared" si="8"/>
        <v>16</v>
      </c>
      <c r="BP20" s="1">
        <f t="shared" si="9"/>
        <v>0</v>
      </c>
      <c r="BQ20" s="1">
        <f t="shared" si="10"/>
        <v>0</v>
      </c>
      <c r="BR20" s="1">
        <f t="shared" si="11"/>
        <v>0</v>
      </c>
    </row>
    <row r="21" spans="1:70" x14ac:dyDescent="0.3">
      <c r="A21">
        <v>164</v>
      </c>
      <c r="B21" s="56">
        <v>5</v>
      </c>
      <c r="C21" s="24">
        <v>44725.104166666664</v>
      </c>
      <c r="D21" s="33">
        <f t="shared" si="12"/>
        <v>0.1875</v>
      </c>
      <c r="E21" s="64">
        <f t="shared" si="13"/>
        <v>3.375</v>
      </c>
      <c r="F21" s="40">
        <f t="shared" si="14"/>
        <v>3.375</v>
      </c>
      <c r="G21" s="26" t="s">
        <v>18</v>
      </c>
      <c r="H21" s="26" t="s">
        <v>18</v>
      </c>
      <c r="I21" s="63" t="s">
        <v>17</v>
      </c>
      <c r="J21" s="63" t="s">
        <v>17</v>
      </c>
      <c r="K21" s="63" t="s">
        <v>17</v>
      </c>
      <c r="L21" s="26" t="s">
        <v>18</v>
      </c>
      <c r="M21" s="26" t="s">
        <v>18</v>
      </c>
      <c r="N21" s="63" t="s">
        <v>17</v>
      </c>
      <c r="O21" s="63" t="s">
        <v>17</v>
      </c>
      <c r="P21" s="63" t="s">
        <v>17</v>
      </c>
      <c r="Q21" s="26" t="s">
        <v>18</v>
      </c>
      <c r="R21" s="63" t="s">
        <v>17</v>
      </c>
      <c r="S21" s="63" t="s">
        <v>17</v>
      </c>
      <c r="T21" s="63" t="s">
        <v>17</v>
      </c>
      <c r="U21" s="63" t="s">
        <v>17</v>
      </c>
      <c r="V21" s="26" t="s">
        <v>18</v>
      </c>
      <c r="W21" s="26" t="s">
        <v>18</v>
      </c>
      <c r="X21" s="63" t="s">
        <v>17</v>
      </c>
      <c r="Y21" s="63" t="s">
        <v>17</v>
      </c>
      <c r="Z21" s="63" t="s">
        <v>17</v>
      </c>
      <c r="AA21" s="63" t="s">
        <v>17</v>
      </c>
      <c r="AB21" s="63" t="s">
        <v>17</v>
      </c>
      <c r="AC21" s="63" t="s">
        <v>17</v>
      </c>
      <c r="AD21" s="63" t="s">
        <v>17</v>
      </c>
      <c r="AE21" s="63" t="s">
        <v>17</v>
      </c>
      <c r="AF21" s="26" t="s">
        <v>18</v>
      </c>
      <c r="AG21" s="63" t="s">
        <v>17</v>
      </c>
      <c r="AH21" s="63" t="s">
        <v>17</v>
      </c>
      <c r="AI21" s="63" t="s">
        <v>17</v>
      </c>
      <c r="AJ21" s="63" t="s">
        <v>17</v>
      </c>
      <c r="AK21" s="26" t="s">
        <v>18</v>
      </c>
      <c r="AL21" s="26" t="s">
        <v>18</v>
      </c>
      <c r="AM21" s="63" t="s">
        <v>17</v>
      </c>
      <c r="AN21" s="63" t="s">
        <v>17</v>
      </c>
      <c r="AO21" s="63" t="s">
        <v>17</v>
      </c>
      <c r="AP21" s="26" t="s">
        <v>18</v>
      </c>
      <c r="AQ21" s="26" t="s">
        <v>18</v>
      </c>
      <c r="AR21" s="63" t="s">
        <v>17</v>
      </c>
      <c r="AS21" s="63" t="s">
        <v>17</v>
      </c>
      <c r="AT21" s="63" t="s">
        <v>17</v>
      </c>
      <c r="AU21" s="26" t="s">
        <v>18</v>
      </c>
      <c r="AV21" s="26" t="s">
        <v>18</v>
      </c>
      <c r="AW21" s="63" t="s">
        <v>17</v>
      </c>
      <c r="AX21" s="63" t="s">
        <v>17</v>
      </c>
      <c r="AY21" s="63" t="s">
        <v>17</v>
      </c>
      <c r="AZ21" s="26" t="s">
        <v>18</v>
      </c>
      <c r="BA21" s="26" t="s">
        <v>18</v>
      </c>
      <c r="BB21" s="63" t="s">
        <v>17</v>
      </c>
      <c r="BC21" s="63" t="s">
        <v>17</v>
      </c>
      <c r="BD21" s="63" t="s">
        <v>17</v>
      </c>
      <c r="BE21" s="30">
        <v>3.375</v>
      </c>
      <c r="BF21" s="1">
        <f t="shared" si="0"/>
        <v>0</v>
      </c>
      <c r="BG21" s="1">
        <f t="shared" si="1"/>
        <v>0</v>
      </c>
      <c r="BH21" s="1">
        <f t="shared" si="2"/>
        <v>0</v>
      </c>
      <c r="BI21" s="1">
        <f t="shared" si="3"/>
        <v>0</v>
      </c>
      <c r="BJ21" s="1">
        <f t="shared" si="4"/>
        <v>0</v>
      </c>
      <c r="BK21" s="1">
        <f t="shared" si="5"/>
        <v>0</v>
      </c>
      <c r="BL21" s="1">
        <f t="shared" si="6"/>
        <v>0</v>
      </c>
      <c r="BN21" s="1">
        <f t="shared" si="7"/>
        <v>34</v>
      </c>
      <c r="BO21" s="1">
        <f t="shared" si="8"/>
        <v>16</v>
      </c>
      <c r="BP21" s="1">
        <f t="shared" si="9"/>
        <v>0</v>
      </c>
      <c r="BQ21" s="1">
        <f t="shared" si="10"/>
        <v>0</v>
      </c>
      <c r="BR21" s="1">
        <f t="shared" si="11"/>
        <v>0</v>
      </c>
    </row>
    <row r="22" spans="1:70" x14ac:dyDescent="0.3">
      <c r="A22">
        <v>164</v>
      </c>
      <c r="B22" s="56">
        <v>5</v>
      </c>
      <c r="C22" s="24">
        <v>44725.291666666664</v>
      </c>
      <c r="D22" s="33">
        <f t="shared" si="12"/>
        <v>0.1875</v>
      </c>
      <c r="E22" s="64">
        <f t="shared" si="13"/>
        <v>3.5625</v>
      </c>
      <c r="F22" s="40">
        <f t="shared" si="14"/>
        <v>3.5625</v>
      </c>
      <c r="G22" s="26" t="s">
        <v>18</v>
      </c>
      <c r="H22" s="26" t="s">
        <v>18</v>
      </c>
      <c r="I22" s="63" t="s">
        <v>17</v>
      </c>
      <c r="J22" s="63" t="s">
        <v>17</v>
      </c>
      <c r="K22" s="63" t="s">
        <v>17</v>
      </c>
      <c r="L22" s="26" t="s">
        <v>18</v>
      </c>
      <c r="M22" s="26" t="s">
        <v>18</v>
      </c>
      <c r="N22" s="63" t="s">
        <v>17</v>
      </c>
      <c r="O22" s="63" t="s">
        <v>17</v>
      </c>
      <c r="P22" s="63" t="s">
        <v>17</v>
      </c>
      <c r="Q22" s="26" t="s">
        <v>18</v>
      </c>
      <c r="R22" s="63" t="s">
        <v>17</v>
      </c>
      <c r="S22" s="63" t="s">
        <v>17</v>
      </c>
      <c r="T22" s="63" t="s">
        <v>17</v>
      </c>
      <c r="U22" s="63" t="s">
        <v>17</v>
      </c>
      <c r="V22" s="26" t="s">
        <v>18</v>
      </c>
      <c r="W22" s="26" t="s">
        <v>18</v>
      </c>
      <c r="X22" s="63" t="s">
        <v>17</v>
      </c>
      <c r="Y22" s="63" t="s">
        <v>17</v>
      </c>
      <c r="Z22" s="63" t="s">
        <v>17</v>
      </c>
      <c r="AA22" s="63" t="s">
        <v>17</v>
      </c>
      <c r="AB22" s="63" t="s">
        <v>17</v>
      </c>
      <c r="AC22" s="63" t="s">
        <v>17</v>
      </c>
      <c r="AD22" s="63" t="s">
        <v>17</v>
      </c>
      <c r="AE22" s="63" t="s">
        <v>17</v>
      </c>
      <c r="AF22" s="26" t="s">
        <v>18</v>
      </c>
      <c r="AG22" s="63" t="s">
        <v>17</v>
      </c>
      <c r="AH22" s="63" t="s">
        <v>17</v>
      </c>
      <c r="AI22" s="63" t="s">
        <v>17</v>
      </c>
      <c r="AJ22" s="63" t="s">
        <v>17</v>
      </c>
      <c r="AK22" s="26" t="s">
        <v>18</v>
      </c>
      <c r="AL22" s="26" t="s">
        <v>18</v>
      </c>
      <c r="AM22" s="63" t="s">
        <v>17</v>
      </c>
      <c r="AN22" s="63" t="s">
        <v>17</v>
      </c>
      <c r="AO22" s="63" t="s">
        <v>17</v>
      </c>
      <c r="AP22" s="26" t="s">
        <v>18</v>
      </c>
      <c r="AQ22" s="26" t="s">
        <v>18</v>
      </c>
      <c r="AR22" s="63" t="s">
        <v>17</v>
      </c>
      <c r="AS22" s="63" t="s">
        <v>17</v>
      </c>
      <c r="AT22" s="63" t="s">
        <v>17</v>
      </c>
      <c r="AU22" s="26" t="s">
        <v>18</v>
      </c>
      <c r="AV22" s="26" t="s">
        <v>18</v>
      </c>
      <c r="AW22" s="63" t="s">
        <v>17</v>
      </c>
      <c r="AX22" s="63" t="s">
        <v>17</v>
      </c>
      <c r="AY22" s="63" t="s">
        <v>17</v>
      </c>
      <c r="AZ22" s="26" t="s">
        <v>18</v>
      </c>
      <c r="BA22" s="26" t="s">
        <v>18</v>
      </c>
      <c r="BB22" s="63" t="s">
        <v>17</v>
      </c>
      <c r="BC22" s="63" t="s">
        <v>17</v>
      </c>
      <c r="BD22" s="63" t="s">
        <v>17</v>
      </c>
      <c r="BE22" s="30">
        <v>3.5625</v>
      </c>
      <c r="BF22" s="1">
        <f t="shared" si="0"/>
        <v>0</v>
      </c>
      <c r="BG22" s="1">
        <f t="shared" si="1"/>
        <v>0</v>
      </c>
      <c r="BH22" s="1">
        <f t="shared" si="2"/>
        <v>0</v>
      </c>
      <c r="BI22" s="1">
        <f t="shared" si="3"/>
        <v>0</v>
      </c>
      <c r="BJ22" s="1">
        <f t="shared" si="4"/>
        <v>0</v>
      </c>
      <c r="BK22" s="1">
        <f t="shared" si="5"/>
        <v>0</v>
      </c>
      <c r="BL22" s="1">
        <f t="shared" si="6"/>
        <v>0</v>
      </c>
      <c r="BN22" s="1">
        <f t="shared" si="7"/>
        <v>34</v>
      </c>
      <c r="BO22" s="1">
        <f t="shared" si="8"/>
        <v>16</v>
      </c>
      <c r="BP22" s="1">
        <f t="shared" si="9"/>
        <v>0</v>
      </c>
      <c r="BQ22" s="1">
        <f t="shared" si="10"/>
        <v>0</v>
      </c>
      <c r="BR22" s="1">
        <f t="shared" si="11"/>
        <v>0</v>
      </c>
    </row>
    <row r="23" spans="1:70" x14ac:dyDescent="0.3">
      <c r="A23">
        <v>164</v>
      </c>
      <c r="B23" s="56">
        <v>5</v>
      </c>
      <c r="C23" s="24">
        <v>44725.479166666664</v>
      </c>
      <c r="D23" s="33">
        <f t="shared" si="12"/>
        <v>0.1875</v>
      </c>
      <c r="E23" s="64">
        <f t="shared" si="13"/>
        <v>3.75</v>
      </c>
      <c r="F23" s="40">
        <f t="shared" si="14"/>
        <v>3.75</v>
      </c>
      <c r="G23" s="26" t="s">
        <v>18</v>
      </c>
      <c r="H23" s="26" t="s">
        <v>18</v>
      </c>
      <c r="I23" s="63" t="s">
        <v>17</v>
      </c>
      <c r="J23" s="63" t="s">
        <v>17</v>
      </c>
      <c r="K23" s="63" t="s">
        <v>17</v>
      </c>
      <c r="L23" s="26" t="s">
        <v>18</v>
      </c>
      <c r="M23" s="26" t="s">
        <v>18</v>
      </c>
      <c r="N23" s="63" t="s">
        <v>17</v>
      </c>
      <c r="O23" s="63" t="s">
        <v>17</v>
      </c>
      <c r="P23" s="63" t="s">
        <v>17</v>
      </c>
      <c r="Q23" s="26" t="s">
        <v>18</v>
      </c>
      <c r="R23" s="63" t="s">
        <v>17</v>
      </c>
      <c r="S23" s="63" t="s">
        <v>17</v>
      </c>
      <c r="T23" s="63" t="s">
        <v>17</v>
      </c>
      <c r="U23" s="63" t="s">
        <v>17</v>
      </c>
      <c r="V23" s="26" t="s">
        <v>18</v>
      </c>
      <c r="W23" s="26" t="s">
        <v>18</v>
      </c>
      <c r="X23" s="63" t="s">
        <v>17</v>
      </c>
      <c r="Y23" s="63" t="s">
        <v>17</v>
      </c>
      <c r="Z23" s="63" t="s">
        <v>17</v>
      </c>
      <c r="AA23" s="63" t="s">
        <v>17</v>
      </c>
      <c r="AB23" s="63" t="s">
        <v>17</v>
      </c>
      <c r="AC23" s="63" t="s">
        <v>17</v>
      </c>
      <c r="AD23" s="63" t="s">
        <v>17</v>
      </c>
      <c r="AE23" s="63" t="s">
        <v>17</v>
      </c>
      <c r="AF23" s="26" t="s">
        <v>18</v>
      </c>
      <c r="AG23" s="63" t="s">
        <v>17</v>
      </c>
      <c r="AH23" s="63" t="s">
        <v>17</v>
      </c>
      <c r="AI23" s="63" t="s">
        <v>17</v>
      </c>
      <c r="AJ23" s="63" t="s">
        <v>17</v>
      </c>
      <c r="AK23" s="26" t="s">
        <v>18</v>
      </c>
      <c r="AL23" s="26" t="s">
        <v>18</v>
      </c>
      <c r="AM23" s="63" t="s">
        <v>17</v>
      </c>
      <c r="AN23" s="63" t="s">
        <v>17</v>
      </c>
      <c r="AO23" s="63" t="s">
        <v>17</v>
      </c>
      <c r="AP23" s="26" t="s">
        <v>18</v>
      </c>
      <c r="AQ23" s="26" t="s">
        <v>18</v>
      </c>
      <c r="AR23" s="63" t="s">
        <v>17</v>
      </c>
      <c r="AS23" s="63" t="s">
        <v>17</v>
      </c>
      <c r="AT23" s="63" t="s">
        <v>17</v>
      </c>
      <c r="AU23" s="26" t="s">
        <v>18</v>
      </c>
      <c r="AV23" s="26" t="s">
        <v>18</v>
      </c>
      <c r="AW23" s="63" t="s">
        <v>17</v>
      </c>
      <c r="AX23" s="63" t="s">
        <v>17</v>
      </c>
      <c r="AY23" s="63" t="s">
        <v>17</v>
      </c>
      <c r="AZ23" s="26" t="s">
        <v>18</v>
      </c>
      <c r="BA23" s="26" t="s">
        <v>18</v>
      </c>
      <c r="BB23" s="63" t="s">
        <v>17</v>
      </c>
      <c r="BC23" s="63" t="s">
        <v>17</v>
      </c>
      <c r="BD23" s="63" t="s">
        <v>17</v>
      </c>
      <c r="BE23" s="30">
        <v>3.75</v>
      </c>
      <c r="BF23" s="1">
        <f t="shared" si="0"/>
        <v>0</v>
      </c>
      <c r="BG23" s="1">
        <f t="shared" si="1"/>
        <v>0</v>
      </c>
      <c r="BH23" s="1">
        <f t="shared" si="2"/>
        <v>0</v>
      </c>
      <c r="BI23" s="1">
        <f t="shared" si="3"/>
        <v>0</v>
      </c>
      <c r="BJ23" s="1">
        <f t="shared" si="4"/>
        <v>0</v>
      </c>
      <c r="BK23" s="1">
        <f t="shared" si="5"/>
        <v>0</v>
      </c>
      <c r="BL23" s="1">
        <f t="shared" si="6"/>
        <v>0</v>
      </c>
      <c r="BN23" s="1">
        <f t="shared" si="7"/>
        <v>34</v>
      </c>
      <c r="BO23" s="1">
        <f t="shared" si="8"/>
        <v>16</v>
      </c>
      <c r="BP23" s="1">
        <f t="shared" si="9"/>
        <v>0</v>
      </c>
      <c r="BQ23" s="1">
        <f t="shared" si="10"/>
        <v>0</v>
      </c>
      <c r="BR23" s="1">
        <f t="shared" si="11"/>
        <v>0</v>
      </c>
    </row>
    <row r="24" spans="1:70" x14ac:dyDescent="0.3">
      <c r="A24">
        <v>164</v>
      </c>
      <c r="B24" s="56">
        <v>5</v>
      </c>
      <c r="C24" s="24">
        <v>44725.666666666664</v>
      </c>
      <c r="D24" s="33">
        <f t="shared" si="12"/>
        <v>0.1875</v>
      </c>
      <c r="E24" s="64">
        <f t="shared" si="13"/>
        <v>3.9375</v>
      </c>
      <c r="F24" s="40">
        <f t="shared" si="14"/>
        <v>3.9375</v>
      </c>
      <c r="G24" s="26" t="s">
        <v>18</v>
      </c>
      <c r="H24" s="26" t="s">
        <v>18</v>
      </c>
      <c r="I24" s="63" t="s">
        <v>17</v>
      </c>
      <c r="J24" s="63" t="s">
        <v>17</v>
      </c>
      <c r="K24" s="63" t="s">
        <v>17</v>
      </c>
      <c r="L24" s="26" t="s">
        <v>18</v>
      </c>
      <c r="M24" s="26" t="s">
        <v>18</v>
      </c>
      <c r="N24" s="63" t="s">
        <v>17</v>
      </c>
      <c r="O24" s="63" t="s">
        <v>17</v>
      </c>
      <c r="P24" s="63" t="s">
        <v>17</v>
      </c>
      <c r="Q24" s="26" t="s">
        <v>18</v>
      </c>
      <c r="R24" s="63" t="s">
        <v>17</v>
      </c>
      <c r="S24" s="63" t="s">
        <v>17</v>
      </c>
      <c r="T24" s="63" t="s">
        <v>17</v>
      </c>
      <c r="U24" s="63" t="s">
        <v>17</v>
      </c>
      <c r="V24" s="26" t="s">
        <v>18</v>
      </c>
      <c r="W24" s="26" t="s">
        <v>18</v>
      </c>
      <c r="X24" s="63" t="s">
        <v>17</v>
      </c>
      <c r="Y24" s="63" t="s">
        <v>17</v>
      </c>
      <c r="Z24" s="63" t="s">
        <v>17</v>
      </c>
      <c r="AA24" s="63" t="s">
        <v>17</v>
      </c>
      <c r="AB24" s="63" t="s">
        <v>17</v>
      </c>
      <c r="AC24" s="63" t="s">
        <v>17</v>
      </c>
      <c r="AD24" s="63" t="s">
        <v>17</v>
      </c>
      <c r="AE24" s="63" t="s">
        <v>17</v>
      </c>
      <c r="AF24" s="26" t="s">
        <v>18</v>
      </c>
      <c r="AG24" s="63" t="s">
        <v>17</v>
      </c>
      <c r="AH24" s="63" t="s">
        <v>17</v>
      </c>
      <c r="AI24" s="63" t="s">
        <v>17</v>
      </c>
      <c r="AJ24" s="63" t="s">
        <v>17</v>
      </c>
      <c r="AK24" s="26" t="s">
        <v>18</v>
      </c>
      <c r="AL24" s="26" t="s">
        <v>18</v>
      </c>
      <c r="AM24" s="63" t="s">
        <v>17</v>
      </c>
      <c r="AN24" s="63" t="s">
        <v>17</v>
      </c>
      <c r="AO24" s="63" t="s">
        <v>17</v>
      </c>
      <c r="AP24" s="26" t="s">
        <v>18</v>
      </c>
      <c r="AQ24" s="26" t="s">
        <v>18</v>
      </c>
      <c r="AR24" s="63" t="s">
        <v>17</v>
      </c>
      <c r="AS24" s="63" t="s">
        <v>17</v>
      </c>
      <c r="AT24" s="63" t="s">
        <v>17</v>
      </c>
      <c r="AU24" s="26" t="s">
        <v>18</v>
      </c>
      <c r="AV24" s="26" t="s">
        <v>18</v>
      </c>
      <c r="AW24" s="63" t="s">
        <v>17</v>
      </c>
      <c r="AX24" s="63" t="s">
        <v>17</v>
      </c>
      <c r="AY24" s="63" t="s">
        <v>17</v>
      </c>
      <c r="AZ24" s="26" t="s">
        <v>18</v>
      </c>
      <c r="BA24" s="26" t="s">
        <v>18</v>
      </c>
      <c r="BB24" s="63" t="s">
        <v>17</v>
      </c>
      <c r="BC24" s="63" t="s">
        <v>17</v>
      </c>
      <c r="BD24" s="63" t="s">
        <v>17</v>
      </c>
      <c r="BE24" s="30">
        <v>3.9375</v>
      </c>
      <c r="BF24" s="1">
        <f t="shared" si="0"/>
        <v>0</v>
      </c>
      <c r="BG24" s="1">
        <f t="shared" si="1"/>
        <v>0</v>
      </c>
      <c r="BH24" s="1">
        <f t="shared" si="2"/>
        <v>0</v>
      </c>
      <c r="BI24" s="1">
        <f t="shared" si="3"/>
        <v>0</v>
      </c>
      <c r="BJ24" s="1">
        <f t="shared" si="4"/>
        <v>0</v>
      </c>
      <c r="BK24" s="1">
        <f t="shared" si="5"/>
        <v>0</v>
      </c>
      <c r="BL24" s="1">
        <f t="shared" si="6"/>
        <v>0</v>
      </c>
      <c r="BN24" s="1">
        <f t="shared" si="7"/>
        <v>34</v>
      </c>
      <c r="BO24" s="1">
        <f t="shared" si="8"/>
        <v>16</v>
      </c>
      <c r="BP24" s="1">
        <f t="shared" si="9"/>
        <v>0</v>
      </c>
      <c r="BQ24" s="1">
        <f t="shared" si="10"/>
        <v>0</v>
      </c>
      <c r="BR24" s="1">
        <f t="shared" si="11"/>
        <v>0</v>
      </c>
    </row>
    <row r="25" spans="1:70" x14ac:dyDescent="0.3">
      <c r="A25">
        <v>164</v>
      </c>
      <c r="B25" s="56">
        <v>5</v>
      </c>
      <c r="C25" s="24">
        <v>44725.854166666664</v>
      </c>
      <c r="D25" s="33">
        <f t="shared" si="12"/>
        <v>0.1875</v>
      </c>
      <c r="E25" s="64">
        <f t="shared" si="13"/>
        <v>4.125</v>
      </c>
      <c r="F25" s="40">
        <f t="shared" si="14"/>
        <v>4.125</v>
      </c>
      <c r="G25" s="26" t="s">
        <v>18</v>
      </c>
      <c r="H25" s="26" t="s">
        <v>18</v>
      </c>
      <c r="I25" s="63" t="s">
        <v>17</v>
      </c>
      <c r="J25" s="63" t="s">
        <v>17</v>
      </c>
      <c r="K25" s="63" t="s">
        <v>17</v>
      </c>
      <c r="L25" s="26" t="s">
        <v>18</v>
      </c>
      <c r="M25" s="26" t="s">
        <v>18</v>
      </c>
      <c r="N25" s="63" t="s">
        <v>17</v>
      </c>
      <c r="O25" s="63" t="s">
        <v>17</v>
      </c>
      <c r="P25" s="63" t="s">
        <v>17</v>
      </c>
      <c r="Q25" s="26" t="s">
        <v>18</v>
      </c>
      <c r="R25" s="63" t="s">
        <v>17</v>
      </c>
      <c r="S25" s="63" t="s">
        <v>17</v>
      </c>
      <c r="T25" s="63" t="s">
        <v>17</v>
      </c>
      <c r="U25" s="63" t="s">
        <v>17</v>
      </c>
      <c r="V25" s="26" t="s">
        <v>18</v>
      </c>
      <c r="W25" s="26" t="s">
        <v>18</v>
      </c>
      <c r="X25" s="63" t="s">
        <v>17</v>
      </c>
      <c r="Y25" s="63" t="s">
        <v>17</v>
      </c>
      <c r="Z25" s="63" t="s">
        <v>17</v>
      </c>
      <c r="AA25" s="63" t="s">
        <v>17</v>
      </c>
      <c r="AB25" s="63" t="s">
        <v>17</v>
      </c>
      <c r="AC25" s="63" t="s">
        <v>17</v>
      </c>
      <c r="AD25" s="63" t="s">
        <v>17</v>
      </c>
      <c r="AE25" s="63" t="s">
        <v>17</v>
      </c>
      <c r="AF25" s="26" t="s">
        <v>18</v>
      </c>
      <c r="AG25" s="63" t="s">
        <v>17</v>
      </c>
      <c r="AH25" s="63" t="s">
        <v>17</v>
      </c>
      <c r="AI25" s="63" t="s">
        <v>17</v>
      </c>
      <c r="AJ25" s="63" t="s">
        <v>17</v>
      </c>
      <c r="AK25" s="26" t="s">
        <v>18</v>
      </c>
      <c r="AL25" s="26" t="s">
        <v>18</v>
      </c>
      <c r="AM25" s="63" t="s">
        <v>17</v>
      </c>
      <c r="AN25" s="63" t="s">
        <v>17</v>
      </c>
      <c r="AO25" s="63" t="s">
        <v>17</v>
      </c>
      <c r="AP25" s="26" t="s">
        <v>18</v>
      </c>
      <c r="AQ25" s="26" t="s">
        <v>18</v>
      </c>
      <c r="AR25" s="63" t="s">
        <v>17</v>
      </c>
      <c r="AS25" s="63" t="s">
        <v>17</v>
      </c>
      <c r="AT25" s="63" t="s">
        <v>17</v>
      </c>
      <c r="AU25" s="26" t="s">
        <v>18</v>
      </c>
      <c r="AV25" s="26" t="s">
        <v>18</v>
      </c>
      <c r="AW25" s="63" t="s">
        <v>17</v>
      </c>
      <c r="AX25" s="63" t="s">
        <v>17</v>
      </c>
      <c r="AY25" s="63" t="s">
        <v>17</v>
      </c>
      <c r="AZ25" s="26" t="s">
        <v>18</v>
      </c>
      <c r="BA25" s="26" t="s">
        <v>18</v>
      </c>
      <c r="BB25" s="63" t="s">
        <v>17</v>
      </c>
      <c r="BC25" s="63" t="s">
        <v>17</v>
      </c>
      <c r="BD25" s="63" t="s">
        <v>17</v>
      </c>
      <c r="BE25" s="30">
        <v>4.125</v>
      </c>
      <c r="BF25" s="1">
        <f t="shared" si="0"/>
        <v>0</v>
      </c>
      <c r="BG25" s="1">
        <f t="shared" si="1"/>
        <v>0</v>
      </c>
      <c r="BH25" s="1">
        <f t="shared" si="2"/>
        <v>0</v>
      </c>
      <c r="BI25" s="1">
        <f t="shared" si="3"/>
        <v>0</v>
      </c>
      <c r="BJ25" s="1">
        <f t="shared" si="4"/>
        <v>0</v>
      </c>
      <c r="BK25" s="1">
        <f t="shared" si="5"/>
        <v>0</v>
      </c>
      <c r="BL25" s="1">
        <f t="shared" si="6"/>
        <v>0</v>
      </c>
      <c r="BN25" s="1">
        <f t="shared" si="7"/>
        <v>34</v>
      </c>
      <c r="BO25" s="1">
        <f t="shared" si="8"/>
        <v>16</v>
      </c>
      <c r="BP25" s="1">
        <f t="shared" si="9"/>
        <v>0</v>
      </c>
      <c r="BQ25" s="1">
        <f t="shared" si="10"/>
        <v>0</v>
      </c>
      <c r="BR25" s="1">
        <f t="shared" si="11"/>
        <v>0</v>
      </c>
    </row>
    <row r="26" spans="1:70" x14ac:dyDescent="0.3">
      <c r="A26">
        <v>165</v>
      </c>
      <c r="B26" s="56">
        <v>6</v>
      </c>
      <c r="C26" s="24">
        <v>44726.041666666664</v>
      </c>
      <c r="D26" s="33">
        <f t="shared" si="12"/>
        <v>0.1875</v>
      </c>
      <c r="E26" s="64">
        <f t="shared" si="13"/>
        <v>4.3125</v>
      </c>
      <c r="F26" s="40">
        <f t="shared" si="14"/>
        <v>4.3125</v>
      </c>
      <c r="G26" s="26" t="s">
        <v>18</v>
      </c>
      <c r="H26" s="26" t="s">
        <v>18</v>
      </c>
      <c r="I26" s="63" t="s">
        <v>17</v>
      </c>
      <c r="J26" s="63" t="s">
        <v>17</v>
      </c>
      <c r="K26" s="63" t="s">
        <v>17</v>
      </c>
      <c r="L26" s="26" t="s">
        <v>18</v>
      </c>
      <c r="M26" s="26" t="s">
        <v>18</v>
      </c>
      <c r="N26" s="63" t="s">
        <v>17</v>
      </c>
      <c r="O26" s="63" t="s">
        <v>17</v>
      </c>
      <c r="P26" s="63" t="s">
        <v>17</v>
      </c>
      <c r="Q26" s="26" t="s">
        <v>18</v>
      </c>
      <c r="R26" s="63" t="s">
        <v>17</v>
      </c>
      <c r="S26" s="63" t="s">
        <v>17</v>
      </c>
      <c r="T26" s="63" t="s">
        <v>17</v>
      </c>
      <c r="U26" s="63" t="s">
        <v>17</v>
      </c>
      <c r="V26" s="26" t="s">
        <v>18</v>
      </c>
      <c r="W26" s="26" t="s">
        <v>18</v>
      </c>
      <c r="X26" s="63" t="s">
        <v>17</v>
      </c>
      <c r="Y26" s="63" t="s">
        <v>17</v>
      </c>
      <c r="Z26" s="63" t="s">
        <v>17</v>
      </c>
      <c r="AA26" s="63" t="s">
        <v>17</v>
      </c>
      <c r="AB26" s="63" t="s">
        <v>17</v>
      </c>
      <c r="AC26" s="63" t="s">
        <v>17</v>
      </c>
      <c r="AD26" s="63" t="s">
        <v>17</v>
      </c>
      <c r="AE26" s="63" t="s">
        <v>17</v>
      </c>
      <c r="AF26" s="26" t="s">
        <v>18</v>
      </c>
      <c r="AG26" s="63" t="s">
        <v>17</v>
      </c>
      <c r="AH26" s="63" t="s">
        <v>17</v>
      </c>
      <c r="AI26" s="63" t="s">
        <v>17</v>
      </c>
      <c r="AJ26" s="63" t="s">
        <v>17</v>
      </c>
      <c r="AK26" s="26" t="s">
        <v>18</v>
      </c>
      <c r="AL26" s="26" t="s">
        <v>18</v>
      </c>
      <c r="AM26" s="63" t="s">
        <v>17</v>
      </c>
      <c r="AN26" s="63" t="s">
        <v>17</v>
      </c>
      <c r="AO26" s="63" t="s">
        <v>17</v>
      </c>
      <c r="AP26" s="26" t="s">
        <v>18</v>
      </c>
      <c r="AQ26" s="26" t="s">
        <v>18</v>
      </c>
      <c r="AR26" s="63" t="s">
        <v>17</v>
      </c>
      <c r="AS26" s="63" t="s">
        <v>17</v>
      </c>
      <c r="AT26" s="63" t="s">
        <v>17</v>
      </c>
      <c r="AU26" s="26" t="s">
        <v>18</v>
      </c>
      <c r="AV26" s="26" t="s">
        <v>18</v>
      </c>
      <c r="AW26" s="63" t="s">
        <v>17</v>
      </c>
      <c r="AX26" s="63" t="s">
        <v>17</v>
      </c>
      <c r="AY26" s="63" t="s">
        <v>17</v>
      </c>
      <c r="AZ26" s="26" t="s">
        <v>18</v>
      </c>
      <c r="BA26" s="26" t="s">
        <v>18</v>
      </c>
      <c r="BB26" s="63" t="s">
        <v>17</v>
      </c>
      <c r="BC26" s="63" t="s">
        <v>17</v>
      </c>
      <c r="BD26" s="63" t="s">
        <v>17</v>
      </c>
      <c r="BE26" s="30">
        <v>4.3125</v>
      </c>
      <c r="BF26" s="1">
        <f t="shared" si="0"/>
        <v>0</v>
      </c>
      <c r="BG26" s="1">
        <f t="shared" si="1"/>
        <v>0</v>
      </c>
      <c r="BH26" s="1">
        <f t="shared" si="2"/>
        <v>0</v>
      </c>
      <c r="BI26" s="1">
        <f t="shared" si="3"/>
        <v>0</v>
      </c>
      <c r="BJ26" s="1">
        <f t="shared" si="4"/>
        <v>0</v>
      </c>
      <c r="BK26" s="1">
        <f t="shared" si="5"/>
        <v>0</v>
      </c>
      <c r="BL26" s="1">
        <f t="shared" si="6"/>
        <v>0</v>
      </c>
      <c r="BN26" s="1">
        <f t="shared" si="7"/>
        <v>34</v>
      </c>
      <c r="BO26" s="1">
        <f t="shared" si="8"/>
        <v>16</v>
      </c>
      <c r="BP26" s="1">
        <f t="shared" si="9"/>
        <v>0</v>
      </c>
      <c r="BQ26" s="1">
        <f t="shared" si="10"/>
        <v>0</v>
      </c>
      <c r="BR26" s="1">
        <f t="shared" si="11"/>
        <v>0</v>
      </c>
    </row>
    <row r="27" spans="1:70" x14ac:dyDescent="0.3">
      <c r="A27">
        <v>165</v>
      </c>
      <c r="B27" s="56">
        <v>6</v>
      </c>
      <c r="C27" s="24">
        <v>44726.229166666664</v>
      </c>
      <c r="D27" s="33">
        <f t="shared" si="12"/>
        <v>0.1875</v>
      </c>
      <c r="E27" s="64">
        <f t="shared" si="13"/>
        <v>4.5</v>
      </c>
      <c r="F27" s="40">
        <f t="shared" si="14"/>
        <v>4.5</v>
      </c>
      <c r="G27" s="26" t="s">
        <v>18</v>
      </c>
      <c r="H27" s="26" t="s">
        <v>18</v>
      </c>
      <c r="I27" s="63" t="s">
        <v>17</v>
      </c>
      <c r="J27" s="63" t="s">
        <v>17</v>
      </c>
      <c r="K27" s="63" t="s">
        <v>17</v>
      </c>
      <c r="L27" s="26" t="s">
        <v>18</v>
      </c>
      <c r="M27" s="26" t="s">
        <v>18</v>
      </c>
      <c r="N27" s="63" t="s">
        <v>17</v>
      </c>
      <c r="O27" s="63" t="s">
        <v>17</v>
      </c>
      <c r="P27" s="63" t="s">
        <v>17</v>
      </c>
      <c r="Q27" s="26" t="s">
        <v>18</v>
      </c>
      <c r="R27" s="63" t="s">
        <v>17</v>
      </c>
      <c r="S27" s="63" t="s">
        <v>17</v>
      </c>
      <c r="T27" s="63" t="s">
        <v>17</v>
      </c>
      <c r="U27" s="63" t="s">
        <v>17</v>
      </c>
      <c r="V27" s="26" t="s">
        <v>18</v>
      </c>
      <c r="W27" s="26" t="s">
        <v>18</v>
      </c>
      <c r="X27" s="63" t="s">
        <v>17</v>
      </c>
      <c r="Y27" s="63" t="s">
        <v>17</v>
      </c>
      <c r="Z27" s="63" t="s">
        <v>17</v>
      </c>
      <c r="AA27" s="63" t="s">
        <v>17</v>
      </c>
      <c r="AB27" s="63" t="s">
        <v>17</v>
      </c>
      <c r="AC27" s="63" t="s">
        <v>17</v>
      </c>
      <c r="AD27" s="63" t="s">
        <v>17</v>
      </c>
      <c r="AE27" s="63" t="s">
        <v>17</v>
      </c>
      <c r="AF27" s="26" t="s">
        <v>18</v>
      </c>
      <c r="AG27" s="63" t="s">
        <v>17</v>
      </c>
      <c r="AH27" s="63" t="s">
        <v>17</v>
      </c>
      <c r="AI27" s="63" t="s">
        <v>17</v>
      </c>
      <c r="AJ27" s="63" t="s">
        <v>17</v>
      </c>
      <c r="AK27" s="26" t="s">
        <v>18</v>
      </c>
      <c r="AL27" s="26" t="s">
        <v>18</v>
      </c>
      <c r="AM27" s="63" t="s">
        <v>17</v>
      </c>
      <c r="AN27" s="63" t="s">
        <v>17</v>
      </c>
      <c r="AO27" s="63" t="s">
        <v>17</v>
      </c>
      <c r="AP27" s="26" t="s">
        <v>18</v>
      </c>
      <c r="AQ27" s="26" t="s">
        <v>18</v>
      </c>
      <c r="AR27" s="63" t="s">
        <v>17</v>
      </c>
      <c r="AS27" s="63" t="s">
        <v>17</v>
      </c>
      <c r="AT27" s="63" t="s">
        <v>17</v>
      </c>
      <c r="AU27" s="26" t="s">
        <v>18</v>
      </c>
      <c r="AV27" s="26" t="s">
        <v>18</v>
      </c>
      <c r="AW27" s="63" t="s">
        <v>17</v>
      </c>
      <c r="AX27" s="63" t="s">
        <v>17</v>
      </c>
      <c r="AY27" s="63" t="s">
        <v>17</v>
      </c>
      <c r="AZ27" s="26" t="s">
        <v>18</v>
      </c>
      <c r="BA27" s="26" t="s">
        <v>18</v>
      </c>
      <c r="BB27" s="63" t="s">
        <v>17</v>
      </c>
      <c r="BC27" s="63" t="s">
        <v>17</v>
      </c>
      <c r="BD27" s="63" t="s">
        <v>17</v>
      </c>
      <c r="BE27" s="30">
        <v>4.5</v>
      </c>
      <c r="BF27" s="1">
        <f t="shared" si="0"/>
        <v>0</v>
      </c>
      <c r="BG27" s="1">
        <f t="shared" si="1"/>
        <v>0</v>
      </c>
      <c r="BH27" s="1">
        <f t="shared" si="2"/>
        <v>0</v>
      </c>
      <c r="BI27" s="1">
        <f t="shared" si="3"/>
        <v>0</v>
      </c>
      <c r="BJ27" s="1">
        <f t="shared" si="4"/>
        <v>0</v>
      </c>
      <c r="BK27" s="1">
        <f t="shared" si="5"/>
        <v>0</v>
      </c>
      <c r="BL27" s="1">
        <f t="shared" si="6"/>
        <v>0</v>
      </c>
      <c r="BN27" s="1">
        <f t="shared" si="7"/>
        <v>34</v>
      </c>
      <c r="BO27" s="1">
        <f t="shared" si="8"/>
        <v>16</v>
      </c>
      <c r="BP27" s="1">
        <f t="shared" si="9"/>
        <v>0</v>
      </c>
      <c r="BQ27" s="1">
        <f t="shared" si="10"/>
        <v>0</v>
      </c>
      <c r="BR27" s="1">
        <f t="shared" si="11"/>
        <v>0</v>
      </c>
    </row>
    <row r="28" spans="1:70" x14ac:dyDescent="0.3">
      <c r="A28">
        <v>165</v>
      </c>
      <c r="B28" s="56">
        <v>6</v>
      </c>
      <c r="C28" s="24">
        <v>44726.416666666664</v>
      </c>
      <c r="D28" s="33">
        <f t="shared" si="12"/>
        <v>0.1875</v>
      </c>
      <c r="E28" s="64">
        <f t="shared" si="13"/>
        <v>4.6875</v>
      </c>
      <c r="F28" s="40">
        <f t="shared" si="14"/>
        <v>4.6875</v>
      </c>
      <c r="G28" s="26" t="s">
        <v>18</v>
      </c>
      <c r="H28" s="26" t="s">
        <v>18</v>
      </c>
      <c r="I28" s="63" t="s">
        <v>17</v>
      </c>
      <c r="J28" s="63" t="s">
        <v>17</v>
      </c>
      <c r="K28" s="63" t="s">
        <v>17</v>
      </c>
      <c r="L28" s="26" t="s">
        <v>18</v>
      </c>
      <c r="M28" s="26" t="s">
        <v>18</v>
      </c>
      <c r="N28" s="63" t="s">
        <v>17</v>
      </c>
      <c r="O28" s="63" t="s">
        <v>17</v>
      </c>
      <c r="P28" s="63" t="s">
        <v>17</v>
      </c>
      <c r="Q28" s="26" t="s">
        <v>18</v>
      </c>
      <c r="R28" s="63" t="s">
        <v>17</v>
      </c>
      <c r="S28" s="63" t="s">
        <v>17</v>
      </c>
      <c r="T28" s="63" t="s">
        <v>17</v>
      </c>
      <c r="U28" s="63" t="s">
        <v>17</v>
      </c>
      <c r="V28" s="26" t="s">
        <v>18</v>
      </c>
      <c r="W28" s="26" t="s">
        <v>18</v>
      </c>
      <c r="X28" s="63" t="s">
        <v>17</v>
      </c>
      <c r="Y28" s="63" t="s">
        <v>17</v>
      </c>
      <c r="Z28" s="63" t="s">
        <v>17</v>
      </c>
      <c r="AA28" s="63" t="s">
        <v>17</v>
      </c>
      <c r="AB28" s="63" t="s">
        <v>17</v>
      </c>
      <c r="AC28" s="63" t="s">
        <v>17</v>
      </c>
      <c r="AD28" s="63" t="s">
        <v>17</v>
      </c>
      <c r="AE28" s="63" t="s">
        <v>17</v>
      </c>
      <c r="AF28" s="26" t="s">
        <v>18</v>
      </c>
      <c r="AG28" s="63" t="s">
        <v>17</v>
      </c>
      <c r="AH28" s="63" t="s">
        <v>17</v>
      </c>
      <c r="AI28" s="63" t="s">
        <v>17</v>
      </c>
      <c r="AJ28" s="63" t="s">
        <v>17</v>
      </c>
      <c r="AK28" s="26" t="s">
        <v>18</v>
      </c>
      <c r="AL28" s="26" t="s">
        <v>18</v>
      </c>
      <c r="AM28" s="63" t="s">
        <v>17</v>
      </c>
      <c r="AN28" s="63" t="s">
        <v>17</v>
      </c>
      <c r="AO28" s="63" t="s">
        <v>17</v>
      </c>
      <c r="AP28" s="26" t="s">
        <v>18</v>
      </c>
      <c r="AQ28" s="26" t="s">
        <v>18</v>
      </c>
      <c r="AR28" s="63" t="s">
        <v>17</v>
      </c>
      <c r="AS28" s="63" t="s">
        <v>17</v>
      </c>
      <c r="AT28" s="63" t="s">
        <v>17</v>
      </c>
      <c r="AU28" s="26" t="s">
        <v>18</v>
      </c>
      <c r="AV28" s="26" t="s">
        <v>18</v>
      </c>
      <c r="AW28" s="63" t="s">
        <v>17</v>
      </c>
      <c r="AX28" s="63" t="s">
        <v>17</v>
      </c>
      <c r="AY28" s="63" t="s">
        <v>17</v>
      </c>
      <c r="AZ28" s="26" t="s">
        <v>18</v>
      </c>
      <c r="BA28" s="26" t="s">
        <v>18</v>
      </c>
      <c r="BB28" s="63" t="s">
        <v>17</v>
      </c>
      <c r="BC28" s="63" t="s">
        <v>17</v>
      </c>
      <c r="BD28" s="63" t="s">
        <v>17</v>
      </c>
      <c r="BE28" s="30">
        <v>4.6875</v>
      </c>
      <c r="BF28" s="1">
        <f t="shared" si="0"/>
        <v>0</v>
      </c>
      <c r="BG28" s="1">
        <f t="shared" si="1"/>
        <v>0</v>
      </c>
      <c r="BH28" s="1">
        <f t="shared" si="2"/>
        <v>0</v>
      </c>
      <c r="BI28" s="1">
        <f t="shared" si="3"/>
        <v>0</v>
      </c>
      <c r="BJ28" s="1">
        <f t="shared" si="4"/>
        <v>0</v>
      </c>
      <c r="BK28" s="1">
        <f t="shared" si="5"/>
        <v>0</v>
      </c>
      <c r="BL28" s="1">
        <f t="shared" si="6"/>
        <v>0</v>
      </c>
      <c r="BN28" s="1">
        <f t="shared" si="7"/>
        <v>34</v>
      </c>
      <c r="BO28" s="1">
        <f t="shared" si="8"/>
        <v>16</v>
      </c>
      <c r="BP28" s="1">
        <f t="shared" si="9"/>
        <v>0</v>
      </c>
      <c r="BQ28" s="1">
        <f t="shared" si="10"/>
        <v>0</v>
      </c>
      <c r="BR28" s="1">
        <f t="shared" si="11"/>
        <v>0</v>
      </c>
    </row>
    <row r="29" spans="1:70" x14ac:dyDescent="0.3">
      <c r="A29">
        <v>165</v>
      </c>
      <c r="B29" s="56">
        <v>6</v>
      </c>
      <c r="C29" s="24">
        <v>44726.604166666664</v>
      </c>
      <c r="D29" s="33">
        <f t="shared" si="12"/>
        <v>0.1875</v>
      </c>
      <c r="E29" s="64">
        <f t="shared" si="13"/>
        <v>4.875</v>
      </c>
      <c r="F29" s="40">
        <f t="shared" si="14"/>
        <v>4.875</v>
      </c>
      <c r="G29" s="26" t="s">
        <v>18</v>
      </c>
      <c r="H29" s="26" t="s">
        <v>18</v>
      </c>
      <c r="I29" s="63" t="s">
        <v>17</v>
      </c>
      <c r="J29" s="63" t="s">
        <v>17</v>
      </c>
      <c r="K29" s="63" t="s">
        <v>17</v>
      </c>
      <c r="L29" s="26" t="s">
        <v>18</v>
      </c>
      <c r="M29" s="26" t="s">
        <v>18</v>
      </c>
      <c r="N29" s="63" t="s">
        <v>17</v>
      </c>
      <c r="O29" s="63" t="s">
        <v>17</v>
      </c>
      <c r="P29" s="63" t="s">
        <v>17</v>
      </c>
      <c r="Q29" s="26" t="s">
        <v>18</v>
      </c>
      <c r="R29" s="63" t="s">
        <v>17</v>
      </c>
      <c r="S29" s="63" t="s">
        <v>17</v>
      </c>
      <c r="T29" s="63" t="s">
        <v>17</v>
      </c>
      <c r="U29" s="63" t="s">
        <v>17</v>
      </c>
      <c r="V29" s="26" t="s">
        <v>18</v>
      </c>
      <c r="W29" s="26" t="s">
        <v>18</v>
      </c>
      <c r="X29" s="63" t="s">
        <v>17</v>
      </c>
      <c r="Y29" s="63" t="s">
        <v>17</v>
      </c>
      <c r="Z29" s="63" t="s">
        <v>17</v>
      </c>
      <c r="AA29" s="63" t="s">
        <v>17</v>
      </c>
      <c r="AB29" s="63" t="s">
        <v>17</v>
      </c>
      <c r="AC29" s="63" t="s">
        <v>17</v>
      </c>
      <c r="AD29" s="63" t="s">
        <v>17</v>
      </c>
      <c r="AE29" s="63" t="s">
        <v>17</v>
      </c>
      <c r="AF29" s="26" t="s">
        <v>18</v>
      </c>
      <c r="AG29" s="63" t="s">
        <v>17</v>
      </c>
      <c r="AH29" s="63" t="s">
        <v>17</v>
      </c>
      <c r="AI29" s="63" t="s">
        <v>17</v>
      </c>
      <c r="AJ29" s="63" t="s">
        <v>17</v>
      </c>
      <c r="AK29" s="26" t="s">
        <v>18</v>
      </c>
      <c r="AL29" s="26" t="s">
        <v>18</v>
      </c>
      <c r="AM29" s="63" t="s">
        <v>17</v>
      </c>
      <c r="AN29" s="63" t="s">
        <v>17</v>
      </c>
      <c r="AO29" s="63" t="s">
        <v>17</v>
      </c>
      <c r="AP29" s="26" t="s">
        <v>18</v>
      </c>
      <c r="AQ29" s="26" t="s">
        <v>18</v>
      </c>
      <c r="AR29" s="63" t="s">
        <v>17</v>
      </c>
      <c r="AS29" s="63" t="s">
        <v>17</v>
      </c>
      <c r="AT29" s="63" t="s">
        <v>17</v>
      </c>
      <c r="AU29" s="26" t="s">
        <v>18</v>
      </c>
      <c r="AV29" s="26" t="s">
        <v>18</v>
      </c>
      <c r="AW29" s="63" t="s">
        <v>17</v>
      </c>
      <c r="AX29" s="63" t="s">
        <v>17</v>
      </c>
      <c r="AY29" s="63" t="s">
        <v>17</v>
      </c>
      <c r="AZ29" s="26" t="s">
        <v>18</v>
      </c>
      <c r="BA29" s="26" t="s">
        <v>18</v>
      </c>
      <c r="BB29" s="63" t="s">
        <v>17</v>
      </c>
      <c r="BC29" s="63" t="s">
        <v>17</v>
      </c>
      <c r="BD29" s="63" t="s">
        <v>17</v>
      </c>
      <c r="BE29" s="30">
        <v>4.875</v>
      </c>
      <c r="BF29" s="1">
        <f t="shared" si="0"/>
        <v>0</v>
      </c>
      <c r="BG29" s="1">
        <f t="shared" si="1"/>
        <v>0</v>
      </c>
      <c r="BH29" s="1">
        <f t="shared" si="2"/>
        <v>0</v>
      </c>
      <c r="BI29" s="1">
        <f t="shared" si="3"/>
        <v>0</v>
      </c>
      <c r="BJ29" s="1">
        <f t="shared" si="4"/>
        <v>0</v>
      </c>
      <c r="BK29" s="1">
        <f t="shared" si="5"/>
        <v>0</v>
      </c>
      <c r="BL29" s="1">
        <f t="shared" si="6"/>
        <v>0</v>
      </c>
      <c r="BN29" s="1">
        <f t="shared" si="7"/>
        <v>34</v>
      </c>
      <c r="BO29" s="1">
        <f t="shared" si="8"/>
        <v>16</v>
      </c>
      <c r="BP29" s="1">
        <f t="shared" si="9"/>
        <v>0</v>
      </c>
      <c r="BQ29" s="1">
        <f t="shared" si="10"/>
        <v>0</v>
      </c>
      <c r="BR29" s="1">
        <f t="shared" si="11"/>
        <v>0</v>
      </c>
    </row>
    <row r="30" spans="1:70" x14ac:dyDescent="0.3">
      <c r="A30">
        <v>165</v>
      </c>
      <c r="B30" s="56">
        <v>6</v>
      </c>
      <c r="C30" s="24">
        <v>44726.791666666664</v>
      </c>
      <c r="D30" s="33">
        <f t="shared" si="12"/>
        <v>0.1875</v>
      </c>
      <c r="E30" s="64">
        <f t="shared" si="13"/>
        <v>5.0625</v>
      </c>
      <c r="F30" s="40">
        <f t="shared" si="14"/>
        <v>5.0625</v>
      </c>
      <c r="G30" s="26" t="s">
        <v>18</v>
      </c>
      <c r="H30" s="26" t="s">
        <v>18</v>
      </c>
      <c r="I30" s="63" t="s">
        <v>17</v>
      </c>
      <c r="J30" s="63" t="s">
        <v>17</v>
      </c>
      <c r="K30" s="63" t="s">
        <v>17</v>
      </c>
      <c r="L30" s="26" t="s">
        <v>18</v>
      </c>
      <c r="M30" s="26" t="s">
        <v>18</v>
      </c>
      <c r="N30" s="26" t="s">
        <v>17</v>
      </c>
      <c r="O30" s="26" t="s">
        <v>17</v>
      </c>
      <c r="P30" s="26" t="s">
        <v>17</v>
      </c>
      <c r="Q30" s="26" t="s">
        <v>18</v>
      </c>
      <c r="R30" s="26" t="s">
        <v>17</v>
      </c>
      <c r="S30" s="26" t="s">
        <v>17</v>
      </c>
      <c r="T30" s="26" t="s">
        <v>17</v>
      </c>
      <c r="U30" s="26" t="s">
        <v>17</v>
      </c>
      <c r="V30" s="26" t="s">
        <v>18</v>
      </c>
      <c r="W30" s="26" t="s">
        <v>18</v>
      </c>
      <c r="X30" s="26" t="s">
        <v>17</v>
      </c>
      <c r="Y30" s="26" t="s">
        <v>17</v>
      </c>
      <c r="Z30" s="26" t="s">
        <v>17</v>
      </c>
      <c r="AA30" s="26" t="s">
        <v>17</v>
      </c>
      <c r="AB30" s="26" t="s">
        <v>17</v>
      </c>
      <c r="AC30" s="26" t="s">
        <v>17</v>
      </c>
      <c r="AD30" s="26" t="s">
        <v>17</v>
      </c>
      <c r="AE30" s="26" t="s">
        <v>17</v>
      </c>
      <c r="AF30" s="26" t="s">
        <v>18</v>
      </c>
      <c r="AG30" s="26" t="s">
        <v>17</v>
      </c>
      <c r="AH30" s="26" t="s">
        <v>17</v>
      </c>
      <c r="AI30" s="26" t="s">
        <v>17</v>
      </c>
      <c r="AJ30" s="26" t="s">
        <v>17</v>
      </c>
      <c r="AK30" s="26" t="s">
        <v>18</v>
      </c>
      <c r="AL30" s="26" t="s">
        <v>18</v>
      </c>
      <c r="AM30" s="26" t="s">
        <v>17</v>
      </c>
      <c r="AN30" s="26" t="s">
        <v>17</v>
      </c>
      <c r="AO30" s="26" t="s">
        <v>17</v>
      </c>
      <c r="AP30" s="26" t="s">
        <v>18</v>
      </c>
      <c r="AQ30" s="26" t="s">
        <v>18</v>
      </c>
      <c r="AR30" s="26" t="s">
        <v>17</v>
      </c>
      <c r="AS30" s="26" t="s">
        <v>17</v>
      </c>
      <c r="AT30" s="26" t="s">
        <v>17</v>
      </c>
      <c r="AU30" s="26" t="s">
        <v>18</v>
      </c>
      <c r="AV30" s="26" t="s">
        <v>18</v>
      </c>
      <c r="AW30" s="26" t="s">
        <v>17</v>
      </c>
      <c r="AX30" s="26" t="s">
        <v>17</v>
      </c>
      <c r="AY30" s="26" t="s">
        <v>17</v>
      </c>
      <c r="AZ30" s="26" t="s">
        <v>18</v>
      </c>
      <c r="BA30" s="26" t="s">
        <v>18</v>
      </c>
      <c r="BB30" s="26" t="s">
        <v>17</v>
      </c>
      <c r="BC30" s="26" t="s">
        <v>17</v>
      </c>
      <c r="BD30" s="26" t="s">
        <v>17</v>
      </c>
      <c r="BE30" s="30">
        <v>5.0625</v>
      </c>
      <c r="BF30" s="1">
        <f t="shared" si="0"/>
        <v>0</v>
      </c>
      <c r="BG30" s="1">
        <f t="shared" si="1"/>
        <v>0</v>
      </c>
      <c r="BH30" s="1">
        <f t="shared" si="2"/>
        <v>0</v>
      </c>
      <c r="BI30" s="1">
        <f t="shared" si="3"/>
        <v>0</v>
      </c>
      <c r="BJ30" s="1">
        <f t="shared" si="4"/>
        <v>0</v>
      </c>
      <c r="BK30" s="1">
        <f t="shared" si="5"/>
        <v>0</v>
      </c>
      <c r="BL30" s="1">
        <f t="shared" si="6"/>
        <v>0</v>
      </c>
      <c r="BN30" s="1">
        <f t="shared" si="7"/>
        <v>34</v>
      </c>
      <c r="BO30" s="1">
        <f t="shared" si="8"/>
        <v>16</v>
      </c>
      <c r="BP30" s="1">
        <f t="shared" si="9"/>
        <v>0</v>
      </c>
      <c r="BQ30" s="1">
        <f t="shared" si="10"/>
        <v>0</v>
      </c>
      <c r="BR30" s="1">
        <f t="shared" si="11"/>
        <v>0</v>
      </c>
    </row>
    <row r="31" spans="1:70" x14ac:dyDescent="0.3">
      <c r="A31">
        <v>165</v>
      </c>
      <c r="B31" s="56">
        <v>6</v>
      </c>
      <c r="C31" s="24">
        <v>44726.979166666664</v>
      </c>
      <c r="D31" s="33">
        <f t="shared" si="12"/>
        <v>0.1875</v>
      </c>
      <c r="E31" s="64">
        <f t="shared" ref="E31:E35" si="15">E30+D31</f>
        <v>5.25</v>
      </c>
      <c r="F31" s="40">
        <f t="shared" si="14"/>
        <v>5.25</v>
      </c>
      <c r="G31" s="26" t="s">
        <v>18</v>
      </c>
      <c r="H31" s="26" t="s">
        <v>18</v>
      </c>
      <c r="I31" s="63" t="s">
        <v>17</v>
      </c>
      <c r="J31" s="63" t="s">
        <v>17</v>
      </c>
      <c r="K31" s="63" t="s">
        <v>17</v>
      </c>
      <c r="L31" s="26" t="s">
        <v>18</v>
      </c>
      <c r="M31" s="26" t="s">
        <v>18</v>
      </c>
      <c r="N31" s="26" t="s">
        <v>17</v>
      </c>
      <c r="O31" s="26" t="s">
        <v>17</v>
      </c>
      <c r="P31" s="26" t="s">
        <v>17</v>
      </c>
      <c r="Q31" s="26" t="s">
        <v>18</v>
      </c>
      <c r="R31" s="26" t="s">
        <v>17</v>
      </c>
      <c r="S31" s="26" t="s">
        <v>17</v>
      </c>
      <c r="T31" s="26" t="s">
        <v>17</v>
      </c>
      <c r="U31" s="26" t="s">
        <v>17</v>
      </c>
      <c r="V31" s="26" t="s">
        <v>18</v>
      </c>
      <c r="W31" s="26" t="s">
        <v>18</v>
      </c>
      <c r="X31" s="26" t="s">
        <v>17</v>
      </c>
      <c r="Y31" s="26" t="s">
        <v>17</v>
      </c>
      <c r="Z31" s="26" t="s">
        <v>17</v>
      </c>
      <c r="AA31" s="26" t="s">
        <v>17</v>
      </c>
      <c r="AB31" s="26" t="s">
        <v>17</v>
      </c>
      <c r="AC31" s="26" t="s">
        <v>17</v>
      </c>
      <c r="AD31" s="26" t="s">
        <v>17</v>
      </c>
      <c r="AE31" s="26" t="s">
        <v>17</v>
      </c>
      <c r="AF31" s="26" t="s">
        <v>18</v>
      </c>
      <c r="AG31" s="26" t="s">
        <v>17</v>
      </c>
      <c r="AH31" s="26" t="s">
        <v>17</v>
      </c>
      <c r="AI31" s="26" t="s">
        <v>17</v>
      </c>
      <c r="AJ31" s="26" t="s">
        <v>17</v>
      </c>
      <c r="AK31" s="26" t="s">
        <v>18</v>
      </c>
      <c r="AL31" s="26" t="s">
        <v>18</v>
      </c>
      <c r="AM31" s="26" t="s">
        <v>17</v>
      </c>
      <c r="AN31" s="26" t="s">
        <v>17</v>
      </c>
      <c r="AO31" s="26" t="s">
        <v>17</v>
      </c>
      <c r="AP31" s="26" t="s">
        <v>18</v>
      </c>
      <c r="AQ31" s="26" t="s">
        <v>18</v>
      </c>
      <c r="AR31" s="26" t="s">
        <v>17</v>
      </c>
      <c r="AS31" s="26" t="s">
        <v>17</v>
      </c>
      <c r="AT31" s="26" t="s">
        <v>17</v>
      </c>
      <c r="AU31" s="26" t="s">
        <v>18</v>
      </c>
      <c r="AV31" s="26" t="s">
        <v>18</v>
      </c>
      <c r="AW31" s="26" t="s">
        <v>17</v>
      </c>
      <c r="AX31" s="26" t="s">
        <v>17</v>
      </c>
      <c r="AY31" s="26" t="s">
        <v>17</v>
      </c>
      <c r="AZ31" s="26" t="s">
        <v>18</v>
      </c>
      <c r="BA31" s="26" t="s">
        <v>18</v>
      </c>
      <c r="BB31" s="26" t="s">
        <v>17</v>
      </c>
      <c r="BC31" s="26" t="s">
        <v>17</v>
      </c>
      <c r="BD31" s="26" t="s">
        <v>17</v>
      </c>
      <c r="BE31" s="30">
        <v>5.25</v>
      </c>
      <c r="BF31" s="1">
        <f t="shared" si="0"/>
        <v>0</v>
      </c>
      <c r="BG31" s="1">
        <f t="shared" si="1"/>
        <v>0</v>
      </c>
      <c r="BH31" s="1">
        <f t="shared" si="2"/>
        <v>0</v>
      </c>
      <c r="BI31" s="1">
        <f t="shared" si="3"/>
        <v>0</v>
      </c>
      <c r="BJ31" s="1">
        <f t="shared" si="4"/>
        <v>0</v>
      </c>
      <c r="BK31" s="1">
        <f t="shared" si="5"/>
        <v>0</v>
      </c>
      <c r="BL31" s="1">
        <f t="shared" si="6"/>
        <v>0</v>
      </c>
      <c r="BN31" s="1">
        <f t="shared" si="7"/>
        <v>34</v>
      </c>
      <c r="BO31" s="1">
        <f t="shared" si="8"/>
        <v>16</v>
      </c>
      <c r="BP31" s="1">
        <f t="shared" si="9"/>
        <v>0</v>
      </c>
      <c r="BQ31" s="1">
        <f t="shared" si="10"/>
        <v>0</v>
      </c>
      <c r="BR31" s="1">
        <f t="shared" si="11"/>
        <v>0</v>
      </c>
    </row>
    <row r="32" spans="1:70" x14ac:dyDescent="0.3">
      <c r="A32">
        <v>166</v>
      </c>
      <c r="B32" s="56">
        <v>7</v>
      </c>
      <c r="C32" s="24">
        <v>44727.166666666664</v>
      </c>
      <c r="D32" s="33">
        <f t="shared" si="12"/>
        <v>0.1875</v>
      </c>
      <c r="E32" s="64">
        <f t="shared" si="15"/>
        <v>5.4375</v>
      </c>
      <c r="F32" s="40">
        <f t="shared" si="14"/>
        <v>5.4375</v>
      </c>
      <c r="G32" s="26" t="s">
        <v>18</v>
      </c>
      <c r="H32" s="26" t="s">
        <v>18</v>
      </c>
      <c r="I32" s="63" t="s">
        <v>17</v>
      </c>
      <c r="J32" s="63" t="s">
        <v>17</v>
      </c>
      <c r="K32" s="63" t="s">
        <v>17</v>
      </c>
      <c r="L32" s="26" t="s">
        <v>18</v>
      </c>
      <c r="M32" s="26" t="s">
        <v>18</v>
      </c>
      <c r="N32" s="26" t="s">
        <v>17</v>
      </c>
      <c r="O32" s="26" t="s">
        <v>17</v>
      </c>
      <c r="P32" s="26" t="s">
        <v>17</v>
      </c>
      <c r="Q32" s="26" t="s">
        <v>18</v>
      </c>
      <c r="R32" s="26" t="s">
        <v>17</v>
      </c>
      <c r="S32" s="26" t="s">
        <v>17</v>
      </c>
      <c r="T32" s="26" t="s">
        <v>17</v>
      </c>
      <c r="U32" s="26" t="s">
        <v>17</v>
      </c>
      <c r="V32" s="26" t="s">
        <v>18</v>
      </c>
      <c r="W32" s="26" t="s">
        <v>18</v>
      </c>
      <c r="X32" s="26" t="s">
        <v>17</v>
      </c>
      <c r="Y32" s="26" t="s">
        <v>17</v>
      </c>
      <c r="Z32" s="26" t="s">
        <v>17</v>
      </c>
      <c r="AA32" s="26" t="s">
        <v>17</v>
      </c>
      <c r="AB32" s="26" t="s">
        <v>17</v>
      </c>
      <c r="AC32" s="26" t="s">
        <v>17</v>
      </c>
      <c r="AD32" s="26" t="s">
        <v>17</v>
      </c>
      <c r="AE32" s="26" t="s">
        <v>17</v>
      </c>
      <c r="AF32" s="26" t="s">
        <v>18</v>
      </c>
      <c r="AG32" s="26" t="s">
        <v>17</v>
      </c>
      <c r="AH32" s="26" t="s">
        <v>17</v>
      </c>
      <c r="AI32" s="26" t="s">
        <v>17</v>
      </c>
      <c r="AJ32" s="26" t="s">
        <v>17</v>
      </c>
      <c r="AK32" s="26" t="s">
        <v>18</v>
      </c>
      <c r="AL32" s="26" t="s">
        <v>18</v>
      </c>
      <c r="AM32" s="26" t="s">
        <v>17</v>
      </c>
      <c r="AN32" s="26" t="s">
        <v>17</v>
      </c>
      <c r="AO32" s="26" t="s">
        <v>17</v>
      </c>
      <c r="AP32" s="26" t="s">
        <v>18</v>
      </c>
      <c r="AQ32" s="26" t="s">
        <v>18</v>
      </c>
      <c r="AR32" s="26" t="s">
        <v>17</v>
      </c>
      <c r="AS32" s="26" t="s">
        <v>17</v>
      </c>
      <c r="AT32" s="26" t="s">
        <v>17</v>
      </c>
      <c r="AU32" s="26" t="s">
        <v>18</v>
      </c>
      <c r="AV32" s="26" t="s">
        <v>18</v>
      </c>
      <c r="AW32" s="26" t="s">
        <v>17</v>
      </c>
      <c r="AX32" s="26" t="s">
        <v>17</v>
      </c>
      <c r="AY32" s="26" t="s">
        <v>17</v>
      </c>
      <c r="AZ32" s="26" t="s">
        <v>18</v>
      </c>
      <c r="BA32" s="26" t="s">
        <v>18</v>
      </c>
      <c r="BB32" s="26" t="s">
        <v>17</v>
      </c>
      <c r="BC32" s="26" t="s">
        <v>17</v>
      </c>
      <c r="BD32" s="26" t="s">
        <v>17</v>
      </c>
      <c r="BE32" s="30">
        <v>5.4375</v>
      </c>
      <c r="BF32" s="1">
        <f t="shared" si="0"/>
        <v>0</v>
      </c>
      <c r="BG32" s="1">
        <f t="shared" si="1"/>
        <v>0</v>
      </c>
      <c r="BH32" s="1">
        <f t="shared" si="2"/>
        <v>0</v>
      </c>
      <c r="BI32" s="1">
        <f t="shared" si="3"/>
        <v>0</v>
      </c>
      <c r="BJ32" s="1">
        <f t="shared" si="4"/>
        <v>0</v>
      </c>
      <c r="BK32" s="1">
        <f t="shared" si="5"/>
        <v>0</v>
      </c>
      <c r="BL32" s="1">
        <f t="shared" si="6"/>
        <v>0</v>
      </c>
      <c r="BN32" s="1">
        <f t="shared" si="7"/>
        <v>34</v>
      </c>
      <c r="BO32" s="1">
        <f t="shared" si="8"/>
        <v>16</v>
      </c>
      <c r="BP32" s="1">
        <f t="shared" si="9"/>
        <v>0</v>
      </c>
      <c r="BQ32" s="1">
        <f t="shared" si="10"/>
        <v>0</v>
      </c>
      <c r="BR32" s="1">
        <f t="shared" si="11"/>
        <v>0</v>
      </c>
    </row>
    <row r="33" spans="1:70" x14ac:dyDescent="0.3">
      <c r="A33">
        <v>166</v>
      </c>
      <c r="B33" s="56">
        <v>7</v>
      </c>
      <c r="C33" s="24">
        <v>44727.354166666664</v>
      </c>
      <c r="D33" s="33">
        <f t="shared" si="12"/>
        <v>0.1875</v>
      </c>
      <c r="E33" s="64">
        <f t="shared" si="15"/>
        <v>5.625</v>
      </c>
      <c r="F33" s="40">
        <f t="shared" si="14"/>
        <v>5.625</v>
      </c>
      <c r="G33" s="26" t="s">
        <v>18</v>
      </c>
      <c r="H33" s="26" t="s">
        <v>18</v>
      </c>
      <c r="I33" s="63" t="s">
        <v>17</v>
      </c>
      <c r="J33" s="63" t="s">
        <v>17</v>
      </c>
      <c r="K33" s="63" t="s">
        <v>17</v>
      </c>
      <c r="L33" s="26" t="s">
        <v>18</v>
      </c>
      <c r="M33" s="26" t="s">
        <v>18</v>
      </c>
      <c r="N33" s="26" t="s">
        <v>17</v>
      </c>
      <c r="O33" s="26" t="s">
        <v>17</v>
      </c>
      <c r="P33" s="26" t="s">
        <v>17</v>
      </c>
      <c r="Q33" s="26" t="s">
        <v>18</v>
      </c>
      <c r="R33" s="26" t="s">
        <v>17</v>
      </c>
      <c r="S33" s="26" t="s">
        <v>17</v>
      </c>
      <c r="T33" s="26" t="s">
        <v>17</v>
      </c>
      <c r="U33" s="26" t="s">
        <v>17</v>
      </c>
      <c r="V33" s="26" t="s">
        <v>18</v>
      </c>
      <c r="W33" s="26" t="s">
        <v>18</v>
      </c>
      <c r="X33" s="26" t="s">
        <v>17</v>
      </c>
      <c r="Y33" s="26" t="s">
        <v>17</v>
      </c>
      <c r="Z33" s="26" t="s">
        <v>17</v>
      </c>
      <c r="AA33" s="26" t="s">
        <v>17</v>
      </c>
      <c r="AB33" s="26" t="s">
        <v>17</v>
      </c>
      <c r="AC33" s="26" t="s">
        <v>17</v>
      </c>
      <c r="AD33" s="26" t="s">
        <v>17</v>
      </c>
      <c r="AE33" s="26" t="s">
        <v>17</v>
      </c>
      <c r="AF33" s="26" t="s">
        <v>18</v>
      </c>
      <c r="AG33" s="26" t="s">
        <v>17</v>
      </c>
      <c r="AH33" s="26" t="s">
        <v>17</v>
      </c>
      <c r="AI33" s="26" t="s">
        <v>17</v>
      </c>
      <c r="AJ33" s="26" t="s">
        <v>17</v>
      </c>
      <c r="AK33" s="26" t="s">
        <v>18</v>
      </c>
      <c r="AL33" s="26" t="s">
        <v>18</v>
      </c>
      <c r="AM33" s="26" t="s">
        <v>17</v>
      </c>
      <c r="AN33" s="26" t="s">
        <v>17</v>
      </c>
      <c r="AO33" s="26" t="s">
        <v>17</v>
      </c>
      <c r="AP33" s="26" t="s">
        <v>18</v>
      </c>
      <c r="AQ33" s="26" t="s">
        <v>18</v>
      </c>
      <c r="AR33" s="26" t="s">
        <v>17</v>
      </c>
      <c r="AS33" s="26" t="s">
        <v>17</v>
      </c>
      <c r="AT33" s="26" t="s">
        <v>17</v>
      </c>
      <c r="AU33" s="26" t="s">
        <v>18</v>
      </c>
      <c r="AV33" s="26" t="s">
        <v>18</v>
      </c>
      <c r="AW33" s="26" t="s">
        <v>17</v>
      </c>
      <c r="AX33" s="26" t="s">
        <v>17</v>
      </c>
      <c r="AY33" s="26" t="s">
        <v>17</v>
      </c>
      <c r="AZ33" s="26" t="s">
        <v>18</v>
      </c>
      <c r="BA33" s="26" t="s">
        <v>18</v>
      </c>
      <c r="BB33" s="26" t="s">
        <v>17</v>
      </c>
      <c r="BC33" s="26" t="s">
        <v>17</v>
      </c>
      <c r="BD33" s="26" t="s">
        <v>17</v>
      </c>
      <c r="BE33" s="30">
        <v>5.625</v>
      </c>
      <c r="BF33" s="1">
        <f t="shared" si="0"/>
        <v>0</v>
      </c>
      <c r="BG33" s="1">
        <f t="shared" si="1"/>
        <v>0</v>
      </c>
      <c r="BH33" s="1">
        <f t="shared" si="2"/>
        <v>0</v>
      </c>
      <c r="BI33" s="1">
        <f t="shared" si="3"/>
        <v>0</v>
      </c>
      <c r="BJ33" s="1">
        <f t="shared" si="4"/>
        <v>0</v>
      </c>
      <c r="BK33" s="1">
        <f t="shared" si="5"/>
        <v>0</v>
      </c>
      <c r="BL33" s="1">
        <f t="shared" si="6"/>
        <v>0</v>
      </c>
      <c r="BN33" s="1">
        <f t="shared" si="7"/>
        <v>34</v>
      </c>
      <c r="BO33" s="1">
        <f t="shared" si="8"/>
        <v>16</v>
      </c>
      <c r="BP33" s="1">
        <f t="shared" si="9"/>
        <v>0</v>
      </c>
      <c r="BQ33" s="1">
        <f t="shared" si="10"/>
        <v>0</v>
      </c>
      <c r="BR33" s="1">
        <f t="shared" si="11"/>
        <v>0</v>
      </c>
    </row>
    <row r="34" spans="1:70" x14ac:dyDescent="0.3">
      <c r="A34">
        <v>166</v>
      </c>
      <c r="B34" s="56">
        <v>7</v>
      </c>
      <c r="C34" s="24">
        <v>44727.541666666664</v>
      </c>
      <c r="D34" s="33">
        <f t="shared" si="12"/>
        <v>0.1875</v>
      </c>
      <c r="E34" s="64">
        <f t="shared" si="15"/>
        <v>5.8125</v>
      </c>
      <c r="F34" s="40">
        <f t="shared" si="14"/>
        <v>5.8125</v>
      </c>
      <c r="G34" s="26" t="s">
        <v>18</v>
      </c>
      <c r="H34" s="26" t="s">
        <v>18</v>
      </c>
      <c r="I34" s="63" t="s">
        <v>17</v>
      </c>
      <c r="J34" s="63" t="s">
        <v>17</v>
      </c>
      <c r="K34" s="63" t="s">
        <v>17</v>
      </c>
      <c r="L34" s="26" t="s">
        <v>18</v>
      </c>
      <c r="M34" s="26" t="s">
        <v>18</v>
      </c>
      <c r="N34" s="26" t="s">
        <v>17</v>
      </c>
      <c r="O34" s="26" t="s">
        <v>17</v>
      </c>
      <c r="P34" s="26" t="s">
        <v>17</v>
      </c>
      <c r="Q34" s="26" t="s">
        <v>18</v>
      </c>
      <c r="R34" s="26" t="s">
        <v>17</v>
      </c>
      <c r="S34" s="26" t="s">
        <v>17</v>
      </c>
      <c r="T34" s="26" t="s">
        <v>17</v>
      </c>
      <c r="U34" s="26" t="s">
        <v>17</v>
      </c>
      <c r="V34" s="26" t="s">
        <v>18</v>
      </c>
      <c r="W34" s="26" t="s">
        <v>18</v>
      </c>
      <c r="X34" s="26" t="s">
        <v>17</v>
      </c>
      <c r="Y34" s="26" t="s">
        <v>17</v>
      </c>
      <c r="Z34" s="26" t="s">
        <v>17</v>
      </c>
      <c r="AA34" s="26" t="s">
        <v>17</v>
      </c>
      <c r="AB34" s="26" t="s">
        <v>17</v>
      </c>
      <c r="AC34" s="26" t="s">
        <v>17</v>
      </c>
      <c r="AD34" s="26" t="s">
        <v>17</v>
      </c>
      <c r="AE34" s="26" t="s">
        <v>17</v>
      </c>
      <c r="AF34" s="26" t="s">
        <v>18</v>
      </c>
      <c r="AG34" s="26" t="s">
        <v>17</v>
      </c>
      <c r="AH34" s="26" t="s">
        <v>17</v>
      </c>
      <c r="AI34" s="26" t="s">
        <v>17</v>
      </c>
      <c r="AJ34" s="26" t="s">
        <v>17</v>
      </c>
      <c r="AK34" s="26" t="s">
        <v>18</v>
      </c>
      <c r="AL34" s="26" t="s">
        <v>18</v>
      </c>
      <c r="AM34" s="26" t="s">
        <v>17</v>
      </c>
      <c r="AN34" s="26" t="s">
        <v>17</v>
      </c>
      <c r="AO34" s="26" t="s">
        <v>17</v>
      </c>
      <c r="AP34" s="26" t="s">
        <v>18</v>
      </c>
      <c r="AQ34" s="26" t="s">
        <v>18</v>
      </c>
      <c r="AR34" s="26" t="s">
        <v>17</v>
      </c>
      <c r="AS34" s="26" t="s">
        <v>17</v>
      </c>
      <c r="AT34" s="26" t="s">
        <v>17</v>
      </c>
      <c r="AU34" s="26" t="s">
        <v>18</v>
      </c>
      <c r="AV34" s="26" t="s">
        <v>18</v>
      </c>
      <c r="AW34" s="26" t="s">
        <v>17</v>
      </c>
      <c r="AX34" s="26" t="s">
        <v>17</v>
      </c>
      <c r="AY34" s="26" t="s">
        <v>17</v>
      </c>
      <c r="AZ34" s="26" t="s">
        <v>18</v>
      </c>
      <c r="BA34" s="26" t="s">
        <v>18</v>
      </c>
      <c r="BB34" s="26" t="s">
        <v>17</v>
      </c>
      <c r="BC34" s="26" t="s">
        <v>17</v>
      </c>
      <c r="BD34" s="26" t="s">
        <v>17</v>
      </c>
      <c r="BE34" s="30">
        <v>5.8125</v>
      </c>
      <c r="BF34" s="1">
        <f t="shared" si="0"/>
        <v>0</v>
      </c>
      <c r="BG34" s="1">
        <f t="shared" si="1"/>
        <v>0</v>
      </c>
      <c r="BH34" s="1">
        <f t="shared" si="2"/>
        <v>0</v>
      </c>
      <c r="BI34" s="1">
        <f t="shared" si="3"/>
        <v>0</v>
      </c>
      <c r="BJ34" s="1">
        <f t="shared" si="4"/>
        <v>0</v>
      </c>
      <c r="BK34" s="1">
        <f t="shared" si="5"/>
        <v>0</v>
      </c>
      <c r="BL34" s="1">
        <f t="shared" si="6"/>
        <v>0</v>
      </c>
      <c r="BN34" s="1">
        <f t="shared" si="7"/>
        <v>34</v>
      </c>
      <c r="BO34" s="1">
        <f t="shared" si="8"/>
        <v>16</v>
      </c>
      <c r="BP34" s="1">
        <f t="shared" si="9"/>
        <v>0</v>
      </c>
      <c r="BQ34" s="1">
        <f t="shared" si="10"/>
        <v>0</v>
      </c>
      <c r="BR34" s="1">
        <f t="shared" si="11"/>
        <v>0</v>
      </c>
    </row>
    <row r="35" spans="1:70" x14ac:dyDescent="0.3">
      <c r="A35">
        <v>166</v>
      </c>
      <c r="B35" s="56">
        <v>7</v>
      </c>
      <c r="C35" s="24">
        <v>44727.729166666664</v>
      </c>
      <c r="D35" s="33">
        <f t="shared" si="12"/>
        <v>0.1875</v>
      </c>
      <c r="E35" s="64">
        <f t="shared" si="15"/>
        <v>6</v>
      </c>
      <c r="F35" s="40">
        <f t="shared" si="14"/>
        <v>6</v>
      </c>
      <c r="G35" s="26" t="s">
        <v>18</v>
      </c>
      <c r="H35" s="26" t="s">
        <v>18</v>
      </c>
      <c r="I35" s="26" t="s">
        <v>17</v>
      </c>
      <c r="J35" s="26" t="s">
        <v>17</v>
      </c>
      <c r="K35" s="26" t="s">
        <v>17</v>
      </c>
      <c r="L35" s="26" t="s">
        <v>18</v>
      </c>
      <c r="M35" s="26" t="s">
        <v>18</v>
      </c>
      <c r="N35" s="26" t="s">
        <v>17</v>
      </c>
      <c r="O35" s="26" t="s">
        <v>17</v>
      </c>
      <c r="P35" s="26" t="s">
        <v>17</v>
      </c>
      <c r="Q35" s="26" t="s">
        <v>18</v>
      </c>
      <c r="R35" s="26" t="s">
        <v>17</v>
      </c>
      <c r="S35" s="26" t="s">
        <v>17</v>
      </c>
      <c r="T35" s="26" t="s">
        <v>17</v>
      </c>
      <c r="U35" s="26" t="s">
        <v>17</v>
      </c>
      <c r="V35" s="26" t="s">
        <v>18</v>
      </c>
      <c r="W35" s="26" t="s">
        <v>18</v>
      </c>
      <c r="X35" s="26" t="s">
        <v>17</v>
      </c>
      <c r="Y35" s="26" t="s">
        <v>17</v>
      </c>
      <c r="Z35" s="26" t="s">
        <v>17</v>
      </c>
      <c r="AA35" s="26" t="s">
        <v>17</v>
      </c>
      <c r="AB35" s="26" t="s">
        <v>17</v>
      </c>
      <c r="AC35" s="26" t="s">
        <v>17</v>
      </c>
      <c r="AD35" s="26" t="s">
        <v>17</v>
      </c>
      <c r="AE35" s="26" t="s">
        <v>17</v>
      </c>
      <c r="AF35" s="26" t="s">
        <v>18</v>
      </c>
      <c r="AG35" s="26" t="s">
        <v>17</v>
      </c>
      <c r="AH35" s="26" t="s">
        <v>17</v>
      </c>
      <c r="AI35" s="26" t="s">
        <v>17</v>
      </c>
      <c r="AJ35" s="26" t="s">
        <v>17</v>
      </c>
      <c r="AK35" s="26" t="s">
        <v>18</v>
      </c>
      <c r="AL35" s="26" t="s">
        <v>18</v>
      </c>
      <c r="AM35" s="26" t="s">
        <v>17</v>
      </c>
      <c r="AN35" s="26" t="s">
        <v>17</v>
      </c>
      <c r="AO35" s="26" t="s">
        <v>17</v>
      </c>
      <c r="AP35" s="26" t="s">
        <v>18</v>
      </c>
      <c r="AQ35" s="26" t="s">
        <v>18</v>
      </c>
      <c r="AR35" s="26" t="s">
        <v>17</v>
      </c>
      <c r="AS35" s="26" t="s">
        <v>17</v>
      </c>
      <c r="AT35" s="26" t="s">
        <v>17</v>
      </c>
      <c r="AU35" s="26" t="s">
        <v>18</v>
      </c>
      <c r="AV35" s="26" t="s">
        <v>18</v>
      </c>
      <c r="AW35" s="26" t="s">
        <v>17</v>
      </c>
      <c r="AX35" s="26" t="s">
        <v>17</v>
      </c>
      <c r="AY35" s="26" t="s">
        <v>17</v>
      </c>
      <c r="AZ35" s="26" t="s">
        <v>18</v>
      </c>
      <c r="BA35" s="26" t="s">
        <v>18</v>
      </c>
      <c r="BB35" s="26" t="s">
        <v>17</v>
      </c>
      <c r="BC35" s="26" t="s">
        <v>17</v>
      </c>
      <c r="BD35" s="26" t="s">
        <v>17</v>
      </c>
      <c r="BE35" s="30">
        <v>6</v>
      </c>
      <c r="BF35" s="1">
        <f t="shared" si="0"/>
        <v>0</v>
      </c>
      <c r="BG35" s="1">
        <f t="shared" si="1"/>
        <v>0</v>
      </c>
      <c r="BH35" s="1">
        <f t="shared" si="2"/>
        <v>0</v>
      </c>
      <c r="BI35" s="1">
        <f t="shared" si="3"/>
        <v>0</v>
      </c>
      <c r="BJ35" s="1">
        <f t="shared" si="4"/>
        <v>0</v>
      </c>
      <c r="BK35" s="1">
        <f t="shared" si="5"/>
        <v>0</v>
      </c>
      <c r="BL35" s="1">
        <f t="shared" si="6"/>
        <v>0</v>
      </c>
      <c r="BN35" s="1">
        <f t="shared" si="7"/>
        <v>34</v>
      </c>
      <c r="BO35" s="1">
        <f t="shared" si="8"/>
        <v>16</v>
      </c>
      <c r="BP35" s="1">
        <f t="shared" si="9"/>
        <v>0</v>
      </c>
      <c r="BQ35" s="1">
        <f t="shared" si="10"/>
        <v>0</v>
      </c>
      <c r="BR35" s="1">
        <f t="shared" si="11"/>
        <v>0</v>
      </c>
    </row>
    <row r="36" spans="1:70" x14ac:dyDescent="0.3">
      <c r="A36">
        <v>166</v>
      </c>
      <c r="B36" s="56">
        <v>7</v>
      </c>
      <c r="C36" s="24">
        <v>44727.916666666664</v>
      </c>
      <c r="D36" s="33">
        <f t="shared" si="12"/>
        <v>0.1875</v>
      </c>
      <c r="E36" s="64">
        <f t="shared" ref="E36" si="16">E35+D36</f>
        <v>6.1875</v>
      </c>
      <c r="F36" s="40">
        <f t="shared" si="14"/>
        <v>6.1875</v>
      </c>
      <c r="G36" s="26" t="s">
        <v>18</v>
      </c>
      <c r="H36" s="26" t="s">
        <v>18</v>
      </c>
      <c r="I36" s="26" t="s">
        <v>17</v>
      </c>
      <c r="J36" s="26" t="s">
        <v>17</v>
      </c>
      <c r="K36" s="26" t="s">
        <v>17</v>
      </c>
      <c r="L36" s="26" t="s">
        <v>18</v>
      </c>
      <c r="M36" s="26" t="s">
        <v>18</v>
      </c>
      <c r="N36" s="26" t="s">
        <v>17</v>
      </c>
      <c r="O36" s="26" t="s">
        <v>17</v>
      </c>
      <c r="P36" s="26" t="s">
        <v>17</v>
      </c>
      <c r="Q36" s="26" t="s">
        <v>18</v>
      </c>
      <c r="R36" s="26" t="s">
        <v>17</v>
      </c>
      <c r="S36" s="26" t="s">
        <v>17</v>
      </c>
      <c r="T36" s="26" t="s">
        <v>17</v>
      </c>
      <c r="U36" s="26" t="s">
        <v>17</v>
      </c>
      <c r="V36" s="26" t="s">
        <v>18</v>
      </c>
      <c r="W36" s="26" t="s">
        <v>18</v>
      </c>
      <c r="X36" s="26" t="s">
        <v>17</v>
      </c>
      <c r="Y36" s="26" t="s">
        <v>17</v>
      </c>
      <c r="Z36" s="26" t="s">
        <v>17</v>
      </c>
      <c r="AA36" s="26" t="s">
        <v>17</v>
      </c>
      <c r="AB36" s="26" t="s">
        <v>17</v>
      </c>
      <c r="AC36" s="26" t="s">
        <v>17</v>
      </c>
      <c r="AD36" s="26" t="s">
        <v>17</v>
      </c>
      <c r="AE36" s="26" t="s">
        <v>17</v>
      </c>
      <c r="AF36" s="26" t="s">
        <v>18</v>
      </c>
      <c r="AG36" s="26" t="s">
        <v>17</v>
      </c>
      <c r="AH36" s="26" t="s">
        <v>17</v>
      </c>
      <c r="AI36" s="26" t="s">
        <v>17</v>
      </c>
      <c r="AJ36" s="26" t="s">
        <v>17</v>
      </c>
      <c r="AK36" s="26" t="s">
        <v>18</v>
      </c>
      <c r="AL36" s="26" t="s">
        <v>18</v>
      </c>
      <c r="AM36" s="26" t="s">
        <v>17</v>
      </c>
      <c r="AN36" s="26" t="s">
        <v>17</v>
      </c>
      <c r="AO36" s="26" t="s">
        <v>17</v>
      </c>
      <c r="AP36" s="26" t="s">
        <v>18</v>
      </c>
      <c r="AQ36" s="26" t="s">
        <v>18</v>
      </c>
      <c r="AR36" s="26" t="s">
        <v>17</v>
      </c>
      <c r="AS36" s="26" t="s">
        <v>17</v>
      </c>
      <c r="AT36" s="26" t="s">
        <v>17</v>
      </c>
      <c r="AU36" s="26" t="s">
        <v>18</v>
      </c>
      <c r="AV36" s="26" t="s">
        <v>18</v>
      </c>
      <c r="AW36" s="26" t="s">
        <v>17</v>
      </c>
      <c r="AX36" s="26" t="s">
        <v>17</v>
      </c>
      <c r="AY36" s="26" t="s">
        <v>17</v>
      </c>
      <c r="AZ36" s="26" t="s">
        <v>18</v>
      </c>
      <c r="BA36" s="26" t="s">
        <v>18</v>
      </c>
      <c r="BB36" s="26" t="s">
        <v>17</v>
      </c>
      <c r="BC36" s="26" t="s">
        <v>17</v>
      </c>
      <c r="BD36" s="26" t="s">
        <v>17</v>
      </c>
      <c r="BE36" s="30">
        <v>6.1875</v>
      </c>
      <c r="BF36" s="1">
        <f t="shared" si="0"/>
        <v>0</v>
      </c>
      <c r="BG36" s="1">
        <f t="shared" si="1"/>
        <v>0</v>
      </c>
      <c r="BH36" s="1">
        <f t="shared" si="2"/>
        <v>0</v>
      </c>
      <c r="BI36" s="1">
        <f t="shared" si="3"/>
        <v>0</v>
      </c>
      <c r="BJ36" s="1">
        <f t="shared" si="4"/>
        <v>0</v>
      </c>
      <c r="BK36" s="1">
        <f t="shared" si="5"/>
        <v>0</v>
      </c>
      <c r="BL36" s="1">
        <f t="shared" si="6"/>
        <v>0</v>
      </c>
      <c r="BN36" s="1">
        <f t="shared" si="7"/>
        <v>34</v>
      </c>
      <c r="BO36" s="1">
        <f t="shared" si="8"/>
        <v>16</v>
      </c>
      <c r="BP36" s="1">
        <f t="shared" si="9"/>
        <v>0</v>
      </c>
      <c r="BQ36" s="1">
        <f t="shared" si="10"/>
        <v>0</v>
      </c>
      <c r="BR36" s="1">
        <f t="shared" si="11"/>
        <v>0</v>
      </c>
    </row>
    <row r="37" spans="1:70" x14ac:dyDescent="0.3">
      <c r="A37">
        <v>167</v>
      </c>
      <c r="B37" s="56">
        <v>8</v>
      </c>
      <c r="C37" s="24">
        <v>44728.104166666664</v>
      </c>
      <c r="D37" s="33">
        <f t="shared" si="12"/>
        <v>0.1875</v>
      </c>
      <c r="E37" s="64">
        <f t="shared" ref="E37:E39" si="17">E36+D37</f>
        <v>6.375</v>
      </c>
      <c r="F37" s="40">
        <f t="shared" si="14"/>
        <v>6.375</v>
      </c>
      <c r="G37" s="26" t="s">
        <v>18</v>
      </c>
      <c r="H37" s="26" t="s">
        <v>18</v>
      </c>
      <c r="I37" s="26" t="s">
        <v>17</v>
      </c>
      <c r="J37" s="26" t="s">
        <v>17</v>
      </c>
      <c r="K37" s="26" t="s">
        <v>17</v>
      </c>
      <c r="L37" s="26" t="s">
        <v>18</v>
      </c>
      <c r="M37" s="26" t="s">
        <v>18</v>
      </c>
      <c r="N37" s="26" t="s">
        <v>17</v>
      </c>
      <c r="O37" s="26" t="s">
        <v>17</v>
      </c>
      <c r="P37" s="26" t="s">
        <v>17</v>
      </c>
      <c r="Q37" s="26" t="s">
        <v>18</v>
      </c>
      <c r="R37" s="26" t="s">
        <v>17</v>
      </c>
      <c r="S37" s="26" t="s">
        <v>17</v>
      </c>
      <c r="T37" s="26" t="s">
        <v>17</v>
      </c>
      <c r="U37" s="26" t="s">
        <v>17</v>
      </c>
      <c r="V37" s="26" t="s">
        <v>18</v>
      </c>
      <c r="W37" s="26" t="s">
        <v>18</v>
      </c>
      <c r="X37" s="26" t="s">
        <v>17</v>
      </c>
      <c r="Y37" s="26" t="s">
        <v>17</v>
      </c>
      <c r="Z37" s="26" t="s">
        <v>17</v>
      </c>
      <c r="AA37" s="26" t="s">
        <v>17</v>
      </c>
      <c r="AB37" s="26" t="s">
        <v>17</v>
      </c>
      <c r="AC37" s="26" t="s">
        <v>17</v>
      </c>
      <c r="AD37" s="26" t="s">
        <v>17</v>
      </c>
      <c r="AE37" s="26" t="s">
        <v>17</v>
      </c>
      <c r="AF37" s="26" t="s">
        <v>18</v>
      </c>
      <c r="AG37" s="26" t="s">
        <v>17</v>
      </c>
      <c r="AH37" s="26" t="s">
        <v>17</v>
      </c>
      <c r="AI37" s="26" t="s">
        <v>17</v>
      </c>
      <c r="AJ37" s="26" t="s">
        <v>17</v>
      </c>
      <c r="AK37" s="26" t="s">
        <v>18</v>
      </c>
      <c r="AL37" s="26" t="s">
        <v>18</v>
      </c>
      <c r="AM37" s="26" t="s">
        <v>17</v>
      </c>
      <c r="AN37" s="26" t="s">
        <v>17</v>
      </c>
      <c r="AO37" s="26" t="s">
        <v>17</v>
      </c>
      <c r="AP37" s="26" t="s">
        <v>18</v>
      </c>
      <c r="AQ37" s="26" t="s">
        <v>18</v>
      </c>
      <c r="AR37" s="26" t="s">
        <v>17</v>
      </c>
      <c r="AS37" s="26" t="s">
        <v>17</v>
      </c>
      <c r="AT37" s="26" t="s">
        <v>17</v>
      </c>
      <c r="AU37" s="26" t="s">
        <v>18</v>
      </c>
      <c r="AV37" s="26" t="s">
        <v>18</v>
      </c>
      <c r="AW37" s="26" t="s">
        <v>17</v>
      </c>
      <c r="AX37" s="26" t="s">
        <v>17</v>
      </c>
      <c r="AY37" s="26" t="s">
        <v>17</v>
      </c>
      <c r="AZ37" s="26" t="s">
        <v>18</v>
      </c>
      <c r="BA37" s="26" t="s">
        <v>18</v>
      </c>
      <c r="BB37" s="26" t="s">
        <v>17</v>
      </c>
      <c r="BC37" s="26" t="s">
        <v>17</v>
      </c>
      <c r="BD37" s="26" t="s">
        <v>17</v>
      </c>
      <c r="BE37" s="30">
        <v>6.375</v>
      </c>
      <c r="BF37" s="1">
        <f t="shared" si="0"/>
        <v>0</v>
      </c>
      <c r="BG37" s="1">
        <f t="shared" si="1"/>
        <v>0</v>
      </c>
      <c r="BH37" s="1">
        <f t="shared" si="2"/>
        <v>0</v>
      </c>
      <c r="BI37" s="1">
        <f t="shared" si="3"/>
        <v>0</v>
      </c>
      <c r="BJ37" s="1">
        <f t="shared" si="4"/>
        <v>0</v>
      </c>
      <c r="BK37" s="1">
        <f t="shared" si="5"/>
        <v>0</v>
      </c>
      <c r="BL37" s="1">
        <f t="shared" si="6"/>
        <v>0</v>
      </c>
      <c r="BN37" s="1">
        <f t="shared" si="7"/>
        <v>34</v>
      </c>
      <c r="BO37" s="1">
        <f t="shared" si="8"/>
        <v>16</v>
      </c>
      <c r="BP37" s="1">
        <f t="shared" si="9"/>
        <v>0</v>
      </c>
      <c r="BQ37" s="1">
        <f t="shared" si="10"/>
        <v>0</v>
      </c>
      <c r="BR37" s="1">
        <f t="shared" si="11"/>
        <v>0</v>
      </c>
    </row>
    <row r="38" spans="1:70" x14ac:dyDescent="0.3">
      <c r="A38">
        <v>167</v>
      </c>
      <c r="B38" s="56">
        <v>8</v>
      </c>
      <c r="C38" s="24">
        <v>44729.291666666664</v>
      </c>
      <c r="D38" s="33">
        <f t="shared" si="12"/>
        <v>1.1875</v>
      </c>
      <c r="E38" s="64">
        <f t="shared" si="17"/>
        <v>7.5625</v>
      </c>
      <c r="F38" s="40">
        <f t="shared" si="14"/>
        <v>7.5625</v>
      </c>
      <c r="G38" s="26" t="s">
        <v>18</v>
      </c>
      <c r="H38" s="26" t="s">
        <v>18</v>
      </c>
      <c r="I38" s="26" t="s">
        <v>17</v>
      </c>
      <c r="J38" s="26" t="s">
        <v>17</v>
      </c>
      <c r="K38" s="26" t="s">
        <v>17</v>
      </c>
      <c r="L38" s="26" t="s">
        <v>18</v>
      </c>
      <c r="M38" s="26" t="s">
        <v>18</v>
      </c>
      <c r="N38" s="26" t="s">
        <v>17</v>
      </c>
      <c r="O38" s="26" t="s">
        <v>17</v>
      </c>
      <c r="P38" s="26" t="s">
        <v>17</v>
      </c>
      <c r="Q38" s="26" t="s">
        <v>18</v>
      </c>
      <c r="R38" s="26" t="s">
        <v>17</v>
      </c>
      <c r="S38" s="26" t="s">
        <v>17</v>
      </c>
      <c r="T38" s="26" t="s">
        <v>17</v>
      </c>
      <c r="U38" s="26" t="s">
        <v>17</v>
      </c>
      <c r="V38" s="26" t="s">
        <v>18</v>
      </c>
      <c r="W38" s="26" t="s">
        <v>18</v>
      </c>
      <c r="X38" s="26" t="s">
        <v>17</v>
      </c>
      <c r="Y38" s="26" t="s">
        <v>17</v>
      </c>
      <c r="Z38" s="26" t="s">
        <v>17</v>
      </c>
      <c r="AA38" s="26" t="s">
        <v>17</v>
      </c>
      <c r="AB38" s="26" t="s">
        <v>17</v>
      </c>
      <c r="AC38" s="26" t="s">
        <v>17</v>
      </c>
      <c r="AD38" s="26" t="s">
        <v>17</v>
      </c>
      <c r="AE38" s="26" t="s">
        <v>17</v>
      </c>
      <c r="AF38" s="26" t="s">
        <v>18</v>
      </c>
      <c r="AG38" s="26" t="s">
        <v>17</v>
      </c>
      <c r="AH38" s="26" t="s">
        <v>17</v>
      </c>
      <c r="AI38" s="26" t="s">
        <v>17</v>
      </c>
      <c r="AJ38" s="26" t="s">
        <v>17</v>
      </c>
      <c r="AK38" s="26" t="s">
        <v>18</v>
      </c>
      <c r="AL38" s="26" t="s">
        <v>18</v>
      </c>
      <c r="AM38" s="26" t="s">
        <v>17</v>
      </c>
      <c r="AN38" s="26" t="s">
        <v>17</v>
      </c>
      <c r="AO38" s="26" t="s">
        <v>17</v>
      </c>
      <c r="AP38" s="26" t="s">
        <v>18</v>
      </c>
      <c r="AQ38" s="26" t="s">
        <v>18</v>
      </c>
      <c r="AR38" s="26" t="s">
        <v>17</v>
      </c>
      <c r="AS38" s="26" t="s">
        <v>17</v>
      </c>
      <c r="AT38" s="26" t="s">
        <v>17</v>
      </c>
      <c r="AU38" s="26" t="s">
        <v>18</v>
      </c>
      <c r="AV38" s="26" t="s">
        <v>18</v>
      </c>
      <c r="AW38" s="26" t="s">
        <v>17</v>
      </c>
      <c r="AX38" s="26" t="s">
        <v>17</v>
      </c>
      <c r="AY38" s="26" t="s">
        <v>17</v>
      </c>
      <c r="AZ38" s="26" t="s">
        <v>18</v>
      </c>
      <c r="BA38" s="26" t="s">
        <v>18</v>
      </c>
      <c r="BB38" s="26" t="s">
        <v>17</v>
      </c>
      <c r="BC38" s="26" t="s">
        <v>17</v>
      </c>
      <c r="BD38" s="26" t="s">
        <v>17</v>
      </c>
      <c r="BE38" s="30">
        <v>7.5625</v>
      </c>
      <c r="BF38" s="1">
        <f t="shared" si="0"/>
        <v>0</v>
      </c>
      <c r="BG38" s="1">
        <f t="shared" si="1"/>
        <v>0</v>
      </c>
      <c r="BH38" s="1">
        <f t="shared" si="2"/>
        <v>0</v>
      </c>
      <c r="BI38" s="1">
        <f t="shared" si="3"/>
        <v>0</v>
      </c>
      <c r="BJ38" s="1">
        <f t="shared" si="4"/>
        <v>0</v>
      </c>
      <c r="BK38" s="1">
        <f t="shared" si="5"/>
        <v>0</v>
      </c>
      <c r="BL38" s="1">
        <f t="shared" si="6"/>
        <v>0</v>
      </c>
      <c r="BN38" s="1">
        <f t="shared" si="7"/>
        <v>34</v>
      </c>
      <c r="BO38" s="1">
        <f t="shared" si="8"/>
        <v>16</v>
      </c>
      <c r="BP38" s="1">
        <f t="shared" si="9"/>
        <v>0</v>
      </c>
      <c r="BQ38" s="1">
        <f t="shared" si="10"/>
        <v>0</v>
      </c>
      <c r="BR38" s="1">
        <f t="shared" si="11"/>
        <v>0</v>
      </c>
    </row>
    <row r="39" spans="1:70" x14ac:dyDescent="0.3">
      <c r="A39">
        <v>167</v>
      </c>
      <c r="B39" s="56">
        <v>8</v>
      </c>
      <c r="C39" s="24">
        <v>44730.479166666664</v>
      </c>
      <c r="D39" s="33">
        <f t="shared" si="12"/>
        <v>1.1875</v>
      </c>
      <c r="E39" s="64">
        <f t="shared" si="17"/>
        <v>8.75</v>
      </c>
      <c r="F39" s="40">
        <f t="shared" si="14"/>
        <v>8.75</v>
      </c>
      <c r="G39" s="26" t="s">
        <v>18</v>
      </c>
      <c r="H39" s="26" t="s">
        <v>18</v>
      </c>
      <c r="I39" s="26" t="s">
        <v>17</v>
      </c>
      <c r="J39" s="26" t="s">
        <v>17</v>
      </c>
      <c r="K39" s="26" t="s">
        <v>17</v>
      </c>
      <c r="L39" s="26" t="s">
        <v>18</v>
      </c>
      <c r="M39" s="26" t="s">
        <v>18</v>
      </c>
      <c r="N39" s="26" t="s">
        <v>17</v>
      </c>
      <c r="O39" s="26" t="s">
        <v>17</v>
      </c>
      <c r="P39" s="26" t="s">
        <v>17</v>
      </c>
      <c r="Q39" s="26" t="s">
        <v>18</v>
      </c>
      <c r="R39" s="26" t="s">
        <v>17</v>
      </c>
      <c r="S39" s="26" t="s">
        <v>17</v>
      </c>
      <c r="T39" s="26" t="s">
        <v>17</v>
      </c>
      <c r="U39" s="26" t="s">
        <v>17</v>
      </c>
      <c r="V39" s="26" t="s">
        <v>18</v>
      </c>
      <c r="W39" s="26" t="s">
        <v>18</v>
      </c>
      <c r="X39" s="26" t="s">
        <v>17</v>
      </c>
      <c r="Y39" s="26" t="s">
        <v>17</v>
      </c>
      <c r="Z39" s="26" t="s">
        <v>17</v>
      </c>
      <c r="AA39" s="26" t="s">
        <v>17</v>
      </c>
      <c r="AB39" s="26" t="s">
        <v>17</v>
      </c>
      <c r="AC39" s="26" t="s">
        <v>17</v>
      </c>
      <c r="AD39" s="26" t="s">
        <v>17</v>
      </c>
      <c r="AE39" s="26" t="s">
        <v>17</v>
      </c>
      <c r="AF39" s="26" t="s">
        <v>18</v>
      </c>
      <c r="AG39" s="26" t="s">
        <v>17</v>
      </c>
      <c r="AH39" s="26" t="s">
        <v>17</v>
      </c>
      <c r="AI39" s="26" t="s">
        <v>17</v>
      </c>
      <c r="AJ39" s="26" t="s">
        <v>17</v>
      </c>
      <c r="AK39" s="26" t="s">
        <v>18</v>
      </c>
      <c r="AL39" s="26" t="s">
        <v>18</v>
      </c>
      <c r="AM39" s="26" t="s">
        <v>17</v>
      </c>
      <c r="AN39" s="26" t="s">
        <v>17</v>
      </c>
      <c r="AO39" s="26" t="s">
        <v>17</v>
      </c>
      <c r="AP39" s="26" t="s">
        <v>18</v>
      </c>
      <c r="AQ39" s="26" t="s">
        <v>18</v>
      </c>
      <c r="AR39" s="26" t="s">
        <v>17</v>
      </c>
      <c r="AS39" s="26" t="s">
        <v>17</v>
      </c>
      <c r="AT39" s="26" t="s">
        <v>17</v>
      </c>
      <c r="AU39" s="26" t="s">
        <v>18</v>
      </c>
      <c r="AV39" s="26" t="s">
        <v>18</v>
      </c>
      <c r="AW39" s="26" t="s">
        <v>17</v>
      </c>
      <c r="AX39" s="26" t="s">
        <v>17</v>
      </c>
      <c r="AY39" s="26" t="s">
        <v>17</v>
      </c>
      <c r="AZ39" s="26" t="s">
        <v>18</v>
      </c>
      <c r="BA39" s="26" t="s">
        <v>18</v>
      </c>
      <c r="BB39" s="26" t="s">
        <v>17</v>
      </c>
      <c r="BC39" s="26" t="s">
        <v>17</v>
      </c>
      <c r="BD39" s="26" t="s">
        <v>17</v>
      </c>
      <c r="BE39" s="30">
        <v>8.75</v>
      </c>
      <c r="BF39" s="1">
        <f t="shared" si="0"/>
        <v>0</v>
      </c>
      <c r="BG39" s="1">
        <f t="shared" si="1"/>
        <v>0</v>
      </c>
      <c r="BH39" s="1">
        <f t="shared" si="2"/>
        <v>0</v>
      </c>
      <c r="BI39" s="1">
        <f t="shared" si="3"/>
        <v>0</v>
      </c>
      <c r="BJ39" s="1">
        <f t="shared" si="4"/>
        <v>0</v>
      </c>
      <c r="BK39" s="1">
        <f t="shared" si="5"/>
        <v>0</v>
      </c>
      <c r="BL39" s="1">
        <f t="shared" si="6"/>
        <v>0</v>
      </c>
      <c r="BN39" s="1">
        <f t="shared" si="7"/>
        <v>34</v>
      </c>
      <c r="BO39" s="1">
        <f t="shared" si="8"/>
        <v>16</v>
      </c>
      <c r="BP39" s="1">
        <f t="shared" si="9"/>
        <v>0</v>
      </c>
      <c r="BQ39" s="1">
        <f t="shared" si="10"/>
        <v>0</v>
      </c>
      <c r="BR39" s="1">
        <f t="shared" si="11"/>
        <v>0</v>
      </c>
    </row>
    <row r="40" spans="1:70" x14ac:dyDescent="0.3">
      <c r="A40">
        <v>167</v>
      </c>
      <c r="B40" s="56">
        <v>8</v>
      </c>
      <c r="C40" s="24">
        <v>44730.666666666664</v>
      </c>
      <c r="D40" s="33">
        <f t="shared" si="12"/>
        <v>0.1875</v>
      </c>
      <c r="E40" s="64">
        <f t="shared" ref="E40:E41" si="18">E39+D40</f>
        <v>8.9375</v>
      </c>
      <c r="F40" s="40">
        <f t="shared" si="14"/>
        <v>8.9375</v>
      </c>
      <c r="G40" s="26" t="s">
        <v>18</v>
      </c>
      <c r="H40" s="26" t="s">
        <v>18</v>
      </c>
      <c r="I40" s="26" t="s">
        <v>17</v>
      </c>
      <c r="J40" s="26" t="s">
        <v>17</v>
      </c>
      <c r="K40" s="26" t="s">
        <v>17</v>
      </c>
      <c r="L40" s="26" t="s">
        <v>18</v>
      </c>
      <c r="M40" s="26" t="s">
        <v>18</v>
      </c>
      <c r="N40" s="26" t="s">
        <v>17</v>
      </c>
      <c r="O40" s="26" t="s">
        <v>17</v>
      </c>
      <c r="P40" s="26" t="s">
        <v>17</v>
      </c>
      <c r="Q40" s="26" t="s">
        <v>18</v>
      </c>
      <c r="R40" s="26" t="s">
        <v>17</v>
      </c>
      <c r="S40" s="26" t="s">
        <v>17</v>
      </c>
      <c r="T40" s="26" t="s">
        <v>17</v>
      </c>
      <c r="U40" s="26" t="s">
        <v>17</v>
      </c>
      <c r="V40" s="26" t="s">
        <v>18</v>
      </c>
      <c r="W40" s="26" t="s">
        <v>18</v>
      </c>
      <c r="X40" s="26" t="s">
        <v>17</v>
      </c>
      <c r="Y40" s="26" t="s">
        <v>17</v>
      </c>
      <c r="Z40" s="26" t="s">
        <v>17</v>
      </c>
      <c r="AA40" s="26" t="s">
        <v>17</v>
      </c>
      <c r="AB40" s="26" t="s">
        <v>17</v>
      </c>
      <c r="AC40" s="26" t="s">
        <v>17</v>
      </c>
      <c r="AD40" s="26" t="s">
        <v>17</v>
      </c>
      <c r="AE40" s="26" t="s">
        <v>17</v>
      </c>
      <c r="AF40" s="26" t="s">
        <v>18</v>
      </c>
      <c r="AG40" s="26" t="s">
        <v>17</v>
      </c>
      <c r="AH40" s="26" t="s">
        <v>17</v>
      </c>
      <c r="AI40" s="26" t="s">
        <v>17</v>
      </c>
      <c r="AJ40" s="26" t="s">
        <v>17</v>
      </c>
      <c r="AK40" s="26" t="s">
        <v>18</v>
      </c>
      <c r="AL40" s="26" t="s">
        <v>18</v>
      </c>
      <c r="AM40" s="26" t="s">
        <v>17</v>
      </c>
      <c r="AN40" s="26" t="s">
        <v>17</v>
      </c>
      <c r="AO40" s="26" t="s">
        <v>17</v>
      </c>
      <c r="AP40" s="26" t="s">
        <v>18</v>
      </c>
      <c r="AQ40" s="26" t="s">
        <v>18</v>
      </c>
      <c r="AR40" s="26" t="s">
        <v>17</v>
      </c>
      <c r="AS40" s="26" t="s">
        <v>17</v>
      </c>
      <c r="AT40" s="26" t="s">
        <v>17</v>
      </c>
      <c r="AU40" s="26" t="s">
        <v>18</v>
      </c>
      <c r="AV40" s="26" t="s">
        <v>18</v>
      </c>
      <c r="AW40" s="26" t="s">
        <v>17</v>
      </c>
      <c r="AX40" s="26" t="s">
        <v>17</v>
      </c>
      <c r="AY40" s="26" t="s">
        <v>17</v>
      </c>
      <c r="AZ40" s="26" t="s">
        <v>18</v>
      </c>
      <c r="BA40" s="26" t="s">
        <v>18</v>
      </c>
      <c r="BB40" s="26" t="s">
        <v>17</v>
      </c>
      <c r="BC40" s="26" t="s">
        <v>17</v>
      </c>
      <c r="BD40" s="26" t="s">
        <v>17</v>
      </c>
      <c r="BE40" s="30">
        <v>8.9375</v>
      </c>
      <c r="BF40" s="1">
        <f t="shared" si="0"/>
        <v>0</v>
      </c>
      <c r="BG40" s="1">
        <f t="shared" si="1"/>
        <v>0</v>
      </c>
      <c r="BH40" s="1">
        <f t="shared" si="2"/>
        <v>0</v>
      </c>
      <c r="BI40" s="1">
        <f t="shared" si="3"/>
        <v>0</v>
      </c>
      <c r="BJ40" s="1">
        <f t="shared" si="4"/>
        <v>0</v>
      </c>
      <c r="BK40" s="1">
        <f t="shared" si="5"/>
        <v>0</v>
      </c>
      <c r="BL40" s="1">
        <f t="shared" si="6"/>
        <v>0</v>
      </c>
      <c r="BN40" s="1">
        <f t="shared" si="7"/>
        <v>34</v>
      </c>
      <c r="BO40" s="1">
        <f t="shared" si="8"/>
        <v>16</v>
      </c>
      <c r="BP40" s="1">
        <f t="shared" si="9"/>
        <v>0</v>
      </c>
      <c r="BQ40" s="1">
        <f t="shared" si="10"/>
        <v>0</v>
      </c>
      <c r="BR40" s="1">
        <f t="shared" si="11"/>
        <v>0</v>
      </c>
    </row>
    <row r="41" spans="1:70" x14ac:dyDescent="0.3">
      <c r="A41">
        <v>167</v>
      </c>
      <c r="B41" s="56">
        <v>8</v>
      </c>
      <c r="C41" s="24">
        <v>44730.854166666664</v>
      </c>
      <c r="D41" s="33">
        <f t="shared" si="12"/>
        <v>0.1875</v>
      </c>
      <c r="E41" s="64">
        <f t="shared" si="18"/>
        <v>9.125</v>
      </c>
      <c r="F41" s="40">
        <f t="shared" si="14"/>
        <v>9.125</v>
      </c>
      <c r="G41" s="26" t="s">
        <v>18</v>
      </c>
      <c r="H41" s="26" t="s">
        <v>18</v>
      </c>
      <c r="I41" s="26" t="s">
        <v>17</v>
      </c>
      <c r="J41" s="26" t="s">
        <v>17</v>
      </c>
      <c r="K41" s="26" t="s">
        <v>17</v>
      </c>
      <c r="L41" s="26" t="s">
        <v>18</v>
      </c>
      <c r="M41" s="26" t="s">
        <v>18</v>
      </c>
      <c r="N41" s="26" t="s">
        <v>17</v>
      </c>
      <c r="O41" s="26" t="s">
        <v>17</v>
      </c>
      <c r="P41" s="26" t="s">
        <v>17</v>
      </c>
      <c r="Q41" s="26" t="s">
        <v>18</v>
      </c>
      <c r="R41" s="26" t="s">
        <v>17</v>
      </c>
      <c r="S41" s="26" t="s">
        <v>17</v>
      </c>
      <c r="T41" s="26" t="s">
        <v>17</v>
      </c>
      <c r="U41" s="26" t="s">
        <v>17</v>
      </c>
      <c r="V41" s="26" t="s">
        <v>18</v>
      </c>
      <c r="W41" s="26" t="s">
        <v>18</v>
      </c>
      <c r="X41" s="26" t="s">
        <v>17</v>
      </c>
      <c r="Y41" s="26" t="s">
        <v>17</v>
      </c>
      <c r="Z41" s="26" t="s">
        <v>17</v>
      </c>
      <c r="AA41" s="26" t="s">
        <v>17</v>
      </c>
      <c r="AB41" s="26" t="s">
        <v>17</v>
      </c>
      <c r="AC41" s="26" t="s">
        <v>17</v>
      </c>
      <c r="AD41" s="26" t="s">
        <v>17</v>
      </c>
      <c r="AE41" s="26" t="s">
        <v>17</v>
      </c>
      <c r="AF41" s="26" t="s">
        <v>18</v>
      </c>
      <c r="AG41" s="26" t="s">
        <v>17</v>
      </c>
      <c r="AH41" s="26" t="s">
        <v>17</v>
      </c>
      <c r="AI41" s="26" t="s">
        <v>17</v>
      </c>
      <c r="AJ41" s="26" t="s">
        <v>17</v>
      </c>
      <c r="AK41" s="26" t="s">
        <v>18</v>
      </c>
      <c r="AL41" s="26" t="s">
        <v>18</v>
      </c>
      <c r="AM41" s="26" t="s">
        <v>17</v>
      </c>
      <c r="AN41" s="26" t="s">
        <v>17</v>
      </c>
      <c r="AO41" s="26" t="s">
        <v>17</v>
      </c>
      <c r="AP41" s="26" t="s">
        <v>18</v>
      </c>
      <c r="AQ41" s="26" t="s">
        <v>18</v>
      </c>
      <c r="AR41" s="26" t="s">
        <v>17</v>
      </c>
      <c r="AS41" s="26" t="s">
        <v>17</v>
      </c>
      <c r="AT41" s="26" t="s">
        <v>17</v>
      </c>
      <c r="AU41" s="26" t="s">
        <v>18</v>
      </c>
      <c r="AV41" s="26" t="s">
        <v>18</v>
      </c>
      <c r="AW41" s="26" t="s">
        <v>17</v>
      </c>
      <c r="AX41" s="26" t="s">
        <v>17</v>
      </c>
      <c r="AY41" s="26" t="s">
        <v>17</v>
      </c>
      <c r="AZ41" s="26" t="s">
        <v>18</v>
      </c>
      <c r="BA41" s="26" t="s">
        <v>18</v>
      </c>
      <c r="BB41" s="26" t="s">
        <v>17</v>
      </c>
      <c r="BC41" s="26" t="s">
        <v>17</v>
      </c>
      <c r="BD41" s="26" t="s">
        <v>17</v>
      </c>
      <c r="BE41" s="30">
        <v>9.125</v>
      </c>
      <c r="BF41" s="1">
        <f t="shared" si="0"/>
        <v>0</v>
      </c>
      <c r="BG41" s="1">
        <f t="shared" si="1"/>
        <v>0</v>
      </c>
      <c r="BH41" s="1">
        <f t="shared" si="2"/>
        <v>0</v>
      </c>
      <c r="BI41" s="1">
        <f t="shared" si="3"/>
        <v>0</v>
      </c>
      <c r="BJ41" s="1">
        <f t="shared" si="4"/>
        <v>0</v>
      </c>
      <c r="BK41" s="1">
        <f t="shared" si="5"/>
        <v>0</v>
      </c>
      <c r="BL41" s="1">
        <f t="shared" si="6"/>
        <v>0</v>
      </c>
      <c r="BN41" s="1">
        <f t="shared" si="7"/>
        <v>34</v>
      </c>
      <c r="BO41" s="1">
        <f t="shared" si="8"/>
        <v>16</v>
      </c>
      <c r="BP41" s="1">
        <f t="shared" si="9"/>
        <v>0</v>
      </c>
      <c r="BQ41" s="1">
        <f t="shared" si="10"/>
        <v>0</v>
      </c>
      <c r="BR41" s="1">
        <f t="shared" si="11"/>
        <v>0</v>
      </c>
    </row>
    <row r="42" spans="1:70" x14ac:dyDescent="0.3">
      <c r="B42" s="56"/>
      <c r="C42" s="24"/>
      <c r="D42" s="33"/>
      <c r="E42" s="64"/>
    </row>
    <row r="43" spans="1:70" x14ac:dyDescent="0.3">
      <c r="B43" s="56"/>
      <c r="C43" s="24"/>
      <c r="D43" s="33"/>
      <c r="E43" s="64"/>
    </row>
  </sheetData>
  <mergeCells count="7">
    <mergeCell ref="F1:F2"/>
    <mergeCell ref="G1:BD2"/>
    <mergeCell ref="A1:A2"/>
    <mergeCell ref="B1:B2"/>
    <mergeCell ref="C1:C2"/>
    <mergeCell ref="D1:D2"/>
    <mergeCell ref="E1:E2"/>
  </mergeCells>
  <phoneticPr fontId="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A320-5061-4C7E-9DA5-D850EB705648}">
  <dimension ref="A1:BR50"/>
  <sheetViews>
    <sheetView topLeftCell="AV1" workbookViewId="0">
      <selection activeCell="BE3" sqref="BE3:BE48"/>
    </sheetView>
  </sheetViews>
  <sheetFormatPr defaultRowHeight="14.4" x14ac:dyDescent="0.3"/>
  <cols>
    <col min="2" max="2" width="22" bestFit="1" customWidth="1"/>
    <col min="3" max="3" width="14.6640625" bestFit="1" customWidth="1"/>
    <col min="4" max="4" width="19.5546875" bestFit="1" customWidth="1"/>
    <col min="5" max="5" width="9.5546875" bestFit="1" customWidth="1"/>
  </cols>
  <sheetData>
    <row r="1" spans="1:70" x14ac:dyDescent="0.3">
      <c r="A1" s="75" t="s">
        <v>51</v>
      </c>
      <c r="B1" s="76" t="s">
        <v>1</v>
      </c>
      <c r="C1" s="77" t="s">
        <v>23</v>
      </c>
      <c r="D1" s="77" t="s">
        <v>24</v>
      </c>
      <c r="E1" s="78" t="s">
        <v>50</v>
      </c>
      <c r="F1" s="82" t="s">
        <v>33</v>
      </c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67"/>
      <c r="BF1" s="50" t="s">
        <v>15</v>
      </c>
      <c r="BG1" s="27"/>
      <c r="BH1" s="27"/>
      <c r="BI1" s="27"/>
      <c r="BJ1" s="27"/>
      <c r="BK1" s="27"/>
      <c r="BL1" s="27"/>
      <c r="BM1" s="32"/>
      <c r="BN1" s="27" t="s">
        <v>16</v>
      </c>
      <c r="BO1" s="27"/>
      <c r="BP1" s="27"/>
      <c r="BQ1" s="27"/>
      <c r="BR1" s="27"/>
    </row>
    <row r="2" spans="1:70" x14ac:dyDescent="0.3">
      <c r="A2" s="75"/>
      <c r="B2" s="76"/>
      <c r="C2" s="77"/>
      <c r="D2" s="77"/>
      <c r="E2" s="78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67"/>
      <c r="BE2" s="68" t="s">
        <v>3</v>
      </c>
      <c r="BF2" s="22" t="s">
        <v>9</v>
      </c>
      <c r="BG2" s="23" t="s">
        <v>5</v>
      </c>
      <c r="BH2" s="16" t="s">
        <v>8</v>
      </c>
      <c r="BI2" s="17" t="s">
        <v>10</v>
      </c>
      <c r="BJ2" s="18" t="s">
        <v>11</v>
      </c>
      <c r="BK2" s="19" t="s">
        <v>13</v>
      </c>
      <c r="BL2" s="20" t="s">
        <v>14</v>
      </c>
      <c r="BM2" s="32"/>
      <c r="BN2" s="22" t="s">
        <v>9</v>
      </c>
      <c r="BO2" s="23" t="s">
        <v>5</v>
      </c>
      <c r="BP2" s="16" t="s">
        <v>8</v>
      </c>
      <c r="BQ2" s="17" t="s">
        <v>10</v>
      </c>
      <c r="BR2" s="18" t="s">
        <v>11</v>
      </c>
    </row>
    <row r="3" spans="1:70" x14ac:dyDescent="0.3">
      <c r="A3" s="36">
        <v>1</v>
      </c>
      <c r="B3" s="39">
        <v>44769.6875</v>
      </c>
      <c r="C3" s="33">
        <v>0</v>
      </c>
      <c r="D3" s="37">
        <v>0</v>
      </c>
      <c r="E3" s="40">
        <v>0</v>
      </c>
      <c r="F3" s="29" t="s">
        <v>4</v>
      </c>
      <c r="G3" s="29" t="s">
        <v>4</v>
      </c>
      <c r="H3" s="29" t="s">
        <v>4</v>
      </c>
      <c r="I3" s="29" t="s">
        <v>4</v>
      </c>
      <c r="J3" s="29" t="s">
        <v>4</v>
      </c>
      <c r="K3" s="29" t="s">
        <v>4</v>
      </c>
      <c r="L3" s="29" t="s">
        <v>4</v>
      </c>
      <c r="M3" s="29" t="s">
        <v>4</v>
      </c>
      <c r="N3" s="29" t="s">
        <v>4</v>
      </c>
      <c r="O3" s="29" t="s">
        <v>4</v>
      </c>
      <c r="P3" s="29" t="s">
        <v>4</v>
      </c>
      <c r="Q3" s="29" t="s">
        <v>4</v>
      </c>
      <c r="R3" s="29" t="s">
        <v>4</v>
      </c>
      <c r="S3" s="29" t="s">
        <v>4</v>
      </c>
      <c r="T3" s="29" t="s">
        <v>4</v>
      </c>
      <c r="U3" s="29" t="s">
        <v>4</v>
      </c>
      <c r="V3" s="29" t="s">
        <v>4</v>
      </c>
      <c r="W3" s="29" t="s">
        <v>4</v>
      </c>
      <c r="X3" s="29" t="s">
        <v>4</v>
      </c>
      <c r="Y3" s="29" t="s">
        <v>4</v>
      </c>
      <c r="Z3" s="29" t="s">
        <v>4</v>
      </c>
      <c r="AA3" s="29" t="s">
        <v>4</v>
      </c>
      <c r="AB3" s="29" t="s">
        <v>4</v>
      </c>
      <c r="AC3" s="29" t="s">
        <v>4</v>
      </c>
      <c r="AD3" s="29" t="s">
        <v>4</v>
      </c>
      <c r="AE3" s="29" t="s">
        <v>4</v>
      </c>
      <c r="AF3" s="29" t="s">
        <v>4</v>
      </c>
      <c r="AG3" s="29" t="s">
        <v>4</v>
      </c>
      <c r="AH3" s="29" t="s">
        <v>4</v>
      </c>
      <c r="AI3" s="29" t="s">
        <v>4</v>
      </c>
      <c r="AJ3" s="29" t="s">
        <v>4</v>
      </c>
      <c r="AK3" s="29" t="s">
        <v>4</v>
      </c>
      <c r="AL3" s="29" t="s">
        <v>4</v>
      </c>
      <c r="AM3" s="29" t="s">
        <v>4</v>
      </c>
      <c r="AN3" s="29" t="s">
        <v>4</v>
      </c>
      <c r="AO3" s="29" t="s">
        <v>4</v>
      </c>
      <c r="AP3" s="29" t="s">
        <v>4</v>
      </c>
      <c r="AQ3" s="29" t="s">
        <v>4</v>
      </c>
      <c r="AR3" s="29" t="s">
        <v>4</v>
      </c>
      <c r="AS3" s="29" t="s">
        <v>4</v>
      </c>
      <c r="AT3" s="29" t="s">
        <v>4</v>
      </c>
      <c r="AU3" s="29" t="s">
        <v>4</v>
      </c>
      <c r="AV3" s="29" t="s">
        <v>4</v>
      </c>
      <c r="AW3" s="29" t="s">
        <v>4</v>
      </c>
      <c r="AX3" s="29" t="s">
        <v>4</v>
      </c>
      <c r="AY3" s="29" t="s">
        <v>4</v>
      </c>
      <c r="AZ3" s="29" t="s">
        <v>4</v>
      </c>
      <c r="BA3" s="29" t="s">
        <v>4</v>
      </c>
      <c r="BB3" s="29" t="s">
        <v>4</v>
      </c>
      <c r="BC3" s="29" t="s">
        <v>4</v>
      </c>
      <c r="BD3" s="29"/>
      <c r="BE3" s="40">
        <v>0</v>
      </c>
      <c r="BF3" s="1">
        <f>COUNTIF($F3:$BC3, "E")</f>
        <v>50</v>
      </c>
      <c r="BG3" s="1">
        <f>COUNTIF($F3:$BC3, "L1")</f>
        <v>0</v>
      </c>
      <c r="BH3" s="1">
        <f>COUNTIF($F3:$BC3, "L2")</f>
        <v>0</v>
      </c>
      <c r="BI3" s="1">
        <f>COUNTIF($F3:$BC3, "L3")</f>
        <v>0</v>
      </c>
      <c r="BJ3" s="1">
        <f>COUNTIF($F3:$BC3, "P")</f>
        <v>0</v>
      </c>
      <c r="BK3" s="1">
        <f>COUNTIF($F3:$BC3, "AM")</f>
        <v>0</v>
      </c>
      <c r="BL3" s="1">
        <f>COUNTIF($F3:$BC3, "AF")</f>
        <v>0</v>
      </c>
      <c r="BN3" s="1">
        <f>COUNTIF($F3:$BC3, "E_D")</f>
        <v>0</v>
      </c>
      <c r="BO3" s="1">
        <f>COUNTIF($F3:$BC3, "L1_D")</f>
        <v>0</v>
      </c>
      <c r="BP3" s="1">
        <f>COUNTIF($F3:$BC3, "L2_D")</f>
        <v>0</v>
      </c>
      <c r="BQ3" s="1">
        <f>COUNTIF($F3:$BC3, "L3_D")</f>
        <v>0</v>
      </c>
      <c r="BR3" s="1">
        <f>COUNTIF($F3:$BC3, "P_D")</f>
        <v>0</v>
      </c>
    </row>
    <row r="4" spans="1:70" x14ac:dyDescent="0.3">
      <c r="A4" s="36">
        <v>1</v>
      </c>
      <c r="B4" s="39">
        <v>44769.729166666664</v>
      </c>
      <c r="C4" s="38">
        <f>(B4-B3)</f>
        <v>4.1666666664241347E-2</v>
      </c>
      <c r="D4" s="37">
        <f>D3+C4</f>
        <v>4.1666666664241347E-2</v>
      </c>
      <c r="E4" s="40">
        <f>C4+E3</f>
        <v>4.1666666664241347E-2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  <c r="N4" s="29" t="s">
        <v>4</v>
      </c>
      <c r="O4" s="29" t="s">
        <v>4</v>
      </c>
      <c r="P4" s="29" t="s">
        <v>4</v>
      </c>
      <c r="Q4" s="29" t="s">
        <v>4</v>
      </c>
      <c r="R4" s="29" t="s">
        <v>4</v>
      </c>
      <c r="S4" s="29" t="s">
        <v>4</v>
      </c>
      <c r="T4" s="29" t="s">
        <v>4</v>
      </c>
      <c r="U4" s="29" t="s">
        <v>4</v>
      </c>
      <c r="V4" s="29" t="s">
        <v>4</v>
      </c>
      <c r="W4" s="29" t="s">
        <v>4</v>
      </c>
      <c r="X4" s="29" t="s">
        <v>4</v>
      </c>
      <c r="Y4" s="29" t="s">
        <v>4</v>
      </c>
      <c r="Z4" s="29" t="s">
        <v>4</v>
      </c>
      <c r="AA4" s="29" t="s">
        <v>4</v>
      </c>
      <c r="AB4" s="29" t="s">
        <v>4</v>
      </c>
      <c r="AC4" s="29" t="s">
        <v>4</v>
      </c>
      <c r="AD4" s="29" t="s">
        <v>4</v>
      </c>
      <c r="AE4" s="29" t="s">
        <v>4</v>
      </c>
      <c r="AF4" s="29" t="s">
        <v>4</v>
      </c>
      <c r="AG4" s="29" t="s">
        <v>4</v>
      </c>
      <c r="AH4" s="29" t="s">
        <v>4</v>
      </c>
      <c r="AI4" s="29" t="s">
        <v>4</v>
      </c>
      <c r="AJ4" s="29" t="s">
        <v>4</v>
      </c>
      <c r="AK4" s="29" t="s">
        <v>4</v>
      </c>
      <c r="AL4" s="29" t="s">
        <v>4</v>
      </c>
      <c r="AM4" s="29" t="s">
        <v>4</v>
      </c>
      <c r="AN4" s="29" t="s">
        <v>4</v>
      </c>
      <c r="AO4" s="29" t="s">
        <v>4</v>
      </c>
      <c r="AP4" s="29" t="s">
        <v>4</v>
      </c>
      <c r="AQ4" s="29" t="s">
        <v>4</v>
      </c>
      <c r="AR4" s="29" t="s">
        <v>4</v>
      </c>
      <c r="AS4" s="29" t="s">
        <v>4</v>
      </c>
      <c r="AT4" s="29" t="s">
        <v>4</v>
      </c>
      <c r="AU4" s="29" t="s">
        <v>4</v>
      </c>
      <c r="AV4" s="29" t="s">
        <v>4</v>
      </c>
      <c r="AW4" s="29" t="s">
        <v>4</v>
      </c>
      <c r="AX4" s="29" t="s">
        <v>4</v>
      </c>
      <c r="AY4" s="29" t="s">
        <v>4</v>
      </c>
      <c r="AZ4" s="29" t="s">
        <v>4</v>
      </c>
      <c r="BA4" s="29" t="s">
        <v>4</v>
      </c>
      <c r="BB4" s="29" t="s">
        <v>4</v>
      </c>
      <c r="BC4" s="29" t="s">
        <v>4</v>
      </c>
      <c r="BD4" s="29"/>
      <c r="BE4" s="40">
        <v>4.1666666664241347E-2</v>
      </c>
      <c r="BF4" s="1">
        <f t="shared" ref="BF4:BF48" si="0">COUNTIF($F4:$BC4, "E")</f>
        <v>50</v>
      </c>
      <c r="BG4" s="1">
        <f t="shared" ref="BG4:BG48" si="1">COUNTIF($F4:$BC4, "L1")</f>
        <v>0</v>
      </c>
      <c r="BH4" s="1">
        <f t="shared" ref="BH4:BH48" si="2">COUNTIF($F4:$BC4, "L2")</f>
        <v>0</v>
      </c>
      <c r="BI4" s="1">
        <f t="shared" ref="BI4:BI48" si="3">COUNTIF($F4:$BC4, "L3")</f>
        <v>0</v>
      </c>
      <c r="BJ4" s="1">
        <f t="shared" ref="BJ4:BJ48" si="4">COUNTIF($F4:$BC4, "P")</f>
        <v>0</v>
      </c>
      <c r="BK4" s="1">
        <f t="shared" ref="BK4:BK48" si="5">COUNTIF($F4:$BC4, "AM")</f>
        <v>0</v>
      </c>
      <c r="BL4" s="1">
        <f t="shared" ref="BL4:BL48" si="6">COUNTIF($F4:$BC4, "AF")</f>
        <v>0</v>
      </c>
      <c r="BN4" s="1">
        <f t="shared" ref="BN4:BN48" si="7">COUNTIF($F4:$BC4, "E_D")</f>
        <v>0</v>
      </c>
      <c r="BO4" s="1">
        <f t="shared" ref="BO4:BO47" si="8">COUNTIF($F4:$BC4, "L1_D")</f>
        <v>0</v>
      </c>
      <c r="BP4" s="1">
        <f t="shared" ref="BP4:BP48" si="9">COUNTIF($F4:$BC4, "L2_D")</f>
        <v>0</v>
      </c>
      <c r="BQ4" s="1">
        <f t="shared" ref="BQ4:BQ48" si="10">COUNTIF($F4:$BC4, "L3_D")</f>
        <v>0</v>
      </c>
      <c r="BR4" s="1">
        <f t="shared" ref="BR4:BR48" si="11">COUNTIF($F4:$BC4, "P_D")</f>
        <v>0</v>
      </c>
    </row>
    <row r="5" spans="1:70" x14ac:dyDescent="0.3">
      <c r="A5" s="36">
        <v>1</v>
      </c>
      <c r="B5" s="39">
        <v>44769.770833333336</v>
      </c>
      <c r="C5" s="38">
        <f t="shared" ref="C5:C19" si="12">(B5-B4)</f>
        <v>4.1666666671517305E-2</v>
      </c>
      <c r="D5" s="37">
        <f t="shared" ref="D5:D8" si="13">D4+C5</f>
        <v>8.3333333335758653E-2</v>
      </c>
      <c r="E5" s="40">
        <f t="shared" ref="E5:E48" si="14">C5+E4</f>
        <v>8.3333333335758653E-2</v>
      </c>
      <c r="F5" s="29" t="s">
        <v>4</v>
      </c>
      <c r="G5" s="29" t="s">
        <v>4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29" t="s">
        <v>4</v>
      </c>
      <c r="N5" s="29" t="s">
        <v>4</v>
      </c>
      <c r="O5" s="29" t="s">
        <v>4</v>
      </c>
      <c r="P5" s="29" t="s">
        <v>4</v>
      </c>
      <c r="Q5" s="29" t="s">
        <v>4</v>
      </c>
      <c r="R5" s="29" t="s">
        <v>4</v>
      </c>
      <c r="S5" s="29" t="s">
        <v>4</v>
      </c>
      <c r="T5" s="29" t="s">
        <v>4</v>
      </c>
      <c r="U5" s="29" t="s">
        <v>4</v>
      </c>
      <c r="V5" s="29" t="s">
        <v>4</v>
      </c>
      <c r="W5" s="29" t="s">
        <v>4</v>
      </c>
      <c r="X5" s="29" t="s">
        <v>4</v>
      </c>
      <c r="Y5" s="29" t="s">
        <v>4</v>
      </c>
      <c r="Z5" s="29" t="s">
        <v>4</v>
      </c>
      <c r="AA5" s="29" t="s">
        <v>4</v>
      </c>
      <c r="AB5" s="29" t="s">
        <v>4</v>
      </c>
      <c r="AC5" s="29" t="s">
        <v>4</v>
      </c>
      <c r="AD5" s="29" t="s">
        <v>4</v>
      </c>
      <c r="AE5" s="29" t="s">
        <v>4</v>
      </c>
      <c r="AF5" s="29" t="s">
        <v>4</v>
      </c>
      <c r="AG5" s="29" t="s">
        <v>4</v>
      </c>
      <c r="AH5" s="29" t="s">
        <v>4</v>
      </c>
      <c r="AI5" s="29" t="s">
        <v>4</v>
      </c>
      <c r="AJ5" s="29" t="s">
        <v>4</v>
      </c>
      <c r="AK5" s="29" t="s">
        <v>4</v>
      </c>
      <c r="AL5" s="29" t="s">
        <v>4</v>
      </c>
      <c r="AM5" s="29" t="s">
        <v>4</v>
      </c>
      <c r="AN5" s="29" t="s">
        <v>4</v>
      </c>
      <c r="AO5" s="29" t="s">
        <v>4</v>
      </c>
      <c r="AP5" s="29" t="s">
        <v>4</v>
      </c>
      <c r="AQ5" s="29" t="s">
        <v>4</v>
      </c>
      <c r="AR5" s="29" t="s">
        <v>4</v>
      </c>
      <c r="AS5" s="29" t="s">
        <v>4</v>
      </c>
      <c r="AT5" s="29" t="s">
        <v>4</v>
      </c>
      <c r="AU5" s="29" t="s">
        <v>4</v>
      </c>
      <c r="AV5" s="29" t="s">
        <v>4</v>
      </c>
      <c r="AW5" s="29" t="s">
        <v>4</v>
      </c>
      <c r="AX5" s="29" t="s">
        <v>4</v>
      </c>
      <c r="AY5" s="29" t="s">
        <v>4</v>
      </c>
      <c r="AZ5" s="29" t="s">
        <v>4</v>
      </c>
      <c r="BA5" s="29" t="s">
        <v>4</v>
      </c>
      <c r="BB5" s="29" t="s">
        <v>4</v>
      </c>
      <c r="BC5" s="29" t="s">
        <v>4</v>
      </c>
      <c r="BD5" s="29"/>
      <c r="BE5" s="40">
        <v>8.3333333335758653E-2</v>
      </c>
      <c r="BF5" s="1">
        <f t="shared" si="0"/>
        <v>50</v>
      </c>
      <c r="BG5" s="1">
        <f t="shared" si="1"/>
        <v>0</v>
      </c>
      <c r="BH5" s="1">
        <f t="shared" si="2"/>
        <v>0</v>
      </c>
      <c r="BI5" s="1">
        <f t="shared" si="3"/>
        <v>0</v>
      </c>
      <c r="BJ5" s="1">
        <f t="shared" si="4"/>
        <v>0</v>
      </c>
      <c r="BK5" s="1">
        <f t="shared" si="5"/>
        <v>0</v>
      </c>
      <c r="BL5" s="1">
        <f t="shared" si="6"/>
        <v>0</v>
      </c>
      <c r="BN5" s="1">
        <f t="shared" si="7"/>
        <v>0</v>
      </c>
      <c r="BO5" s="1">
        <f t="shared" si="8"/>
        <v>0</v>
      </c>
      <c r="BP5" s="1">
        <f t="shared" si="9"/>
        <v>0</v>
      </c>
      <c r="BQ5" s="1">
        <f t="shared" si="10"/>
        <v>0</v>
      </c>
      <c r="BR5" s="1">
        <f t="shared" si="11"/>
        <v>0</v>
      </c>
    </row>
    <row r="6" spans="1:70" x14ac:dyDescent="0.3">
      <c r="A6" s="36">
        <v>1</v>
      </c>
      <c r="B6" s="39">
        <v>44769.8125</v>
      </c>
      <c r="C6" s="38">
        <f t="shared" si="12"/>
        <v>4.1666666664241347E-2</v>
      </c>
      <c r="D6" s="37">
        <f t="shared" si="13"/>
        <v>0.125</v>
      </c>
      <c r="E6" s="40">
        <f t="shared" si="14"/>
        <v>0.125</v>
      </c>
      <c r="F6" s="29" t="s">
        <v>5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  <c r="N6" s="29" t="s">
        <v>4</v>
      </c>
      <c r="O6" s="29" t="s">
        <v>4</v>
      </c>
      <c r="P6" s="29" t="s">
        <v>4</v>
      </c>
      <c r="Q6" s="69" t="s">
        <v>17</v>
      </c>
      <c r="R6" s="69" t="s">
        <v>17</v>
      </c>
      <c r="S6" s="69" t="s">
        <v>17</v>
      </c>
      <c r="T6" s="69" t="s">
        <v>17</v>
      </c>
      <c r="U6" s="69" t="s">
        <v>17</v>
      </c>
      <c r="V6" s="69" t="s">
        <v>17</v>
      </c>
      <c r="W6" s="69" t="s">
        <v>17</v>
      </c>
      <c r="X6" s="69" t="s">
        <v>17</v>
      </c>
      <c r="Y6" s="69" t="s">
        <v>17</v>
      </c>
      <c r="Z6" s="69" t="s">
        <v>17</v>
      </c>
      <c r="AA6" s="69" t="s">
        <v>17</v>
      </c>
      <c r="AB6" s="69" t="s">
        <v>17</v>
      </c>
      <c r="AC6" s="69" t="s">
        <v>17</v>
      </c>
      <c r="AD6" s="69" t="s">
        <v>17</v>
      </c>
      <c r="AE6" s="69" t="s">
        <v>17</v>
      </c>
      <c r="AF6" s="69" t="s">
        <v>17</v>
      </c>
      <c r="AG6" s="69" t="s">
        <v>17</v>
      </c>
      <c r="AH6" s="69" t="s">
        <v>17</v>
      </c>
      <c r="AI6" s="69" t="s">
        <v>17</v>
      </c>
      <c r="AJ6" s="69" t="s">
        <v>17</v>
      </c>
      <c r="AK6" s="69" t="s">
        <v>17</v>
      </c>
      <c r="AL6" s="69" t="s">
        <v>17</v>
      </c>
      <c r="AM6" s="69" t="s">
        <v>17</v>
      </c>
      <c r="AN6" s="69" t="s">
        <v>17</v>
      </c>
      <c r="AO6" s="69" t="s">
        <v>17</v>
      </c>
      <c r="AP6" s="69" t="s">
        <v>17</v>
      </c>
      <c r="AQ6" s="69" t="s">
        <v>17</v>
      </c>
      <c r="AR6" s="69" t="s">
        <v>17</v>
      </c>
      <c r="AS6" s="69" t="s">
        <v>17</v>
      </c>
      <c r="AT6" s="69" t="s">
        <v>17</v>
      </c>
      <c r="AU6" s="69" t="s">
        <v>17</v>
      </c>
      <c r="AV6" s="69" t="s">
        <v>17</v>
      </c>
      <c r="AW6" s="69" t="s">
        <v>17</v>
      </c>
      <c r="AX6" s="69" t="s">
        <v>17</v>
      </c>
      <c r="AY6" s="69" t="s">
        <v>17</v>
      </c>
      <c r="AZ6" s="69" t="s">
        <v>17</v>
      </c>
      <c r="BA6" s="69" t="s">
        <v>17</v>
      </c>
      <c r="BB6" s="69" t="s">
        <v>17</v>
      </c>
      <c r="BC6" s="69" t="s">
        <v>17</v>
      </c>
      <c r="BD6" s="29"/>
      <c r="BE6" s="40">
        <v>0.125</v>
      </c>
      <c r="BF6" s="1">
        <f t="shared" si="0"/>
        <v>10</v>
      </c>
      <c r="BG6" s="1">
        <f t="shared" si="1"/>
        <v>1</v>
      </c>
      <c r="BH6" s="1">
        <f t="shared" si="2"/>
        <v>0</v>
      </c>
      <c r="BI6" s="1">
        <f t="shared" si="3"/>
        <v>0</v>
      </c>
      <c r="BJ6" s="1">
        <f t="shared" si="4"/>
        <v>0</v>
      </c>
      <c r="BK6" s="1">
        <f t="shared" si="5"/>
        <v>0</v>
      </c>
      <c r="BL6" s="1">
        <f t="shared" si="6"/>
        <v>0</v>
      </c>
      <c r="BN6" s="1">
        <f t="shared" si="7"/>
        <v>39</v>
      </c>
      <c r="BO6" s="1">
        <f t="shared" si="8"/>
        <v>0</v>
      </c>
      <c r="BP6" s="1">
        <f t="shared" si="9"/>
        <v>0</v>
      </c>
      <c r="BQ6" s="1">
        <f t="shared" si="10"/>
        <v>0</v>
      </c>
      <c r="BR6" s="1">
        <f t="shared" si="11"/>
        <v>0</v>
      </c>
    </row>
    <row r="7" spans="1:70" x14ac:dyDescent="0.3">
      <c r="A7" s="36">
        <v>1</v>
      </c>
      <c r="B7" s="39">
        <v>44769.854166666664</v>
      </c>
      <c r="C7" s="38">
        <f t="shared" si="12"/>
        <v>4.1666666664241347E-2</v>
      </c>
      <c r="D7" s="37">
        <f t="shared" si="13"/>
        <v>0.16666666666424135</v>
      </c>
      <c r="E7" s="40">
        <f t="shared" si="14"/>
        <v>0.16666666666424135</v>
      </c>
      <c r="F7" s="29" t="s">
        <v>5</v>
      </c>
      <c r="G7" s="69" t="s">
        <v>17</v>
      </c>
      <c r="H7" s="69" t="s">
        <v>17</v>
      </c>
      <c r="I7" s="69" t="s">
        <v>17</v>
      </c>
      <c r="J7" s="69" t="s">
        <v>17</v>
      </c>
      <c r="K7" s="69" t="s">
        <v>17</v>
      </c>
      <c r="L7" s="69" t="s">
        <v>17</v>
      </c>
      <c r="M7" s="69" t="s">
        <v>17</v>
      </c>
      <c r="N7" s="69" t="s">
        <v>17</v>
      </c>
      <c r="O7" s="69" t="s">
        <v>17</v>
      </c>
      <c r="P7" s="29" t="s">
        <v>5</v>
      </c>
      <c r="Q7" s="69" t="s">
        <v>17</v>
      </c>
      <c r="R7" s="69" t="s">
        <v>17</v>
      </c>
      <c r="S7" s="69" t="s">
        <v>17</v>
      </c>
      <c r="T7" s="69" t="s">
        <v>17</v>
      </c>
      <c r="U7" s="69" t="s">
        <v>17</v>
      </c>
      <c r="V7" s="69" t="s">
        <v>17</v>
      </c>
      <c r="W7" s="69" t="s">
        <v>17</v>
      </c>
      <c r="X7" s="69" t="s">
        <v>17</v>
      </c>
      <c r="Y7" s="69" t="s">
        <v>17</v>
      </c>
      <c r="Z7" s="69" t="s">
        <v>17</v>
      </c>
      <c r="AA7" s="69" t="s">
        <v>17</v>
      </c>
      <c r="AB7" s="69" t="s">
        <v>17</v>
      </c>
      <c r="AC7" s="69" t="s">
        <v>17</v>
      </c>
      <c r="AD7" s="69" t="s">
        <v>17</v>
      </c>
      <c r="AE7" s="69" t="s">
        <v>17</v>
      </c>
      <c r="AF7" s="69" t="s">
        <v>17</v>
      </c>
      <c r="AG7" s="69" t="s">
        <v>17</v>
      </c>
      <c r="AH7" s="69" t="s">
        <v>17</v>
      </c>
      <c r="AI7" s="69" t="s">
        <v>17</v>
      </c>
      <c r="AJ7" s="69" t="s">
        <v>17</v>
      </c>
      <c r="AK7" s="69" t="s">
        <v>17</v>
      </c>
      <c r="AL7" s="69" t="s">
        <v>17</v>
      </c>
      <c r="AM7" s="69" t="s">
        <v>17</v>
      </c>
      <c r="AN7" s="69" t="s">
        <v>17</v>
      </c>
      <c r="AO7" s="69" t="s">
        <v>17</v>
      </c>
      <c r="AP7" s="69" t="s">
        <v>17</v>
      </c>
      <c r="AQ7" s="69" t="s">
        <v>17</v>
      </c>
      <c r="AR7" s="69" t="s">
        <v>17</v>
      </c>
      <c r="AS7" s="69" t="s">
        <v>17</v>
      </c>
      <c r="AT7" s="69" t="s">
        <v>17</v>
      </c>
      <c r="AU7" s="69" t="s">
        <v>17</v>
      </c>
      <c r="AV7" s="69" t="s">
        <v>17</v>
      </c>
      <c r="AW7" s="69" t="s">
        <v>17</v>
      </c>
      <c r="AX7" s="69" t="s">
        <v>17</v>
      </c>
      <c r="AY7" s="69" t="s">
        <v>17</v>
      </c>
      <c r="AZ7" s="69" t="s">
        <v>17</v>
      </c>
      <c r="BA7" s="69" t="s">
        <v>17</v>
      </c>
      <c r="BB7" s="69" t="s">
        <v>17</v>
      </c>
      <c r="BC7" s="69" t="s">
        <v>17</v>
      </c>
      <c r="BD7" s="29"/>
      <c r="BE7" s="40">
        <v>0.16666666666424135</v>
      </c>
      <c r="BF7" s="1">
        <f t="shared" si="0"/>
        <v>0</v>
      </c>
      <c r="BG7" s="1">
        <f t="shared" si="1"/>
        <v>2</v>
      </c>
      <c r="BH7" s="1">
        <f t="shared" si="2"/>
        <v>0</v>
      </c>
      <c r="BI7" s="1">
        <f t="shared" si="3"/>
        <v>0</v>
      </c>
      <c r="BJ7" s="1">
        <f t="shared" si="4"/>
        <v>0</v>
      </c>
      <c r="BK7" s="1">
        <f t="shared" si="5"/>
        <v>0</v>
      </c>
      <c r="BL7" s="1">
        <f t="shared" si="6"/>
        <v>0</v>
      </c>
      <c r="BN7" s="1">
        <f t="shared" si="7"/>
        <v>48</v>
      </c>
      <c r="BO7" s="1">
        <f t="shared" si="8"/>
        <v>0</v>
      </c>
      <c r="BP7" s="1">
        <f t="shared" si="9"/>
        <v>0</v>
      </c>
      <c r="BQ7" s="1">
        <f t="shared" si="10"/>
        <v>0</v>
      </c>
      <c r="BR7" s="1">
        <f t="shared" si="11"/>
        <v>0</v>
      </c>
    </row>
    <row r="8" spans="1:70" x14ac:dyDescent="0.3">
      <c r="A8" s="36">
        <v>1</v>
      </c>
      <c r="B8" s="39">
        <v>44769.895833333336</v>
      </c>
      <c r="C8" s="38">
        <f t="shared" si="12"/>
        <v>4.1666666671517305E-2</v>
      </c>
      <c r="D8" s="37">
        <f t="shared" si="13"/>
        <v>0.20833333333575865</v>
      </c>
      <c r="E8" s="40">
        <f t="shared" si="14"/>
        <v>0.20833333333575865</v>
      </c>
      <c r="F8" s="29" t="s">
        <v>5</v>
      </c>
      <c r="G8" s="69" t="s">
        <v>17</v>
      </c>
      <c r="H8" s="69" t="s">
        <v>17</v>
      </c>
      <c r="I8" s="69" t="s">
        <v>17</v>
      </c>
      <c r="J8" s="69" t="s">
        <v>17</v>
      </c>
      <c r="K8" s="69" t="s">
        <v>17</v>
      </c>
      <c r="L8" s="69" t="s">
        <v>17</v>
      </c>
      <c r="M8" s="69" t="s">
        <v>17</v>
      </c>
      <c r="N8" s="69" t="s">
        <v>17</v>
      </c>
      <c r="O8" s="69" t="s">
        <v>17</v>
      </c>
      <c r="P8" s="29" t="s">
        <v>5</v>
      </c>
      <c r="Q8" s="69" t="s">
        <v>17</v>
      </c>
      <c r="R8" s="69" t="s">
        <v>17</v>
      </c>
      <c r="S8" s="69" t="s">
        <v>17</v>
      </c>
      <c r="T8" s="69" t="s">
        <v>17</v>
      </c>
      <c r="U8" s="69" t="s">
        <v>17</v>
      </c>
      <c r="V8" s="69" t="s">
        <v>17</v>
      </c>
      <c r="W8" s="69" t="s">
        <v>17</v>
      </c>
      <c r="X8" s="69" t="s">
        <v>17</v>
      </c>
      <c r="Y8" s="69" t="s">
        <v>17</v>
      </c>
      <c r="Z8" s="69" t="s">
        <v>17</v>
      </c>
      <c r="AA8" s="69" t="s">
        <v>17</v>
      </c>
      <c r="AB8" s="69" t="s">
        <v>17</v>
      </c>
      <c r="AC8" s="69" t="s">
        <v>17</v>
      </c>
      <c r="AD8" s="69" t="s">
        <v>17</v>
      </c>
      <c r="AE8" s="69" t="s">
        <v>17</v>
      </c>
      <c r="AF8" s="69" t="s">
        <v>17</v>
      </c>
      <c r="AG8" s="69" t="s">
        <v>17</v>
      </c>
      <c r="AH8" s="69" t="s">
        <v>17</v>
      </c>
      <c r="AI8" s="69" t="s">
        <v>17</v>
      </c>
      <c r="AJ8" s="69" t="s">
        <v>17</v>
      </c>
      <c r="AK8" s="69" t="s">
        <v>17</v>
      </c>
      <c r="AL8" s="69" t="s">
        <v>17</v>
      </c>
      <c r="AM8" s="69" t="s">
        <v>17</v>
      </c>
      <c r="AN8" s="69" t="s">
        <v>17</v>
      </c>
      <c r="AO8" s="69" t="s">
        <v>17</v>
      </c>
      <c r="AP8" s="69" t="s">
        <v>17</v>
      </c>
      <c r="AQ8" s="69" t="s">
        <v>17</v>
      </c>
      <c r="AR8" s="69" t="s">
        <v>17</v>
      </c>
      <c r="AS8" s="69" t="s">
        <v>17</v>
      </c>
      <c r="AT8" s="69" t="s">
        <v>17</v>
      </c>
      <c r="AU8" s="69" t="s">
        <v>17</v>
      </c>
      <c r="AV8" s="69" t="s">
        <v>17</v>
      </c>
      <c r="AW8" s="69" t="s">
        <v>17</v>
      </c>
      <c r="AX8" s="69" t="s">
        <v>17</v>
      </c>
      <c r="AY8" s="69" t="s">
        <v>17</v>
      </c>
      <c r="AZ8" s="69" t="s">
        <v>17</v>
      </c>
      <c r="BA8" s="69" t="s">
        <v>17</v>
      </c>
      <c r="BB8" s="69" t="s">
        <v>17</v>
      </c>
      <c r="BC8" s="69" t="s">
        <v>17</v>
      </c>
      <c r="BD8" s="29"/>
      <c r="BE8" s="40">
        <v>0.20833333333575865</v>
      </c>
      <c r="BF8" s="1">
        <f t="shared" si="0"/>
        <v>0</v>
      </c>
      <c r="BG8" s="1">
        <f t="shared" si="1"/>
        <v>2</v>
      </c>
      <c r="BH8" s="1">
        <f t="shared" si="2"/>
        <v>0</v>
      </c>
      <c r="BI8" s="1">
        <f t="shared" si="3"/>
        <v>0</v>
      </c>
      <c r="BJ8" s="1">
        <f t="shared" si="4"/>
        <v>0</v>
      </c>
      <c r="BK8" s="1">
        <f t="shared" si="5"/>
        <v>0</v>
      </c>
      <c r="BL8" s="1">
        <f t="shared" si="6"/>
        <v>0</v>
      </c>
      <c r="BN8" s="1">
        <f t="shared" si="7"/>
        <v>48</v>
      </c>
      <c r="BO8" s="1">
        <f t="shared" si="8"/>
        <v>0</v>
      </c>
      <c r="BP8" s="1">
        <f t="shared" si="9"/>
        <v>0</v>
      </c>
      <c r="BQ8" s="1">
        <f t="shared" si="10"/>
        <v>0</v>
      </c>
      <c r="BR8" s="1">
        <f t="shared" si="11"/>
        <v>0</v>
      </c>
    </row>
    <row r="9" spans="1:70" x14ac:dyDescent="0.3">
      <c r="A9" s="36">
        <v>1</v>
      </c>
      <c r="B9" s="39">
        <v>44769.9375</v>
      </c>
      <c r="C9" s="38">
        <f t="shared" si="12"/>
        <v>4.1666666664241347E-2</v>
      </c>
      <c r="D9" s="37">
        <f>D8+C9</f>
        <v>0.25</v>
      </c>
      <c r="E9" s="40">
        <f t="shared" si="14"/>
        <v>0.25</v>
      </c>
      <c r="F9" s="29" t="s">
        <v>5</v>
      </c>
      <c r="G9" s="69" t="s">
        <v>17</v>
      </c>
      <c r="H9" s="69" t="s">
        <v>17</v>
      </c>
      <c r="I9" s="69" t="s">
        <v>17</v>
      </c>
      <c r="J9" s="69" t="s">
        <v>17</v>
      </c>
      <c r="K9" s="69" t="s">
        <v>17</v>
      </c>
      <c r="L9" s="69" t="s">
        <v>17</v>
      </c>
      <c r="M9" s="69" t="s">
        <v>17</v>
      </c>
      <c r="N9" s="69" t="s">
        <v>17</v>
      </c>
      <c r="O9" s="69" t="s">
        <v>17</v>
      </c>
      <c r="P9" s="29" t="s">
        <v>5</v>
      </c>
      <c r="Q9" s="69" t="s">
        <v>17</v>
      </c>
      <c r="R9" s="69" t="s">
        <v>17</v>
      </c>
      <c r="S9" s="69" t="s">
        <v>17</v>
      </c>
      <c r="T9" s="69" t="s">
        <v>17</v>
      </c>
      <c r="U9" s="69" t="s">
        <v>17</v>
      </c>
      <c r="V9" s="69" t="s">
        <v>17</v>
      </c>
      <c r="W9" s="69" t="s">
        <v>17</v>
      </c>
      <c r="X9" s="69" t="s">
        <v>17</v>
      </c>
      <c r="Y9" s="69" t="s">
        <v>17</v>
      </c>
      <c r="Z9" s="69" t="s">
        <v>17</v>
      </c>
      <c r="AA9" s="69" t="s">
        <v>17</v>
      </c>
      <c r="AB9" s="69" t="s">
        <v>17</v>
      </c>
      <c r="AC9" s="69" t="s">
        <v>17</v>
      </c>
      <c r="AD9" s="69" t="s">
        <v>17</v>
      </c>
      <c r="AE9" s="69" t="s">
        <v>17</v>
      </c>
      <c r="AF9" s="69" t="s">
        <v>17</v>
      </c>
      <c r="AG9" s="69" t="s">
        <v>17</v>
      </c>
      <c r="AH9" s="69" t="s">
        <v>17</v>
      </c>
      <c r="AI9" s="69" t="s">
        <v>17</v>
      </c>
      <c r="AJ9" s="69" t="s">
        <v>17</v>
      </c>
      <c r="AK9" s="69" t="s">
        <v>17</v>
      </c>
      <c r="AL9" s="69" t="s">
        <v>17</v>
      </c>
      <c r="AM9" s="69" t="s">
        <v>17</v>
      </c>
      <c r="AN9" s="69" t="s">
        <v>17</v>
      </c>
      <c r="AO9" s="69" t="s">
        <v>17</v>
      </c>
      <c r="AP9" s="69" t="s">
        <v>17</v>
      </c>
      <c r="AQ9" s="69" t="s">
        <v>17</v>
      </c>
      <c r="AR9" s="69" t="s">
        <v>17</v>
      </c>
      <c r="AS9" s="69" t="s">
        <v>17</v>
      </c>
      <c r="AT9" s="69" t="s">
        <v>17</v>
      </c>
      <c r="AU9" s="69" t="s">
        <v>17</v>
      </c>
      <c r="AV9" s="69" t="s">
        <v>17</v>
      </c>
      <c r="AW9" s="69" t="s">
        <v>17</v>
      </c>
      <c r="AX9" s="69" t="s">
        <v>17</v>
      </c>
      <c r="AY9" s="69" t="s">
        <v>17</v>
      </c>
      <c r="AZ9" s="69" t="s">
        <v>17</v>
      </c>
      <c r="BA9" s="69" t="s">
        <v>17</v>
      </c>
      <c r="BB9" s="69" t="s">
        <v>17</v>
      </c>
      <c r="BC9" s="69" t="s">
        <v>17</v>
      </c>
      <c r="BD9" s="29"/>
      <c r="BE9" s="40">
        <v>0.25</v>
      </c>
      <c r="BF9" s="1">
        <f t="shared" si="0"/>
        <v>0</v>
      </c>
      <c r="BG9" s="1">
        <f t="shared" si="1"/>
        <v>2</v>
      </c>
      <c r="BH9" s="1">
        <f t="shared" si="2"/>
        <v>0</v>
      </c>
      <c r="BI9" s="1">
        <f t="shared" si="3"/>
        <v>0</v>
      </c>
      <c r="BJ9" s="1">
        <f t="shared" si="4"/>
        <v>0</v>
      </c>
      <c r="BK9" s="1">
        <f t="shared" si="5"/>
        <v>0</v>
      </c>
      <c r="BL9" s="1">
        <f t="shared" si="6"/>
        <v>0</v>
      </c>
      <c r="BN9" s="1">
        <f t="shared" si="7"/>
        <v>48</v>
      </c>
      <c r="BO9" s="1">
        <f t="shared" si="8"/>
        <v>0</v>
      </c>
      <c r="BP9" s="1">
        <f t="shared" si="9"/>
        <v>0</v>
      </c>
      <c r="BQ9" s="1">
        <f t="shared" si="10"/>
        <v>0</v>
      </c>
      <c r="BR9" s="1">
        <f t="shared" si="11"/>
        <v>0</v>
      </c>
    </row>
    <row r="10" spans="1:70" x14ac:dyDescent="0.3">
      <c r="A10" s="36">
        <v>1</v>
      </c>
      <c r="B10" s="39">
        <v>44769.979166666664</v>
      </c>
      <c r="C10" s="38">
        <f t="shared" si="12"/>
        <v>4.1666666664241347E-2</v>
      </c>
      <c r="D10" s="37">
        <f>D9+C10</f>
        <v>0.29166666666424135</v>
      </c>
      <c r="E10" s="40">
        <f t="shared" si="14"/>
        <v>0.29166666666424135</v>
      </c>
      <c r="F10" s="29" t="s">
        <v>5</v>
      </c>
      <c r="G10" s="69" t="s">
        <v>17</v>
      </c>
      <c r="H10" s="69" t="s">
        <v>17</v>
      </c>
      <c r="I10" s="69" t="s">
        <v>17</v>
      </c>
      <c r="J10" s="69" t="s">
        <v>17</v>
      </c>
      <c r="K10" s="69" t="s">
        <v>17</v>
      </c>
      <c r="L10" s="69" t="s">
        <v>17</v>
      </c>
      <c r="M10" s="69" t="s">
        <v>17</v>
      </c>
      <c r="N10" s="69" t="s">
        <v>17</v>
      </c>
      <c r="O10" s="69" t="s">
        <v>17</v>
      </c>
      <c r="P10" s="29" t="s">
        <v>5</v>
      </c>
      <c r="Q10" s="69" t="s">
        <v>17</v>
      </c>
      <c r="R10" s="69" t="s">
        <v>17</v>
      </c>
      <c r="S10" s="69" t="s">
        <v>17</v>
      </c>
      <c r="T10" s="69" t="s">
        <v>17</v>
      </c>
      <c r="U10" s="69" t="s">
        <v>17</v>
      </c>
      <c r="V10" s="69" t="s">
        <v>17</v>
      </c>
      <c r="W10" s="69" t="s">
        <v>17</v>
      </c>
      <c r="X10" s="69" t="s">
        <v>17</v>
      </c>
      <c r="Y10" s="69" t="s">
        <v>17</v>
      </c>
      <c r="Z10" s="69" t="s">
        <v>17</v>
      </c>
      <c r="AA10" s="69" t="s">
        <v>17</v>
      </c>
      <c r="AB10" s="69" t="s">
        <v>17</v>
      </c>
      <c r="AC10" s="69" t="s">
        <v>17</v>
      </c>
      <c r="AD10" s="69" t="s">
        <v>17</v>
      </c>
      <c r="AE10" s="69" t="s">
        <v>17</v>
      </c>
      <c r="AF10" s="69" t="s">
        <v>17</v>
      </c>
      <c r="AG10" s="69" t="s">
        <v>17</v>
      </c>
      <c r="AH10" s="69" t="s">
        <v>17</v>
      </c>
      <c r="AI10" s="69" t="s">
        <v>17</v>
      </c>
      <c r="AJ10" s="69" t="s">
        <v>17</v>
      </c>
      <c r="AK10" s="69" t="s">
        <v>17</v>
      </c>
      <c r="AL10" s="69" t="s">
        <v>17</v>
      </c>
      <c r="AM10" s="69" t="s">
        <v>17</v>
      </c>
      <c r="AN10" s="69" t="s">
        <v>17</v>
      </c>
      <c r="AO10" s="69" t="s">
        <v>17</v>
      </c>
      <c r="AP10" s="69" t="s">
        <v>17</v>
      </c>
      <c r="AQ10" s="69" t="s">
        <v>17</v>
      </c>
      <c r="AR10" s="69" t="s">
        <v>17</v>
      </c>
      <c r="AS10" s="69" t="s">
        <v>17</v>
      </c>
      <c r="AT10" s="69" t="s">
        <v>17</v>
      </c>
      <c r="AU10" s="69" t="s">
        <v>17</v>
      </c>
      <c r="AV10" s="69" t="s">
        <v>17</v>
      </c>
      <c r="AW10" s="69" t="s">
        <v>17</v>
      </c>
      <c r="AX10" s="69" t="s">
        <v>17</v>
      </c>
      <c r="AY10" s="69" t="s">
        <v>17</v>
      </c>
      <c r="AZ10" s="69" t="s">
        <v>17</v>
      </c>
      <c r="BA10" s="69" t="s">
        <v>17</v>
      </c>
      <c r="BB10" s="69" t="s">
        <v>17</v>
      </c>
      <c r="BC10" s="69" t="s">
        <v>17</v>
      </c>
      <c r="BD10" s="29"/>
      <c r="BE10" s="40">
        <v>0.29166666666424135</v>
      </c>
      <c r="BF10" s="1">
        <f t="shared" si="0"/>
        <v>0</v>
      </c>
      <c r="BG10" s="1">
        <f t="shared" si="1"/>
        <v>2</v>
      </c>
      <c r="BH10" s="1">
        <f t="shared" si="2"/>
        <v>0</v>
      </c>
      <c r="BI10" s="1">
        <f t="shared" si="3"/>
        <v>0</v>
      </c>
      <c r="BJ10" s="1">
        <f t="shared" si="4"/>
        <v>0</v>
      </c>
      <c r="BK10" s="1">
        <f t="shared" si="5"/>
        <v>0</v>
      </c>
      <c r="BL10" s="1">
        <f t="shared" si="6"/>
        <v>0</v>
      </c>
      <c r="BN10" s="1">
        <f t="shared" si="7"/>
        <v>48</v>
      </c>
      <c r="BO10" s="1">
        <f t="shared" si="8"/>
        <v>0</v>
      </c>
      <c r="BP10" s="1">
        <f t="shared" si="9"/>
        <v>0</v>
      </c>
      <c r="BQ10" s="1">
        <f t="shared" si="10"/>
        <v>0</v>
      </c>
      <c r="BR10" s="1">
        <f t="shared" si="11"/>
        <v>0</v>
      </c>
    </row>
    <row r="11" spans="1:70" x14ac:dyDescent="0.3">
      <c r="A11" s="36">
        <v>2</v>
      </c>
      <c r="B11" s="39">
        <v>44770.020833333336</v>
      </c>
      <c r="C11" s="38">
        <f t="shared" si="12"/>
        <v>4.1666666671517305E-2</v>
      </c>
      <c r="D11" s="37">
        <f t="shared" ref="D11:D21" si="15">D10+C11</f>
        <v>0.33333333333575865</v>
      </c>
      <c r="E11" s="40">
        <f t="shared" si="14"/>
        <v>0.33333333333575865</v>
      </c>
      <c r="F11" s="29" t="s">
        <v>5</v>
      </c>
      <c r="G11" s="29" t="s">
        <v>17</v>
      </c>
      <c r="H11" s="29" t="s">
        <v>17</v>
      </c>
      <c r="I11" s="29" t="s">
        <v>17</v>
      </c>
      <c r="J11" s="29" t="s">
        <v>17</v>
      </c>
      <c r="K11" s="29" t="s">
        <v>17</v>
      </c>
      <c r="L11" s="29" t="s">
        <v>17</v>
      </c>
      <c r="M11" s="29" t="s">
        <v>17</v>
      </c>
      <c r="N11" s="69" t="s">
        <v>17</v>
      </c>
      <c r="O11" s="29" t="s">
        <v>17</v>
      </c>
      <c r="P11" s="29" t="s">
        <v>5</v>
      </c>
      <c r="Q11" s="69" t="s">
        <v>17</v>
      </c>
      <c r="R11" s="69" t="s">
        <v>17</v>
      </c>
      <c r="S11" s="69" t="s">
        <v>17</v>
      </c>
      <c r="T11" s="69" t="s">
        <v>17</v>
      </c>
      <c r="U11" s="69" t="s">
        <v>17</v>
      </c>
      <c r="V11" s="69" t="s">
        <v>17</v>
      </c>
      <c r="W11" s="69" t="s">
        <v>17</v>
      </c>
      <c r="X11" s="69" t="s">
        <v>17</v>
      </c>
      <c r="Y11" s="69" t="s">
        <v>17</v>
      </c>
      <c r="Z11" s="69" t="s">
        <v>17</v>
      </c>
      <c r="AA11" s="69" t="s">
        <v>17</v>
      </c>
      <c r="AB11" s="69" t="s">
        <v>17</v>
      </c>
      <c r="AC11" s="69" t="s">
        <v>17</v>
      </c>
      <c r="AD11" s="69" t="s">
        <v>17</v>
      </c>
      <c r="AE11" s="69" t="s">
        <v>17</v>
      </c>
      <c r="AF11" s="69" t="s">
        <v>17</v>
      </c>
      <c r="AG11" s="69" t="s">
        <v>17</v>
      </c>
      <c r="AH11" s="69" t="s">
        <v>17</v>
      </c>
      <c r="AI11" s="69" t="s">
        <v>17</v>
      </c>
      <c r="AJ11" s="69" t="s">
        <v>17</v>
      </c>
      <c r="AK11" s="69" t="s">
        <v>17</v>
      </c>
      <c r="AL11" s="69" t="s">
        <v>17</v>
      </c>
      <c r="AM11" s="69" t="s">
        <v>17</v>
      </c>
      <c r="AN11" s="69" t="s">
        <v>17</v>
      </c>
      <c r="AO11" s="69" t="s">
        <v>17</v>
      </c>
      <c r="AP11" s="69" t="s">
        <v>17</v>
      </c>
      <c r="AQ11" s="69" t="s">
        <v>17</v>
      </c>
      <c r="AR11" s="69" t="s">
        <v>17</v>
      </c>
      <c r="AS11" s="69" t="s">
        <v>17</v>
      </c>
      <c r="AT11" s="69" t="s">
        <v>17</v>
      </c>
      <c r="AU11" s="69" t="s">
        <v>17</v>
      </c>
      <c r="AV11" s="69" t="s">
        <v>17</v>
      </c>
      <c r="AW11" s="69" t="s">
        <v>17</v>
      </c>
      <c r="AX11" s="69" t="s">
        <v>17</v>
      </c>
      <c r="AY11" s="69" t="s">
        <v>17</v>
      </c>
      <c r="AZ11" s="69" t="s">
        <v>17</v>
      </c>
      <c r="BA11" s="69" t="s">
        <v>17</v>
      </c>
      <c r="BB11" s="69" t="s">
        <v>17</v>
      </c>
      <c r="BC11" s="69" t="s">
        <v>17</v>
      </c>
      <c r="BD11" s="29"/>
      <c r="BE11" s="40">
        <v>0.33333333333575865</v>
      </c>
      <c r="BF11" s="1">
        <f t="shared" si="0"/>
        <v>0</v>
      </c>
      <c r="BG11" s="1">
        <f t="shared" si="1"/>
        <v>2</v>
      </c>
      <c r="BH11" s="1">
        <f t="shared" si="2"/>
        <v>0</v>
      </c>
      <c r="BI11" s="1">
        <f t="shared" si="3"/>
        <v>0</v>
      </c>
      <c r="BJ11" s="1">
        <f t="shared" si="4"/>
        <v>0</v>
      </c>
      <c r="BK11" s="1">
        <f t="shared" si="5"/>
        <v>0</v>
      </c>
      <c r="BL11" s="1">
        <f t="shared" si="6"/>
        <v>0</v>
      </c>
      <c r="BN11" s="1">
        <f t="shared" si="7"/>
        <v>48</v>
      </c>
      <c r="BO11" s="1">
        <f t="shared" si="8"/>
        <v>0</v>
      </c>
      <c r="BP11" s="1">
        <f t="shared" si="9"/>
        <v>0</v>
      </c>
      <c r="BQ11" s="1">
        <f t="shared" si="10"/>
        <v>0</v>
      </c>
      <c r="BR11" s="1">
        <f t="shared" si="11"/>
        <v>0</v>
      </c>
    </row>
    <row r="12" spans="1:70" x14ac:dyDescent="0.3">
      <c r="A12" s="36">
        <v>2</v>
      </c>
      <c r="B12" s="39">
        <v>44770.0625</v>
      </c>
      <c r="C12" s="38">
        <f t="shared" si="12"/>
        <v>4.1666666664241347E-2</v>
      </c>
      <c r="D12" s="37">
        <f t="shared" si="15"/>
        <v>0.375</v>
      </c>
      <c r="E12" s="40">
        <f t="shared" si="14"/>
        <v>0.375</v>
      </c>
      <c r="F12" s="29" t="s">
        <v>5</v>
      </c>
      <c r="G12" s="29" t="s">
        <v>17</v>
      </c>
      <c r="H12" s="29" t="s">
        <v>17</v>
      </c>
      <c r="I12" s="29" t="s">
        <v>17</v>
      </c>
      <c r="J12" s="29" t="s">
        <v>17</v>
      </c>
      <c r="K12" s="29" t="s">
        <v>17</v>
      </c>
      <c r="L12" s="29" t="s">
        <v>17</v>
      </c>
      <c r="M12" s="29" t="s">
        <v>17</v>
      </c>
      <c r="N12" s="69" t="s">
        <v>17</v>
      </c>
      <c r="O12" s="29" t="s">
        <v>17</v>
      </c>
      <c r="P12" s="29" t="s">
        <v>5</v>
      </c>
      <c r="Q12" s="69" t="s">
        <v>17</v>
      </c>
      <c r="R12" s="69" t="s">
        <v>17</v>
      </c>
      <c r="S12" s="69" t="s">
        <v>17</v>
      </c>
      <c r="T12" s="69" t="s">
        <v>17</v>
      </c>
      <c r="U12" s="69" t="s">
        <v>17</v>
      </c>
      <c r="V12" s="69" t="s">
        <v>17</v>
      </c>
      <c r="W12" s="69" t="s">
        <v>17</v>
      </c>
      <c r="X12" s="69" t="s">
        <v>17</v>
      </c>
      <c r="Y12" s="69" t="s">
        <v>17</v>
      </c>
      <c r="Z12" s="69" t="s">
        <v>17</v>
      </c>
      <c r="AA12" s="69" t="s">
        <v>17</v>
      </c>
      <c r="AB12" s="69" t="s">
        <v>17</v>
      </c>
      <c r="AC12" s="69" t="s">
        <v>17</v>
      </c>
      <c r="AD12" s="69" t="s">
        <v>17</v>
      </c>
      <c r="AE12" s="69" t="s">
        <v>17</v>
      </c>
      <c r="AF12" s="69" t="s">
        <v>17</v>
      </c>
      <c r="AG12" s="69" t="s">
        <v>17</v>
      </c>
      <c r="AH12" s="69" t="s">
        <v>17</v>
      </c>
      <c r="AI12" s="69" t="s">
        <v>17</v>
      </c>
      <c r="AJ12" s="69" t="s">
        <v>17</v>
      </c>
      <c r="AK12" s="69" t="s">
        <v>17</v>
      </c>
      <c r="AL12" s="69" t="s">
        <v>17</v>
      </c>
      <c r="AM12" s="69" t="s">
        <v>17</v>
      </c>
      <c r="AN12" s="69" t="s">
        <v>17</v>
      </c>
      <c r="AO12" s="69" t="s">
        <v>17</v>
      </c>
      <c r="AP12" s="69" t="s">
        <v>17</v>
      </c>
      <c r="AQ12" s="69" t="s">
        <v>17</v>
      </c>
      <c r="AR12" s="69" t="s">
        <v>17</v>
      </c>
      <c r="AS12" s="69" t="s">
        <v>17</v>
      </c>
      <c r="AT12" s="69" t="s">
        <v>17</v>
      </c>
      <c r="AU12" s="69" t="s">
        <v>17</v>
      </c>
      <c r="AV12" s="69" t="s">
        <v>17</v>
      </c>
      <c r="AW12" s="69" t="s">
        <v>17</v>
      </c>
      <c r="AX12" s="69" t="s">
        <v>17</v>
      </c>
      <c r="AY12" s="69" t="s">
        <v>17</v>
      </c>
      <c r="AZ12" s="69" t="s">
        <v>17</v>
      </c>
      <c r="BA12" s="69" t="s">
        <v>17</v>
      </c>
      <c r="BB12" s="69" t="s">
        <v>17</v>
      </c>
      <c r="BC12" s="69" t="s">
        <v>17</v>
      </c>
      <c r="BD12" s="29"/>
      <c r="BE12" s="40">
        <v>0.375</v>
      </c>
      <c r="BF12" s="1">
        <f t="shared" si="0"/>
        <v>0</v>
      </c>
      <c r="BG12" s="1">
        <f t="shared" si="1"/>
        <v>2</v>
      </c>
      <c r="BH12" s="1">
        <f t="shared" si="2"/>
        <v>0</v>
      </c>
      <c r="BI12" s="1">
        <f t="shared" si="3"/>
        <v>0</v>
      </c>
      <c r="BJ12" s="1">
        <f t="shared" si="4"/>
        <v>0</v>
      </c>
      <c r="BK12" s="1">
        <f t="shared" si="5"/>
        <v>0</v>
      </c>
      <c r="BL12" s="1">
        <f t="shared" si="6"/>
        <v>0</v>
      </c>
      <c r="BN12" s="1">
        <f t="shared" si="7"/>
        <v>48</v>
      </c>
      <c r="BO12" s="1">
        <f t="shared" si="8"/>
        <v>0</v>
      </c>
      <c r="BP12" s="1">
        <f t="shared" si="9"/>
        <v>0</v>
      </c>
      <c r="BQ12" s="1">
        <f t="shared" si="10"/>
        <v>0</v>
      </c>
      <c r="BR12" s="1">
        <f t="shared" si="11"/>
        <v>0</v>
      </c>
    </row>
    <row r="13" spans="1:70" x14ac:dyDescent="0.3">
      <c r="A13" s="36">
        <v>2</v>
      </c>
      <c r="B13" s="39">
        <v>44770.104166666664</v>
      </c>
      <c r="C13" s="38">
        <f t="shared" si="12"/>
        <v>4.1666666664241347E-2</v>
      </c>
      <c r="D13" s="37">
        <f t="shared" si="15"/>
        <v>0.41666666666424135</v>
      </c>
      <c r="E13" s="40">
        <f t="shared" si="14"/>
        <v>0.41666666666424135</v>
      </c>
      <c r="F13" s="29" t="s">
        <v>5</v>
      </c>
      <c r="G13" s="29" t="s">
        <v>17</v>
      </c>
      <c r="H13" s="29" t="s">
        <v>17</v>
      </c>
      <c r="I13" s="29" t="s">
        <v>17</v>
      </c>
      <c r="J13" s="29" t="s">
        <v>17</v>
      </c>
      <c r="K13" s="29" t="s">
        <v>17</v>
      </c>
      <c r="L13" s="29" t="s">
        <v>17</v>
      </c>
      <c r="M13" s="29" t="s">
        <v>17</v>
      </c>
      <c r="N13" s="69" t="s">
        <v>17</v>
      </c>
      <c r="O13" s="29" t="s">
        <v>17</v>
      </c>
      <c r="P13" s="29" t="s">
        <v>5</v>
      </c>
      <c r="Q13" s="69" t="s">
        <v>17</v>
      </c>
      <c r="R13" s="69" t="s">
        <v>17</v>
      </c>
      <c r="S13" s="69" t="s">
        <v>17</v>
      </c>
      <c r="T13" s="69" t="s">
        <v>17</v>
      </c>
      <c r="U13" s="69" t="s">
        <v>17</v>
      </c>
      <c r="V13" s="69" t="s">
        <v>17</v>
      </c>
      <c r="W13" s="69" t="s">
        <v>17</v>
      </c>
      <c r="X13" s="69" t="s">
        <v>17</v>
      </c>
      <c r="Y13" s="69" t="s">
        <v>17</v>
      </c>
      <c r="Z13" s="69" t="s">
        <v>17</v>
      </c>
      <c r="AA13" s="69" t="s">
        <v>17</v>
      </c>
      <c r="AB13" s="69" t="s">
        <v>17</v>
      </c>
      <c r="AC13" s="69" t="s">
        <v>17</v>
      </c>
      <c r="AD13" s="69" t="s">
        <v>17</v>
      </c>
      <c r="AE13" s="69" t="s">
        <v>17</v>
      </c>
      <c r="AF13" s="69" t="s">
        <v>17</v>
      </c>
      <c r="AG13" s="69" t="s">
        <v>17</v>
      </c>
      <c r="AH13" s="69" t="s">
        <v>17</v>
      </c>
      <c r="AI13" s="69" t="s">
        <v>17</v>
      </c>
      <c r="AJ13" s="69" t="s">
        <v>17</v>
      </c>
      <c r="AK13" s="69" t="s">
        <v>17</v>
      </c>
      <c r="AL13" s="69" t="s">
        <v>17</v>
      </c>
      <c r="AM13" s="69" t="s">
        <v>17</v>
      </c>
      <c r="AN13" s="69" t="s">
        <v>17</v>
      </c>
      <c r="AO13" s="69" t="s">
        <v>17</v>
      </c>
      <c r="AP13" s="69" t="s">
        <v>17</v>
      </c>
      <c r="AQ13" s="69" t="s">
        <v>17</v>
      </c>
      <c r="AR13" s="69" t="s">
        <v>17</v>
      </c>
      <c r="AS13" s="69" t="s">
        <v>17</v>
      </c>
      <c r="AT13" s="69" t="s">
        <v>17</v>
      </c>
      <c r="AU13" s="69" t="s">
        <v>17</v>
      </c>
      <c r="AV13" s="69" t="s">
        <v>17</v>
      </c>
      <c r="AW13" s="69" t="s">
        <v>17</v>
      </c>
      <c r="AX13" s="69" t="s">
        <v>17</v>
      </c>
      <c r="AY13" s="69" t="s">
        <v>17</v>
      </c>
      <c r="AZ13" s="69" t="s">
        <v>17</v>
      </c>
      <c r="BA13" s="69" t="s">
        <v>17</v>
      </c>
      <c r="BB13" s="69" t="s">
        <v>17</v>
      </c>
      <c r="BC13" s="69" t="s">
        <v>17</v>
      </c>
      <c r="BD13" s="29"/>
      <c r="BE13" s="40">
        <v>0.41666666666424135</v>
      </c>
      <c r="BF13" s="1">
        <f t="shared" si="0"/>
        <v>0</v>
      </c>
      <c r="BG13" s="1">
        <f t="shared" si="1"/>
        <v>2</v>
      </c>
      <c r="BH13" s="1">
        <f t="shared" si="2"/>
        <v>0</v>
      </c>
      <c r="BI13" s="1">
        <f t="shared" si="3"/>
        <v>0</v>
      </c>
      <c r="BJ13" s="1">
        <f t="shared" si="4"/>
        <v>0</v>
      </c>
      <c r="BK13" s="1">
        <f t="shared" si="5"/>
        <v>0</v>
      </c>
      <c r="BL13" s="1">
        <f t="shared" si="6"/>
        <v>0</v>
      </c>
      <c r="BN13" s="1">
        <f t="shared" si="7"/>
        <v>48</v>
      </c>
      <c r="BO13" s="1">
        <f t="shared" si="8"/>
        <v>0</v>
      </c>
      <c r="BP13" s="1">
        <f t="shared" si="9"/>
        <v>0</v>
      </c>
      <c r="BQ13" s="1">
        <f t="shared" si="10"/>
        <v>0</v>
      </c>
      <c r="BR13" s="1">
        <f t="shared" si="11"/>
        <v>0</v>
      </c>
    </row>
    <row r="14" spans="1:70" x14ac:dyDescent="0.3">
      <c r="A14" s="36">
        <v>2</v>
      </c>
      <c r="B14" s="39">
        <v>44770.145833333336</v>
      </c>
      <c r="C14" s="38">
        <f t="shared" si="12"/>
        <v>4.1666666671517305E-2</v>
      </c>
      <c r="D14" s="37">
        <f t="shared" si="15"/>
        <v>0.45833333333575865</v>
      </c>
      <c r="E14" s="40">
        <f t="shared" si="14"/>
        <v>0.45833333333575865</v>
      </c>
      <c r="F14" s="29" t="s">
        <v>5</v>
      </c>
      <c r="G14" s="29" t="s">
        <v>17</v>
      </c>
      <c r="H14" s="29" t="s">
        <v>17</v>
      </c>
      <c r="I14" s="29" t="s">
        <v>17</v>
      </c>
      <c r="J14" s="29" t="s">
        <v>17</v>
      </c>
      <c r="K14" s="29" t="s">
        <v>17</v>
      </c>
      <c r="L14" s="29" t="s">
        <v>17</v>
      </c>
      <c r="M14" s="29" t="s">
        <v>17</v>
      </c>
      <c r="N14" s="69" t="s">
        <v>17</v>
      </c>
      <c r="O14" s="29" t="s">
        <v>17</v>
      </c>
      <c r="P14" s="29" t="s">
        <v>5</v>
      </c>
      <c r="Q14" s="69" t="s">
        <v>17</v>
      </c>
      <c r="R14" s="69" t="s">
        <v>17</v>
      </c>
      <c r="S14" s="69" t="s">
        <v>17</v>
      </c>
      <c r="T14" s="69" t="s">
        <v>17</v>
      </c>
      <c r="U14" s="69" t="s">
        <v>17</v>
      </c>
      <c r="V14" s="69" t="s">
        <v>17</v>
      </c>
      <c r="W14" s="69" t="s">
        <v>17</v>
      </c>
      <c r="X14" s="69" t="s">
        <v>17</v>
      </c>
      <c r="Y14" s="69" t="s">
        <v>17</v>
      </c>
      <c r="Z14" s="69" t="s">
        <v>17</v>
      </c>
      <c r="AA14" s="69" t="s">
        <v>17</v>
      </c>
      <c r="AB14" s="69" t="s">
        <v>17</v>
      </c>
      <c r="AC14" s="69" t="s">
        <v>17</v>
      </c>
      <c r="AD14" s="69" t="s">
        <v>17</v>
      </c>
      <c r="AE14" s="69" t="s">
        <v>17</v>
      </c>
      <c r="AF14" s="69" t="s">
        <v>17</v>
      </c>
      <c r="AG14" s="69" t="s">
        <v>17</v>
      </c>
      <c r="AH14" s="69" t="s">
        <v>17</v>
      </c>
      <c r="AI14" s="69" t="s">
        <v>17</v>
      </c>
      <c r="AJ14" s="69" t="s">
        <v>17</v>
      </c>
      <c r="AK14" s="69" t="s">
        <v>17</v>
      </c>
      <c r="AL14" s="69" t="s">
        <v>17</v>
      </c>
      <c r="AM14" s="69" t="s">
        <v>17</v>
      </c>
      <c r="AN14" s="69" t="s">
        <v>17</v>
      </c>
      <c r="AO14" s="69" t="s">
        <v>17</v>
      </c>
      <c r="AP14" s="69" t="s">
        <v>17</v>
      </c>
      <c r="AQ14" s="69" t="s">
        <v>17</v>
      </c>
      <c r="AR14" s="69" t="s">
        <v>17</v>
      </c>
      <c r="AS14" s="69" t="s">
        <v>17</v>
      </c>
      <c r="AT14" s="69" t="s">
        <v>17</v>
      </c>
      <c r="AU14" s="69" t="s">
        <v>17</v>
      </c>
      <c r="AV14" s="69" t="s">
        <v>17</v>
      </c>
      <c r="AW14" s="69" t="s">
        <v>17</v>
      </c>
      <c r="AX14" s="69" t="s">
        <v>17</v>
      </c>
      <c r="AY14" s="69" t="s">
        <v>17</v>
      </c>
      <c r="AZ14" s="69" t="s">
        <v>17</v>
      </c>
      <c r="BA14" s="69" t="s">
        <v>17</v>
      </c>
      <c r="BB14" s="69" t="s">
        <v>17</v>
      </c>
      <c r="BC14" s="69" t="s">
        <v>17</v>
      </c>
      <c r="BD14" s="29"/>
      <c r="BE14" s="40">
        <v>0.45833333333575865</v>
      </c>
      <c r="BF14" s="1">
        <f t="shared" si="0"/>
        <v>0</v>
      </c>
      <c r="BG14" s="1">
        <f t="shared" si="1"/>
        <v>2</v>
      </c>
      <c r="BH14" s="1">
        <f t="shared" si="2"/>
        <v>0</v>
      </c>
      <c r="BI14" s="1">
        <f t="shared" si="3"/>
        <v>0</v>
      </c>
      <c r="BJ14" s="1">
        <f t="shared" si="4"/>
        <v>0</v>
      </c>
      <c r="BK14" s="1">
        <f t="shared" si="5"/>
        <v>0</v>
      </c>
      <c r="BL14" s="1">
        <f t="shared" si="6"/>
        <v>0</v>
      </c>
      <c r="BN14" s="1">
        <f t="shared" si="7"/>
        <v>48</v>
      </c>
      <c r="BO14" s="1">
        <f t="shared" si="8"/>
        <v>0</v>
      </c>
      <c r="BP14" s="1">
        <f t="shared" si="9"/>
        <v>0</v>
      </c>
      <c r="BQ14" s="1">
        <f t="shared" si="10"/>
        <v>0</v>
      </c>
      <c r="BR14" s="1">
        <f t="shared" si="11"/>
        <v>0</v>
      </c>
    </row>
    <row r="15" spans="1:70" x14ac:dyDescent="0.3">
      <c r="A15" s="36">
        <v>2</v>
      </c>
      <c r="B15" s="39">
        <v>44770.1875</v>
      </c>
      <c r="C15" s="38">
        <f t="shared" si="12"/>
        <v>4.1666666664241347E-2</v>
      </c>
      <c r="D15" s="37">
        <f t="shared" si="15"/>
        <v>0.5</v>
      </c>
      <c r="E15" s="40">
        <f t="shared" si="14"/>
        <v>0.5</v>
      </c>
      <c r="F15" s="29" t="s">
        <v>5</v>
      </c>
      <c r="G15" s="29" t="s">
        <v>17</v>
      </c>
      <c r="H15" s="29" t="s">
        <v>17</v>
      </c>
      <c r="I15" s="29" t="s">
        <v>17</v>
      </c>
      <c r="J15" s="29" t="s">
        <v>17</v>
      </c>
      <c r="K15" s="29" t="s">
        <v>17</v>
      </c>
      <c r="L15" s="29" t="s">
        <v>17</v>
      </c>
      <c r="M15" s="29" t="s">
        <v>17</v>
      </c>
      <c r="N15" s="69" t="s">
        <v>17</v>
      </c>
      <c r="O15" s="29" t="s">
        <v>17</v>
      </c>
      <c r="P15" s="29" t="s">
        <v>5</v>
      </c>
      <c r="Q15" s="69" t="s">
        <v>17</v>
      </c>
      <c r="R15" s="69" t="s">
        <v>17</v>
      </c>
      <c r="S15" s="69" t="s">
        <v>17</v>
      </c>
      <c r="T15" s="69" t="s">
        <v>17</v>
      </c>
      <c r="U15" s="69" t="s">
        <v>17</v>
      </c>
      <c r="V15" s="69" t="s">
        <v>17</v>
      </c>
      <c r="W15" s="69" t="s">
        <v>17</v>
      </c>
      <c r="X15" s="69" t="s">
        <v>17</v>
      </c>
      <c r="Y15" s="69" t="s">
        <v>17</v>
      </c>
      <c r="Z15" s="69" t="s">
        <v>17</v>
      </c>
      <c r="AA15" s="69" t="s">
        <v>17</v>
      </c>
      <c r="AB15" s="69" t="s">
        <v>17</v>
      </c>
      <c r="AC15" s="69" t="s">
        <v>17</v>
      </c>
      <c r="AD15" s="69" t="s">
        <v>17</v>
      </c>
      <c r="AE15" s="69" t="s">
        <v>17</v>
      </c>
      <c r="AF15" s="69" t="s">
        <v>17</v>
      </c>
      <c r="AG15" s="69" t="s">
        <v>17</v>
      </c>
      <c r="AH15" s="69" t="s">
        <v>17</v>
      </c>
      <c r="AI15" s="69" t="s">
        <v>17</v>
      </c>
      <c r="AJ15" s="69" t="s">
        <v>17</v>
      </c>
      <c r="AK15" s="69" t="s">
        <v>17</v>
      </c>
      <c r="AL15" s="69" t="s">
        <v>17</v>
      </c>
      <c r="AM15" s="69" t="s">
        <v>17</v>
      </c>
      <c r="AN15" s="69" t="s">
        <v>17</v>
      </c>
      <c r="AO15" s="69" t="s">
        <v>17</v>
      </c>
      <c r="AP15" s="69" t="s">
        <v>17</v>
      </c>
      <c r="AQ15" s="69" t="s">
        <v>17</v>
      </c>
      <c r="AR15" s="69" t="s">
        <v>17</v>
      </c>
      <c r="AS15" s="69" t="s">
        <v>17</v>
      </c>
      <c r="AT15" s="69" t="s">
        <v>17</v>
      </c>
      <c r="AU15" s="69" t="s">
        <v>17</v>
      </c>
      <c r="AV15" s="69" t="s">
        <v>17</v>
      </c>
      <c r="AW15" s="69" t="s">
        <v>17</v>
      </c>
      <c r="AX15" s="69" t="s">
        <v>17</v>
      </c>
      <c r="AY15" s="69" t="s">
        <v>17</v>
      </c>
      <c r="AZ15" s="69" t="s">
        <v>17</v>
      </c>
      <c r="BA15" s="69" t="s">
        <v>17</v>
      </c>
      <c r="BB15" s="69" t="s">
        <v>17</v>
      </c>
      <c r="BC15" s="69" t="s">
        <v>17</v>
      </c>
      <c r="BD15" s="29"/>
      <c r="BE15" s="40">
        <v>0.5</v>
      </c>
      <c r="BF15" s="1">
        <f t="shared" si="0"/>
        <v>0</v>
      </c>
      <c r="BG15" s="1">
        <f t="shared" si="1"/>
        <v>2</v>
      </c>
      <c r="BH15" s="1">
        <f t="shared" si="2"/>
        <v>0</v>
      </c>
      <c r="BI15" s="1">
        <f t="shared" si="3"/>
        <v>0</v>
      </c>
      <c r="BJ15" s="1">
        <f t="shared" si="4"/>
        <v>0</v>
      </c>
      <c r="BK15" s="1">
        <f t="shared" si="5"/>
        <v>0</v>
      </c>
      <c r="BL15" s="1">
        <f t="shared" si="6"/>
        <v>0</v>
      </c>
      <c r="BN15" s="1">
        <f t="shared" si="7"/>
        <v>48</v>
      </c>
      <c r="BO15" s="1">
        <f t="shared" si="8"/>
        <v>0</v>
      </c>
      <c r="BP15" s="1">
        <f t="shared" si="9"/>
        <v>0</v>
      </c>
      <c r="BQ15" s="1">
        <f t="shared" si="10"/>
        <v>0</v>
      </c>
      <c r="BR15" s="1">
        <f t="shared" si="11"/>
        <v>0</v>
      </c>
    </row>
    <row r="16" spans="1:70" x14ac:dyDescent="0.3">
      <c r="A16" s="36">
        <v>2</v>
      </c>
      <c r="B16" s="39">
        <v>44770.229166666664</v>
      </c>
      <c r="C16" s="38">
        <f t="shared" si="12"/>
        <v>4.1666666664241347E-2</v>
      </c>
      <c r="D16" s="37">
        <f t="shared" si="15"/>
        <v>0.54166666666424135</v>
      </c>
      <c r="E16" s="40">
        <f t="shared" si="14"/>
        <v>0.54166666666424135</v>
      </c>
      <c r="F16" s="29" t="s">
        <v>5</v>
      </c>
      <c r="G16" s="29" t="s">
        <v>17</v>
      </c>
      <c r="H16" s="29" t="s">
        <v>17</v>
      </c>
      <c r="I16" s="29" t="s">
        <v>17</v>
      </c>
      <c r="J16" s="29" t="s">
        <v>17</v>
      </c>
      <c r="K16" s="29" t="s">
        <v>17</v>
      </c>
      <c r="L16" s="29" t="s">
        <v>17</v>
      </c>
      <c r="M16" s="29" t="s">
        <v>17</v>
      </c>
      <c r="N16" s="69" t="s">
        <v>17</v>
      </c>
      <c r="O16" s="29" t="s">
        <v>17</v>
      </c>
      <c r="P16" s="29" t="s">
        <v>5</v>
      </c>
      <c r="Q16" s="69" t="s">
        <v>17</v>
      </c>
      <c r="R16" s="69" t="s">
        <v>17</v>
      </c>
      <c r="S16" s="69" t="s">
        <v>17</v>
      </c>
      <c r="T16" s="69" t="s">
        <v>17</v>
      </c>
      <c r="U16" s="69" t="s">
        <v>17</v>
      </c>
      <c r="V16" s="69" t="s">
        <v>17</v>
      </c>
      <c r="W16" s="69" t="s">
        <v>17</v>
      </c>
      <c r="X16" s="69" t="s">
        <v>17</v>
      </c>
      <c r="Y16" s="69" t="s">
        <v>17</v>
      </c>
      <c r="Z16" s="69" t="s">
        <v>17</v>
      </c>
      <c r="AA16" s="69" t="s">
        <v>17</v>
      </c>
      <c r="AB16" s="69" t="s">
        <v>17</v>
      </c>
      <c r="AC16" s="69" t="s">
        <v>17</v>
      </c>
      <c r="AD16" s="69" t="s">
        <v>17</v>
      </c>
      <c r="AE16" s="69" t="s">
        <v>17</v>
      </c>
      <c r="AF16" s="69" t="s">
        <v>17</v>
      </c>
      <c r="AG16" s="69" t="s">
        <v>17</v>
      </c>
      <c r="AH16" s="69" t="s">
        <v>17</v>
      </c>
      <c r="AI16" s="69" t="s">
        <v>17</v>
      </c>
      <c r="AJ16" s="69" t="s">
        <v>17</v>
      </c>
      <c r="AK16" s="69" t="s">
        <v>17</v>
      </c>
      <c r="AL16" s="69" t="s">
        <v>17</v>
      </c>
      <c r="AM16" s="69" t="s">
        <v>17</v>
      </c>
      <c r="AN16" s="69" t="s">
        <v>17</v>
      </c>
      <c r="AO16" s="69" t="s">
        <v>17</v>
      </c>
      <c r="AP16" s="69" t="s">
        <v>17</v>
      </c>
      <c r="AQ16" s="69" t="s">
        <v>17</v>
      </c>
      <c r="AR16" s="69" t="s">
        <v>17</v>
      </c>
      <c r="AS16" s="69" t="s">
        <v>17</v>
      </c>
      <c r="AT16" s="69" t="s">
        <v>17</v>
      </c>
      <c r="AU16" s="69" t="s">
        <v>17</v>
      </c>
      <c r="AV16" s="69" t="s">
        <v>17</v>
      </c>
      <c r="AW16" s="69" t="s">
        <v>17</v>
      </c>
      <c r="AX16" s="69" t="s">
        <v>17</v>
      </c>
      <c r="AY16" s="69" t="s">
        <v>17</v>
      </c>
      <c r="AZ16" s="69" t="s">
        <v>17</v>
      </c>
      <c r="BA16" s="69" t="s">
        <v>17</v>
      </c>
      <c r="BB16" s="69" t="s">
        <v>17</v>
      </c>
      <c r="BC16" s="69" t="s">
        <v>17</v>
      </c>
      <c r="BD16" s="29"/>
      <c r="BE16" s="40">
        <v>0.54166666666424135</v>
      </c>
      <c r="BF16" s="1">
        <f t="shared" si="0"/>
        <v>0</v>
      </c>
      <c r="BG16" s="1">
        <f t="shared" si="1"/>
        <v>2</v>
      </c>
      <c r="BH16" s="1">
        <f t="shared" si="2"/>
        <v>0</v>
      </c>
      <c r="BI16" s="1">
        <f t="shared" si="3"/>
        <v>0</v>
      </c>
      <c r="BJ16" s="1">
        <f t="shared" si="4"/>
        <v>0</v>
      </c>
      <c r="BK16" s="1">
        <f t="shared" si="5"/>
        <v>0</v>
      </c>
      <c r="BL16" s="1">
        <f t="shared" si="6"/>
        <v>0</v>
      </c>
      <c r="BN16" s="1">
        <f t="shared" si="7"/>
        <v>48</v>
      </c>
      <c r="BO16" s="1">
        <f t="shared" si="8"/>
        <v>0</v>
      </c>
      <c r="BP16" s="1">
        <f t="shared" si="9"/>
        <v>0</v>
      </c>
      <c r="BQ16" s="1">
        <f t="shared" si="10"/>
        <v>0</v>
      </c>
      <c r="BR16" s="1">
        <f t="shared" si="11"/>
        <v>0</v>
      </c>
    </row>
    <row r="17" spans="1:70" x14ac:dyDescent="0.3">
      <c r="A17" s="36">
        <v>2</v>
      </c>
      <c r="B17" s="39">
        <v>44770.270833333336</v>
      </c>
      <c r="C17" s="38">
        <f t="shared" si="12"/>
        <v>4.1666666671517305E-2</v>
      </c>
      <c r="D17" s="37">
        <f t="shared" si="15"/>
        <v>0.58333333333575865</v>
      </c>
      <c r="E17" s="40">
        <f t="shared" si="14"/>
        <v>0.58333333333575865</v>
      </c>
      <c r="F17" s="29" t="s">
        <v>5</v>
      </c>
      <c r="G17" s="29" t="s">
        <v>17</v>
      </c>
      <c r="H17" s="29" t="s">
        <v>17</v>
      </c>
      <c r="I17" s="29" t="s">
        <v>17</v>
      </c>
      <c r="J17" s="29" t="s">
        <v>17</v>
      </c>
      <c r="K17" s="29" t="s">
        <v>17</v>
      </c>
      <c r="L17" s="29" t="s">
        <v>17</v>
      </c>
      <c r="M17" s="29" t="s">
        <v>17</v>
      </c>
      <c r="N17" s="69" t="s">
        <v>17</v>
      </c>
      <c r="O17" s="29" t="s">
        <v>17</v>
      </c>
      <c r="P17" s="29" t="s">
        <v>5</v>
      </c>
      <c r="Q17" s="69" t="s">
        <v>17</v>
      </c>
      <c r="R17" s="69" t="s">
        <v>17</v>
      </c>
      <c r="S17" s="69" t="s">
        <v>17</v>
      </c>
      <c r="T17" s="69" t="s">
        <v>17</v>
      </c>
      <c r="U17" s="69" t="s">
        <v>17</v>
      </c>
      <c r="V17" s="69" t="s">
        <v>17</v>
      </c>
      <c r="W17" s="69" t="s">
        <v>17</v>
      </c>
      <c r="X17" s="69" t="s">
        <v>17</v>
      </c>
      <c r="Y17" s="69" t="s">
        <v>17</v>
      </c>
      <c r="Z17" s="69" t="s">
        <v>17</v>
      </c>
      <c r="AA17" s="69" t="s">
        <v>17</v>
      </c>
      <c r="AB17" s="69" t="s">
        <v>17</v>
      </c>
      <c r="AC17" s="69" t="s">
        <v>17</v>
      </c>
      <c r="AD17" s="69" t="s">
        <v>17</v>
      </c>
      <c r="AE17" s="69" t="s">
        <v>17</v>
      </c>
      <c r="AF17" s="69" t="s">
        <v>17</v>
      </c>
      <c r="AG17" s="69" t="s">
        <v>17</v>
      </c>
      <c r="AH17" s="69" t="s">
        <v>17</v>
      </c>
      <c r="AI17" s="69" t="s">
        <v>17</v>
      </c>
      <c r="AJ17" s="69" t="s">
        <v>17</v>
      </c>
      <c r="AK17" s="69" t="s">
        <v>17</v>
      </c>
      <c r="AL17" s="69" t="s">
        <v>17</v>
      </c>
      <c r="AM17" s="69" t="s">
        <v>17</v>
      </c>
      <c r="AN17" s="69" t="s">
        <v>17</v>
      </c>
      <c r="AO17" s="69" t="s">
        <v>17</v>
      </c>
      <c r="AP17" s="69" t="s">
        <v>17</v>
      </c>
      <c r="AQ17" s="69" t="s">
        <v>17</v>
      </c>
      <c r="AR17" s="69" t="s">
        <v>17</v>
      </c>
      <c r="AS17" s="69" t="s">
        <v>17</v>
      </c>
      <c r="AT17" s="69" t="s">
        <v>17</v>
      </c>
      <c r="AU17" s="69" t="s">
        <v>17</v>
      </c>
      <c r="AV17" s="69" t="s">
        <v>17</v>
      </c>
      <c r="AW17" s="69" t="s">
        <v>17</v>
      </c>
      <c r="AX17" s="69" t="s">
        <v>17</v>
      </c>
      <c r="AY17" s="69" t="s">
        <v>17</v>
      </c>
      <c r="AZ17" s="69" t="s">
        <v>17</v>
      </c>
      <c r="BA17" s="69" t="s">
        <v>17</v>
      </c>
      <c r="BB17" s="69" t="s">
        <v>17</v>
      </c>
      <c r="BC17" s="69" t="s">
        <v>17</v>
      </c>
      <c r="BD17" s="29"/>
      <c r="BE17" s="40">
        <v>0.58333333333575865</v>
      </c>
      <c r="BF17" s="1">
        <f t="shared" si="0"/>
        <v>0</v>
      </c>
      <c r="BG17" s="1">
        <f t="shared" si="1"/>
        <v>2</v>
      </c>
      <c r="BH17" s="1">
        <f t="shared" si="2"/>
        <v>0</v>
      </c>
      <c r="BI17" s="1">
        <f t="shared" si="3"/>
        <v>0</v>
      </c>
      <c r="BJ17" s="1">
        <f t="shared" si="4"/>
        <v>0</v>
      </c>
      <c r="BK17" s="1">
        <f t="shared" si="5"/>
        <v>0</v>
      </c>
      <c r="BL17" s="1">
        <f t="shared" si="6"/>
        <v>0</v>
      </c>
      <c r="BN17" s="1">
        <f t="shared" si="7"/>
        <v>48</v>
      </c>
      <c r="BO17" s="1">
        <f t="shared" si="8"/>
        <v>0</v>
      </c>
      <c r="BP17" s="1">
        <f t="shared" si="9"/>
        <v>0</v>
      </c>
      <c r="BQ17" s="1">
        <f t="shared" si="10"/>
        <v>0</v>
      </c>
      <c r="BR17" s="1">
        <f t="shared" si="11"/>
        <v>0</v>
      </c>
    </row>
    <row r="18" spans="1:70" x14ac:dyDescent="0.3">
      <c r="A18" s="36">
        <v>2</v>
      </c>
      <c r="B18" s="39">
        <v>44770.3125</v>
      </c>
      <c r="C18" s="38">
        <f>(B18-B17)</f>
        <v>4.1666666664241347E-2</v>
      </c>
      <c r="D18" s="37">
        <f t="shared" si="15"/>
        <v>0.625</v>
      </c>
      <c r="E18" s="40">
        <f t="shared" si="14"/>
        <v>0.625</v>
      </c>
      <c r="F18" s="29" t="s">
        <v>5</v>
      </c>
      <c r="G18" s="29" t="s">
        <v>17</v>
      </c>
      <c r="H18" s="29" t="s">
        <v>17</v>
      </c>
      <c r="I18" s="29" t="s">
        <v>17</v>
      </c>
      <c r="J18" s="29" t="s">
        <v>17</v>
      </c>
      <c r="K18" s="29" t="s">
        <v>17</v>
      </c>
      <c r="L18" s="29" t="s">
        <v>17</v>
      </c>
      <c r="M18" s="29" t="s">
        <v>17</v>
      </c>
      <c r="N18" s="69" t="s">
        <v>17</v>
      </c>
      <c r="O18" s="29" t="s">
        <v>17</v>
      </c>
      <c r="P18" s="29" t="s">
        <v>5</v>
      </c>
      <c r="Q18" s="69" t="s">
        <v>17</v>
      </c>
      <c r="R18" s="69" t="s">
        <v>17</v>
      </c>
      <c r="S18" s="69" t="s">
        <v>17</v>
      </c>
      <c r="T18" s="69" t="s">
        <v>17</v>
      </c>
      <c r="U18" s="69" t="s">
        <v>17</v>
      </c>
      <c r="V18" s="69" t="s">
        <v>17</v>
      </c>
      <c r="W18" s="69" t="s">
        <v>17</v>
      </c>
      <c r="X18" s="69" t="s">
        <v>17</v>
      </c>
      <c r="Y18" s="69" t="s">
        <v>17</v>
      </c>
      <c r="Z18" s="69" t="s">
        <v>17</v>
      </c>
      <c r="AA18" s="69" t="s">
        <v>17</v>
      </c>
      <c r="AB18" s="69" t="s">
        <v>17</v>
      </c>
      <c r="AC18" s="69" t="s">
        <v>17</v>
      </c>
      <c r="AD18" s="69" t="s">
        <v>17</v>
      </c>
      <c r="AE18" s="69" t="s">
        <v>17</v>
      </c>
      <c r="AF18" s="69" t="s">
        <v>17</v>
      </c>
      <c r="AG18" s="69" t="s">
        <v>17</v>
      </c>
      <c r="AH18" s="69" t="s">
        <v>17</v>
      </c>
      <c r="AI18" s="69" t="s">
        <v>17</v>
      </c>
      <c r="AJ18" s="69" t="s">
        <v>17</v>
      </c>
      <c r="AK18" s="69" t="s">
        <v>17</v>
      </c>
      <c r="AL18" s="69" t="s">
        <v>17</v>
      </c>
      <c r="AM18" s="69" t="s">
        <v>17</v>
      </c>
      <c r="AN18" s="69" t="s">
        <v>17</v>
      </c>
      <c r="AO18" s="69" t="s">
        <v>17</v>
      </c>
      <c r="AP18" s="69" t="s">
        <v>17</v>
      </c>
      <c r="AQ18" s="69" t="s">
        <v>17</v>
      </c>
      <c r="AR18" s="69" t="s">
        <v>17</v>
      </c>
      <c r="AS18" s="69" t="s">
        <v>17</v>
      </c>
      <c r="AT18" s="69" t="s">
        <v>17</v>
      </c>
      <c r="AU18" s="69" t="s">
        <v>17</v>
      </c>
      <c r="AV18" s="69" t="s">
        <v>17</v>
      </c>
      <c r="AW18" s="69" t="s">
        <v>17</v>
      </c>
      <c r="AX18" s="69" t="s">
        <v>17</v>
      </c>
      <c r="AY18" s="69" t="s">
        <v>17</v>
      </c>
      <c r="AZ18" s="69" t="s">
        <v>17</v>
      </c>
      <c r="BA18" s="69" t="s">
        <v>17</v>
      </c>
      <c r="BB18" s="69" t="s">
        <v>17</v>
      </c>
      <c r="BC18" s="69" t="s">
        <v>17</v>
      </c>
      <c r="BD18" s="29"/>
      <c r="BE18" s="40">
        <v>0.625</v>
      </c>
      <c r="BF18" s="1">
        <f t="shared" si="0"/>
        <v>0</v>
      </c>
      <c r="BG18" s="1">
        <f t="shared" si="1"/>
        <v>2</v>
      </c>
      <c r="BH18" s="1">
        <f t="shared" si="2"/>
        <v>0</v>
      </c>
      <c r="BI18" s="1">
        <f t="shared" si="3"/>
        <v>0</v>
      </c>
      <c r="BJ18" s="1">
        <f t="shared" si="4"/>
        <v>0</v>
      </c>
      <c r="BK18" s="1">
        <f t="shared" si="5"/>
        <v>0</v>
      </c>
      <c r="BL18" s="1">
        <f t="shared" si="6"/>
        <v>0</v>
      </c>
      <c r="BN18" s="1">
        <f t="shared" si="7"/>
        <v>48</v>
      </c>
      <c r="BO18" s="1">
        <f t="shared" si="8"/>
        <v>0</v>
      </c>
      <c r="BP18" s="1">
        <f t="shared" si="9"/>
        <v>0</v>
      </c>
      <c r="BQ18" s="1">
        <f t="shared" si="10"/>
        <v>0</v>
      </c>
      <c r="BR18" s="1">
        <f t="shared" si="11"/>
        <v>0</v>
      </c>
    </row>
    <row r="19" spans="1:70" x14ac:dyDescent="0.3">
      <c r="A19" s="36">
        <v>2</v>
      </c>
      <c r="B19" s="39">
        <v>44770.354166666664</v>
      </c>
      <c r="C19" s="38">
        <f t="shared" si="12"/>
        <v>4.1666666664241347E-2</v>
      </c>
      <c r="D19" s="37">
        <f t="shared" si="15"/>
        <v>0.66666666666424135</v>
      </c>
      <c r="E19" s="40">
        <f t="shared" si="14"/>
        <v>0.66666666666424135</v>
      </c>
      <c r="F19" s="69" t="s">
        <v>18</v>
      </c>
      <c r="G19" s="29" t="s">
        <v>17</v>
      </c>
      <c r="H19" s="29" t="s">
        <v>17</v>
      </c>
      <c r="I19" s="29" t="s">
        <v>17</v>
      </c>
      <c r="J19" s="29" t="s">
        <v>17</v>
      </c>
      <c r="K19" s="29" t="s">
        <v>17</v>
      </c>
      <c r="L19" s="29" t="s">
        <v>17</v>
      </c>
      <c r="M19" s="29" t="s">
        <v>17</v>
      </c>
      <c r="N19" s="69" t="s">
        <v>17</v>
      </c>
      <c r="O19" s="29" t="s">
        <v>17</v>
      </c>
      <c r="P19" s="69" t="s">
        <v>18</v>
      </c>
      <c r="Q19" s="69" t="s">
        <v>17</v>
      </c>
      <c r="R19" s="69" t="s">
        <v>17</v>
      </c>
      <c r="S19" s="69" t="s">
        <v>17</v>
      </c>
      <c r="T19" s="69" t="s">
        <v>17</v>
      </c>
      <c r="U19" s="69" t="s">
        <v>17</v>
      </c>
      <c r="V19" s="69" t="s">
        <v>17</v>
      </c>
      <c r="W19" s="69" t="s">
        <v>17</v>
      </c>
      <c r="X19" s="69" t="s">
        <v>17</v>
      </c>
      <c r="Y19" s="69" t="s">
        <v>17</v>
      </c>
      <c r="Z19" s="69" t="s">
        <v>17</v>
      </c>
      <c r="AA19" s="69" t="s">
        <v>17</v>
      </c>
      <c r="AB19" s="69" t="s">
        <v>17</v>
      </c>
      <c r="AC19" s="69" t="s">
        <v>17</v>
      </c>
      <c r="AD19" s="69" t="s">
        <v>17</v>
      </c>
      <c r="AE19" s="69" t="s">
        <v>17</v>
      </c>
      <c r="AF19" s="69" t="s">
        <v>17</v>
      </c>
      <c r="AG19" s="69" t="s">
        <v>17</v>
      </c>
      <c r="AH19" s="69" t="s">
        <v>17</v>
      </c>
      <c r="AI19" s="69" t="s">
        <v>17</v>
      </c>
      <c r="AJ19" s="69" t="s">
        <v>17</v>
      </c>
      <c r="AK19" s="69" t="s">
        <v>17</v>
      </c>
      <c r="AL19" s="69" t="s">
        <v>17</v>
      </c>
      <c r="AM19" s="69" t="s">
        <v>17</v>
      </c>
      <c r="AN19" s="69" t="s">
        <v>17</v>
      </c>
      <c r="AO19" s="69" t="s">
        <v>17</v>
      </c>
      <c r="AP19" s="69" t="s">
        <v>17</v>
      </c>
      <c r="AQ19" s="69" t="s">
        <v>17</v>
      </c>
      <c r="AR19" s="69" t="s">
        <v>17</v>
      </c>
      <c r="AS19" s="69" t="s">
        <v>17</v>
      </c>
      <c r="AT19" s="69" t="s">
        <v>17</v>
      </c>
      <c r="AU19" s="69" t="s">
        <v>17</v>
      </c>
      <c r="AV19" s="69" t="s">
        <v>17</v>
      </c>
      <c r="AW19" s="69" t="s">
        <v>17</v>
      </c>
      <c r="AX19" s="69" t="s">
        <v>17</v>
      </c>
      <c r="AY19" s="69" t="s">
        <v>17</v>
      </c>
      <c r="AZ19" s="69" t="s">
        <v>17</v>
      </c>
      <c r="BA19" s="69" t="s">
        <v>17</v>
      </c>
      <c r="BB19" s="69" t="s">
        <v>17</v>
      </c>
      <c r="BC19" s="69" t="s">
        <v>17</v>
      </c>
      <c r="BD19" s="29"/>
      <c r="BE19" s="40">
        <v>0.66666666666424135</v>
      </c>
      <c r="BF19" s="1">
        <f t="shared" si="0"/>
        <v>0</v>
      </c>
      <c r="BG19" s="1">
        <f t="shared" si="1"/>
        <v>0</v>
      </c>
      <c r="BH19" s="1">
        <f t="shared" si="2"/>
        <v>0</v>
      </c>
      <c r="BI19" s="1">
        <f t="shared" si="3"/>
        <v>0</v>
      </c>
      <c r="BJ19" s="1">
        <f t="shared" si="4"/>
        <v>0</v>
      </c>
      <c r="BK19" s="1">
        <f t="shared" si="5"/>
        <v>0</v>
      </c>
      <c r="BL19" s="1">
        <f t="shared" si="6"/>
        <v>0</v>
      </c>
      <c r="BN19" s="1">
        <f t="shared" si="7"/>
        <v>48</v>
      </c>
      <c r="BO19" s="1">
        <f t="shared" si="8"/>
        <v>2</v>
      </c>
      <c r="BP19" s="1">
        <f t="shared" si="9"/>
        <v>0</v>
      </c>
      <c r="BQ19" s="1">
        <f t="shared" si="10"/>
        <v>0</v>
      </c>
      <c r="BR19" s="1">
        <f t="shared" si="11"/>
        <v>0</v>
      </c>
    </row>
    <row r="20" spans="1:70" x14ac:dyDescent="0.3">
      <c r="A20" s="36">
        <v>2</v>
      </c>
      <c r="B20" s="39">
        <v>44770.395833333336</v>
      </c>
      <c r="C20" s="38">
        <f>(B20-B19)</f>
        <v>4.1666666671517305E-2</v>
      </c>
      <c r="D20" s="37">
        <f t="shared" si="15"/>
        <v>0.70833333333575865</v>
      </c>
      <c r="E20" s="40">
        <f t="shared" si="14"/>
        <v>0.70833333333575865</v>
      </c>
      <c r="F20" s="69" t="s">
        <v>18</v>
      </c>
      <c r="G20" s="29" t="s">
        <v>17</v>
      </c>
      <c r="H20" s="29" t="s">
        <v>17</v>
      </c>
      <c r="I20" s="29" t="s">
        <v>17</v>
      </c>
      <c r="J20" s="29" t="s">
        <v>17</v>
      </c>
      <c r="K20" s="29" t="s">
        <v>17</v>
      </c>
      <c r="L20" s="29" t="s">
        <v>17</v>
      </c>
      <c r="M20" s="29" t="s">
        <v>17</v>
      </c>
      <c r="N20" s="69" t="s">
        <v>17</v>
      </c>
      <c r="O20" s="29" t="s">
        <v>17</v>
      </c>
      <c r="P20" s="69" t="s">
        <v>18</v>
      </c>
      <c r="Q20" s="69" t="s">
        <v>17</v>
      </c>
      <c r="R20" s="69" t="s">
        <v>17</v>
      </c>
      <c r="S20" s="69" t="s">
        <v>17</v>
      </c>
      <c r="T20" s="69" t="s">
        <v>17</v>
      </c>
      <c r="U20" s="69" t="s">
        <v>17</v>
      </c>
      <c r="V20" s="69" t="s">
        <v>17</v>
      </c>
      <c r="W20" s="69" t="s">
        <v>17</v>
      </c>
      <c r="X20" s="69" t="s">
        <v>17</v>
      </c>
      <c r="Y20" s="69" t="s">
        <v>17</v>
      </c>
      <c r="Z20" s="69" t="s">
        <v>17</v>
      </c>
      <c r="AA20" s="69" t="s">
        <v>17</v>
      </c>
      <c r="AB20" s="69" t="s">
        <v>17</v>
      </c>
      <c r="AC20" s="69" t="s">
        <v>17</v>
      </c>
      <c r="AD20" s="69" t="s">
        <v>17</v>
      </c>
      <c r="AE20" s="69" t="s">
        <v>17</v>
      </c>
      <c r="AF20" s="69" t="s">
        <v>17</v>
      </c>
      <c r="AG20" s="69" t="s">
        <v>17</v>
      </c>
      <c r="AH20" s="69" t="s">
        <v>17</v>
      </c>
      <c r="AI20" s="69" t="s">
        <v>17</v>
      </c>
      <c r="AJ20" s="69" t="s">
        <v>17</v>
      </c>
      <c r="AK20" s="69" t="s">
        <v>17</v>
      </c>
      <c r="AL20" s="69" t="s">
        <v>17</v>
      </c>
      <c r="AM20" s="69" t="s">
        <v>17</v>
      </c>
      <c r="AN20" s="69" t="s">
        <v>17</v>
      </c>
      <c r="AO20" s="69" t="s">
        <v>17</v>
      </c>
      <c r="AP20" s="69" t="s">
        <v>17</v>
      </c>
      <c r="AQ20" s="69" t="s">
        <v>17</v>
      </c>
      <c r="AR20" s="69" t="s">
        <v>17</v>
      </c>
      <c r="AS20" s="69" t="s">
        <v>17</v>
      </c>
      <c r="AT20" s="69" t="s">
        <v>17</v>
      </c>
      <c r="AU20" s="69" t="s">
        <v>17</v>
      </c>
      <c r="AV20" s="69" t="s">
        <v>17</v>
      </c>
      <c r="AW20" s="69" t="s">
        <v>17</v>
      </c>
      <c r="AX20" s="69" t="s">
        <v>17</v>
      </c>
      <c r="AY20" s="69" t="s">
        <v>17</v>
      </c>
      <c r="AZ20" s="69" t="s">
        <v>17</v>
      </c>
      <c r="BA20" s="69" t="s">
        <v>17</v>
      </c>
      <c r="BB20" s="69" t="s">
        <v>17</v>
      </c>
      <c r="BC20" s="69" t="s">
        <v>17</v>
      </c>
      <c r="BD20" s="29"/>
      <c r="BE20" s="40">
        <v>0.70833333333575865</v>
      </c>
      <c r="BF20" s="1">
        <f t="shared" si="0"/>
        <v>0</v>
      </c>
      <c r="BG20" s="1">
        <f t="shared" si="1"/>
        <v>0</v>
      </c>
      <c r="BH20" s="1">
        <f t="shared" si="2"/>
        <v>0</v>
      </c>
      <c r="BI20" s="1">
        <f t="shared" si="3"/>
        <v>0</v>
      </c>
      <c r="BJ20" s="1">
        <f t="shared" si="4"/>
        <v>0</v>
      </c>
      <c r="BK20" s="1">
        <f t="shared" si="5"/>
        <v>0</v>
      </c>
      <c r="BL20" s="1">
        <f t="shared" si="6"/>
        <v>0</v>
      </c>
      <c r="BN20" s="1">
        <f t="shared" si="7"/>
        <v>48</v>
      </c>
      <c r="BO20" s="1">
        <f t="shared" si="8"/>
        <v>2</v>
      </c>
      <c r="BP20" s="1">
        <f t="shared" si="9"/>
        <v>0</v>
      </c>
      <c r="BQ20" s="1">
        <f t="shared" si="10"/>
        <v>0</v>
      </c>
      <c r="BR20" s="1">
        <f t="shared" si="11"/>
        <v>0</v>
      </c>
    </row>
    <row r="21" spans="1:70" x14ac:dyDescent="0.3">
      <c r="A21" s="36">
        <v>2</v>
      </c>
      <c r="B21" s="39">
        <v>44770.4375</v>
      </c>
      <c r="C21" s="38">
        <f>(B21-B20)</f>
        <v>4.1666666664241347E-2</v>
      </c>
      <c r="D21" s="37">
        <f t="shared" si="15"/>
        <v>0.75</v>
      </c>
      <c r="E21" s="40">
        <f t="shared" si="14"/>
        <v>0.75</v>
      </c>
      <c r="F21" s="69" t="s">
        <v>18</v>
      </c>
      <c r="G21" s="29" t="s">
        <v>17</v>
      </c>
      <c r="H21" s="29" t="s">
        <v>17</v>
      </c>
      <c r="I21" s="29" t="s">
        <v>17</v>
      </c>
      <c r="J21" s="29" t="s">
        <v>17</v>
      </c>
      <c r="K21" s="29" t="s">
        <v>17</v>
      </c>
      <c r="L21" s="29" t="s">
        <v>17</v>
      </c>
      <c r="M21" s="29" t="s">
        <v>17</v>
      </c>
      <c r="N21" s="69" t="s">
        <v>17</v>
      </c>
      <c r="O21" s="29" t="s">
        <v>17</v>
      </c>
      <c r="P21" s="69" t="s">
        <v>18</v>
      </c>
      <c r="Q21" s="69" t="s">
        <v>17</v>
      </c>
      <c r="R21" s="69" t="s">
        <v>17</v>
      </c>
      <c r="S21" s="69" t="s">
        <v>17</v>
      </c>
      <c r="T21" s="29" t="s">
        <v>17</v>
      </c>
      <c r="U21" s="29" t="s">
        <v>17</v>
      </c>
      <c r="V21" s="29" t="s">
        <v>17</v>
      </c>
      <c r="W21" s="29" t="s">
        <v>17</v>
      </c>
      <c r="X21" s="29" t="s">
        <v>17</v>
      </c>
      <c r="Y21" s="29" t="s">
        <v>17</v>
      </c>
      <c r="Z21" s="69" t="s">
        <v>17</v>
      </c>
      <c r="AA21" s="69" t="s">
        <v>17</v>
      </c>
      <c r="AB21" s="69" t="s">
        <v>17</v>
      </c>
      <c r="AC21" s="69" t="s">
        <v>17</v>
      </c>
      <c r="AD21" s="29" t="s">
        <v>17</v>
      </c>
      <c r="AE21" s="69" t="s">
        <v>17</v>
      </c>
      <c r="AF21" s="69" t="s">
        <v>17</v>
      </c>
      <c r="AG21" s="69" t="s">
        <v>17</v>
      </c>
      <c r="AH21" s="69" t="s">
        <v>17</v>
      </c>
      <c r="AI21" s="29" t="s">
        <v>17</v>
      </c>
      <c r="AJ21" s="29" t="s">
        <v>17</v>
      </c>
      <c r="AK21" s="29" t="s">
        <v>17</v>
      </c>
      <c r="AL21" s="69" t="s">
        <v>17</v>
      </c>
      <c r="AM21" s="69" t="s">
        <v>17</v>
      </c>
      <c r="AN21" s="29" t="s">
        <v>17</v>
      </c>
      <c r="AO21" s="69" t="s">
        <v>17</v>
      </c>
      <c r="AP21" s="69" t="s">
        <v>17</v>
      </c>
      <c r="AQ21" s="69" t="s">
        <v>17</v>
      </c>
      <c r="AR21" s="29" t="s">
        <v>17</v>
      </c>
      <c r="AS21" s="29" t="s">
        <v>17</v>
      </c>
      <c r="AT21" s="29" t="s">
        <v>17</v>
      </c>
      <c r="AU21" s="29" t="s">
        <v>17</v>
      </c>
      <c r="AV21" s="69" t="s">
        <v>17</v>
      </c>
      <c r="AW21" s="69" t="s">
        <v>17</v>
      </c>
      <c r="AX21" s="69" t="s">
        <v>17</v>
      </c>
      <c r="AY21" s="69" t="s">
        <v>17</v>
      </c>
      <c r="AZ21" s="69" t="s">
        <v>17</v>
      </c>
      <c r="BA21" s="69" t="s">
        <v>17</v>
      </c>
      <c r="BB21" s="69" t="s">
        <v>17</v>
      </c>
      <c r="BC21" s="69" t="s">
        <v>17</v>
      </c>
      <c r="BD21" s="29"/>
      <c r="BE21" s="40">
        <v>0.75</v>
      </c>
      <c r="BF21" s="1">
        <f t="shared" si="0"/>
        <v>0</v>
      </c>
      <c r="BG21" s="1">
        <f t="shared" si="1"/>
        <v>0</v>
      </c>
      <c r="BH21" s="1">
        <f t="shared" si="2"/>
        <v>0</v>
      </c>
      <c r="BI21" s="1">
        <f t="shared" si="3"/>
        <v>0</v>
      </c>
      <c r="BJ21" s="1">
        <f t="shared" si="4"/>
        <v>0</v>
      </c>
      <c r="BK21" s="1">
        <f t="shared" si="5"/>
        <v>0</v>
      </c>
      <c r="BL21" s="1">
        <f t="shared" si="6"/>
        <v>0</v>
      </c>
      <c r="BN21" s="1">
        <f t="shared" si="7"/>
        <v>48</v>
      </c>
      <c r="BO21" s="1">
        <f t="shared" si="8"/>
        <v>2</v>
      </c>
      <c r="BP21" s="1">
        <f t="shared" si="9"/>
        <v>0</v>
      </c>
      <c r="BQ21" s="1">
        <f t="shared" si="10"/>
        <v>0</v>
      </c>
      <c r="BR21" s="1">
        <f t="shared" si="11"/>
        <v>0</v>
      </c>
    </row>
    <row r="22" spans="1:70" x14ac:dyDescent="0.3">
      <c r="A22" s="36">
        <v>2</v>
      </c>
      <c r="B22" s="39">
        <v>44770.479166666664</v>
      </c>
      <c r="C22" s="38">
        <f>(B22-B21)</f>
        <v>4.1666666664241347E-2</v>
      </c>
      <c r="D22" s="37">
        <f>D21+C22</f>
        <v>0.79166666666424135</v>
      </c>
      <c r="E22" s="40">
        <f t="shared" si="14"/>
        <v>0.79166666666424135</v>
      </c>
      <c r="F22" s="69" t="s">
        <v>18</v>
      </c>
      <c r="G22" s="29" t="s">
        <v>17</v>
      </c>
      <c r="H22" s="29" t="s">
        <v>17</v>
      </c>
      <c r="I22" s="29" t="s">
        <v>17</v>
      </c>
      <c r="J22" s="29" t="s">
        <v>17</v>
      </c>
      <c r="K22" s="29" t="s">
        <v>17</v>
      </c>
      <c r="L22" s="29" t="s">
        <v>17</v>
      </c>
      <c r="M22" s="29" t="s">
        <v>17</v>
      </c>
      <c r="N22" s="69" t="s">
        <v>17</v>
      </c>
      <c r="O22" s="29" t="s">
        <v>17</v>
      </c>
      <c r="P22" s="69" t="s">
        <v>18</v>
      </c>
      <c r="Q22" s="69" t="s">
        <v>17</v>
      </c>
      <c r="R22" s="69" t="s">
        <v>17</v>
      </c>
      <c r="S22" s="69" t="s">
        <v>17</v>
      </c>
      <c r="T22" s="29" t="s">
        <v>17</v>
      </c>
      <c r="U22" s="29" t="s">
        <v>17</v>
      </c>
      <c r="V22" s="29" t="s">
        <v>17</v>
      </c>
      <c r="W22" s="29" t="s">
        <v>17</v>
      </c>
      <c r="X22" s="29" t="s">
        <v>17</v>
      </c>
      <c r="Y22" s="29" t="s">
        <v>17</v>
      </c>
      <c r="Z22" s="69" t="s">
        <v>17</v>
      </c>
      <c r="AA22" s="69" t="s">
        <v>17</v>
      </c>
      <c r="AB22" s="69" t="s">
        <v>17</v>
      </c>
      <c r="AC22" s="69" t="s">
        <v>17</v>
      </c>
      <c r="AD22" s="29" t="s">
        <v>17</v>
      </c>
      <c r="AE22" s="69" t="s">
        <v>17</v>
      </c>
      <c r="AF22" s="69" t="s">
        <v>17</v>
      </c>
      <c r="AG22" s="69" t="s">
        <v>17</v>
      </c>
      <c r="AH22" s="69" t="s">
        <v>17</v>
      </c>
      <c r="AI22" s="29" t="s">
        <v>17</v>
      </c>
      <c r="AJ22" s="29" t="s">
        <v>17</v>
      </c>
      <c r="AK22" s="29" t="s">
        <v>17</v>
      </c>
      <c r="AL22" s="69" t="s">
        <v>17</v>
      </c>
      <c r="AM22" s="69" t="s">
        <v>17</v>
      </c>
      <c r="AN22" s="29" t="s">
        <v>17</v>
      </c>
      <c r="AO22" s="69" t="s">
        <v>17</v>
      </c>
      <c r="AP22" s="69" t="s">
        <v>17</v>
      </c>
      <c r="AQ22" s="69" t="s">
        <v>17</v>
      </c>
      <c r="AR22" s="29" t="s">
        <v>17</v>
      </c>
      <c r="AS22" s="29" t="s">
        <v>17</v>
      </c>
      <c r="AT22" s="29" t="s">
        <v>17</v>
      </c>
      <c r="AU22" s="29" t="s">
        <v>17</v>
      </c>
      <c r="AV22" s="69" t="s">
        <v>17</v>
      </c>
      <c r="AW22" s="69" t="s">
        <v>17</v>
      </c>
      <c r="AX22" s="69" t="s">
        <v>17</v>
      </c>
      <c r="AY22" s="69" t="s">
        <v>17</v>
      </c>
      <c r="AZ22" s="69" t="s">
        <v>17</v>
      </c>
      <c r="BA22" s="69" t="s">
        <v>17</v>
      </c>
      <c r="BB22" s="69" t="s">
        <v>17</v>
      </c>
      <c r="BC22" s="69" t="s">
        <v>17</v>
      </c>
      <c r="BD22" s="29"/>
      <c r="BE22" s="40">
        <v>0.79166666666424135</v>
      </c>
      <c r="BF22" s="1">
        <f t="shared" si="0"/>
        <v>0</v>
      </c>
      <c r="BG22" s="1">
        <f t="shared" si="1"/>
        <v>0</v>
      </c>
      <c r="BH22" s="1">
        <f t="shared" si="2"/>
        <v>0</v>
      </c>
      <c r="BI22" s="1">
        <f t="shared" si="3"/>
        <v>0</v>
      </c>
      <c r="BJ22" s="1">
        <f t="shared" si="4"/>
        <v>0</v>
      </c>
      <c r="BK22" s="1">
        <f t="shared" si="5"/>
        <v>0</v>
      </c>
      <c r="BL22" s="1">
        <f t="shared" si="6"/>
        <v>0</v>
      </c>
      <c r="BN22" s="1">
        <f t="shared" si="7"/>
        <v>48</v>
      </c>
      <c r="BO22" s="1">
        <f t="shared" si="8"/>
        <v>2</v>
      </c>
      <c r="BP22" s="1">
        <f t="shared" si="9"/>
        <v>0</v>
      </c>
      <c r="BQ22" s="1">
        <f t="shared" si="10"/>
        <v>0</v>
      </c>
      <c r="BR22" s="1">
        <f t="shared" si="11"/>
        <v>0</v>
      </c>
    </row>
    <row r="23" spans="1:70" x14ac:dyDescent="0.3">
      <c r="A23" s="36">
        <v>2</v>
      </c>
      <c r="B23" s="39">
        <v>44770.520833333336</v>
      </c>
      <c r="C23" s="38">
        <f>(B23-B22)</f>
        <v>4.1666666671517305E-2</v>
      </c>
      <c r="D23" s="37">
        <f t="shared" ref="D23:D48" si="16">D22+C23</f>
        <v>0.83333333333575865</v>
      </c>
      <c r="E23" s="40">
        <f t="shared" si="14"/>
        <v>0.83333333333575865</v>
      </c>
      <c r="F23" s="69" t="s">
        <v>18</v>
      </c>
      <c r="G23" s="29" t="s">
        <v>17</v>
      </c>
      <c r="H23" s="29" t="s">
        <v>17</v>
      </c>
      <c r="I23" s="29" t="s">
        <v>17</v>
      </c>
      <c r="J23" s="29" t="s">
        <v>17</v>
      </c>
      <c r="K23" s="29" t="s">
        <v>17</v>
      </c>
      <c r="L23" s="29" t="s">
        <v>17</v>
      </c>
      <c r="M23" s="29" t="s">
        <v>17</v>
      </c>
      <c r="N23" s="69" t="s">
        <v>17</v>
      </c>
      <c r="O23" s="29" t="s">
        <v>17</v>
      </c>
      <c r="P23" s="69" t="s">
        <v>18</v>
      </c>
      <c r="Q23" s="69" t="s">
        <v>17</v>
      </c>
      <c r="R23" s="69" t="s">
        <v>17</v>
      </c>
      <c r="S23" s="69" t="s">
        <v>17</v>
      </c>
      <c r="T23" s="29" t="s">
        <v>17</v>
      </c>
      <c r="U23" s="29" t="s">
        <v>17</v>
      </c>
      <c r="V23" s="29" t="s">
        <v>17</v>
      </c>
      <c r="W23" s="29" t="s">
        <v>17</v>
      </c>
      <c r="X23" s="29" t="s">
        <v>17</v>
      </c>
      <c r="Y23" s="29" t="s">
        <v>17</v>
      </c>
      <c r="Z23" s="69" t="s">
        <v>17</v>
      </c>
      <c r="AA23" s="69" t="s">
        <v>17</v>
      </c>
      <c r="AB23" s="69" t="s">
        <v>17</v>
      </c>
      <c r="AC23" s="69" t="s">
        <v>17</v>
      </c>
      <c r="AD23" s="29" t="s">
        <v>17</v>
      </c>
      <c r="AE23" s="69" t="s">
        <v>17</v>
      </c>
      <c r="AF23" s="69" t="s">
        <v>17</v>
      </c>
      <c r="AG23" s="69" t="s">
        <v>17</v>
      </c>
      <c r="AH23" s="69" t="s">
        <v>17</v>
      </c>
      <c r="AI23" s="29" t="s">
        <v>17</v>
      </c>
      <c r="AJ23" s="29" t="s">
        <v>17</v>
      </c>
      <c r="AK23" s="29" t="s">
        <v>17</v>
      </c>
      <c r="AL23" s="69" t="s">
        <v>17</v>
      </c>
      <c r="AM23" s="69" t="s">
        <v>17</v>
      </c>
      <c r="AN23" s="29" t="s">
        <v>17</v>
      </c>
      <c r="AO23" s="69" t="s">
        <v>17</v>
      </c>
      <c r="AP23" s="69" t="s">
        <v>17</v>
      </c>
      <c r="AQ23" s="69" t="s">
        <v>17</v>
      </c>
      <c r="AR23" s="29" t="s">
        <v>17</v>
      </c>
      <c r="AS23" s="29" t="s">
        <v>17</v>
      </c>
      <c r="AT23" s="29" t="s">
        <v>17</v>
      </c>
      <c r="AU23" s="29" t="s">
        <v>17</v>
      </c>
      <c r="AV23" s="69" t="s">
        <v>17</v>
      </c>
      <c r="AW23" s="69" t="s">
        <v>17</v>
      </c>
      <c r="AX23" s="69" t="s">
        <v>17</v>
      </c>
      <c r="AY23" s="69" t="s">
        <v>17</v>
      </c>
      <c r="AZ23" s="69" t="s">
        <v>17</v>
      </c>
      <c r="BA23" s="69" t="s">
        <v>17</v>
      </c>
      <c r="BB23" s="69" t="s">
        <v>17</v>
      </c>
      <c r="BC23" s="69" t="s">
        <v>17</v>
      </c>
      <c r="BD23" s="29"/>
      <c r="BE23" s="40">
        <v>0.83333333333575865</v>
      </c>
      <c r="BF23" s="1">
        <f t="shared" si="0"/>
        <v>0</v>
      </c>
      <c r="BG23" s="1">
        <f t="shared" si="1"/>
        <v>0</v>
      </c>
      <c r="BH23" s="1">
        <f t="shared" si="2"/>
        <v>0</v>
      </c>
      <c r="BI23" s="1">
        <f t="shared" si="3"/>
        <v>0</v>
      </c>
      <c r="BJ23" s="1">
        <f t="shared" si="4"/>
        <v>0</v>
      </c>
      <c r="BK23" s="1">
        <f t="shared" si="5"/>
        <v>0</v>
      </c>
      <c r="BL23" s="1">
        <f t="shared" si="6"/>
        <v>0</v>
      </c>
      <c r="BN23" s="1">
        <f t="shared" si="7"/>
        <v>48</v>
      </c>
      <c r="BO23" s="1">
        <f t="shared" si="8"/>
        <v>2</v>
      </c>
      <c r="BP23" s="1">
        <f t="shared" si="9"/>
        <v>0</v>
      </c>
      <c r="BQ23" s="1">
        <f t="shared" si="10"/>
        <v>0</v>
      </c>
      <c r="BR23" s="1">
        <f t="shared" si="11"/>
        <v>0</v>
      </c>
    </row>
    <row r="24" spans="1:70" x14ac:dyDescent="0.3">
      <c r="A24" s="36">
        <v>2</v>
      </c>
      <c r="B24" s="39">
        <v>44770.5625</v>
      </c>
      <c r="C24" s="38">
        <f t="shared" ref="C24:C48" si="17">(B24-B23)</f>
        <v>4.1666666664241347E-2</v>
      </c>
      <c r="D24" s="37">
        <f t="shared" si="16"/>
        <v>0.875</v>
      </c>
      <c r="E24" s="40">
        <f t="shared" si="14"/>
        <v>0.875</v>
      </c>
      <c r="F24" s="69" t="s">
        <v>18</v>
      </c>
      <c r="G24" s="29" t="s">
        <v>17</v>
      </c>
      <c r="H24" s="29" t="s">
        <v>17</v>
      </c>
      <c r="I24" s="29" t="s">
        <v>17</v>
      </c>
      <c r="J24" s="29" t="s">
        <v>17</v>
      </c>
      <c r="K24" s="29" t="s">
        <v>17</v>
      </c>
      <c r="L24" s="29" t="s">
        <v>17</v>
      </c>
      <c r="M24" s="29" t="s">
        <v>17</v>
      </c>
      <c r="N24" s="69" t="s">
        <v>17</v>
      </c>
      <c r="O24" s="29" t="s">
        <v>17</v>
      </c>
      <c r="P24" s="69" t="s">
        <v>18</v>
      </c>
      <c r="Q24" s="69" t="s">
        <v>17</v>
      </c>
      <c r="R24" s="69" t="s">
        <v>17</v>
      </c>
      <c r="S24" s="69" t="s">
        <v>17</v>
      </c>
      <c r="T24" s="29" t="s">
        <v>17</v>
      </c>
      <c r="U24" s="29" t="s">
        <v>17</v>
      </c>
      <c r="V24" s="29" t="s">
        <v>17</v>
      </c>
      <c r="W24" s="29" t="s">
        <v>17</v>
      </c>
      <c r="X24" s="29" t="s">
        <v>17</v>
      </c>
      <c r="Y24" s="29" t="s">
        <v>17</v>
      </c>
      <c r="Z24" s="69" t="s">
        <v>17</v>
      </c>
      <c r="AA24" s="69" t="s">
        <v>17</v>
      </c>
      <c r="AB24" s="69" t="s">
        <v>17</v>
      </c>
      <c r="AC24" s="69" t="s">
        <v>17</v>
      </c>
      <c r="AD24" s="29" t="s">
        <v>17</v>
      </c>
      <c r="AE24" s="69" t="s">
        <v>17</v>
      </c>
      <c r="AF24" s="69" t="s">
        <v>17</v>
      </c>
      <c r="AG24" s="69" t="s">
        <v>17</v>
      </c>
      <c r="AH24" s="69" t="s">
        <v>17</v>
      </c>
      <c r="AI24" s="29" t="s">
        <v>17</v>
      </c>
      <c r="AJ24" s="29" t="s">
        <v>17</v>
      </c>
      <c r="AK24" s="29" t="s">
        <v>17</v>
      </c>
      <c r="AL24" s="69" t="s">
        <v>17</v>
      </c>
      <c r="AM24" s="69" t="s">
        <v>17</v>
      </c>
      <c r="AN24" s="29" t="s">
        <v>17</v>
      </c>
      <c r="AO24" s="29" t="s">
        <v>17</v>
      </c>
      <c r="AP24" s="29" t="s">
        <v>17</v>
      </c>
      <c r="AQ24" s="69" t="s">
        <v>17</v>
      </c>
      <c r="AR24" s="29" t="s">
        <v>17</v>
      </c>
      <c r="AS24" s="29" t="s">
        <v>17</v>
      </c>
      <c r="AT24" s="29" t="s">
        <v>17</v>
      </c>
      <c r="AU24" s="29" t="s">
        <v>17</v>
      </c>
      <c r="AV24" s="29" t="s">
        <v>17</v>
      </c>
      <c r="AW24" s="29" t="s">
        <v>17</v>
      </c>
      <c r="AX24" s="69" t="s">
        <v>17</v>
      </c>
      <c r="AY24" s="69" t="s">
        <v>17</v>
      </c>
      <c r="AZ24" s="69" t="s">
        <v>17</v>
      </c>
      <c r="BA24" s="69" t="s">
        <v>17</v>
      </c>
      <c r="BB24" s="69" t="s">
        <v>17</v>
      </c>
      <c r="BC24" s="69" t="s">
        <v>17</v>
      </c>
      <c r="BD24" s="29"/>
      <c r="BE24" s="40">
        <v>0.875</v>
      </c>
      <c r="BF24" s="1">
        <f t="shared" si="0"/>
        <v>0</v>
      </c>
      <c r="BG24" s="1">
        <f t="shared" si="1"/>
        <v>0</v>
      </c>
      <c r="BH24" s="1">
        <f t="shared" si="2"/>
        <v>0</v>
      </c>
      <c r="BI24" s="1">
        <f t="shared" si="3"/>
        <v>0</v>
      </c>
      <c r="BJ24" s="1">
        <f t="shared" si="4"/>
        <v>0</v>
      </c>
      <c r="BK24" s="1">
        <f t="shared" si="5"/>
        <v>0</v>
      </c>
      <c r="BL24" s="1">
        <f t="shared" si="6"/>
        <v>0</v>
      </c>
      <c r="BN24" s="1">
        <f t="shared" si="7"/>
        <v>48</v>
      </c>
      <c r="BO24" s="1">
        <f t="shared" si="8"/>
        <v>2</v>
      </c>
      <c r="BP24" s="1">
        <f t="shared" si="9"/>
        <v>0</v>
      </c>
      <c r="BQ24" s="1">
        <f t="shared" si="10"/>
        <v>0</v>
      </c>
      <c r="BR24" s="1">
        <f t="shared" si="11"/>
        <v>0</v>
      </c>
    </row>
    <row r="25" spans="1:70" x14ac:dyDescent="0.3">
      <c r="A25" s="36">
        <v>2</v>
      </c>
      <c r="B25" s="39">
        <v>44770.604166666664</v>
      </c>
      <c r="C25" s="38">
        <f t="shared" si="17"/>
        <v>4.1666666664241347E-2</v>
      </c>
      <c r="D25" s="37">
        <f t="shared" si="16"/>
        <v>0.91666666666424135</v>
      </c>
      <c r="E25" s="40">
        <f t="shared" si="14"/>
        <v>0.91666666666424135</v>
      </c>
      <c r="F25" s="69" t="s">
        <v>18</v>
      </c>
      <c r="G25" s="29" t="s">
        <v>17</v>
      </c>
      <c r="H25" s="29" t="s">
        <v>17</v>
      </c>
      <c r="I25" s="29" t="s">
        <v>17</v>
      </c>
      <c r="J25" s="29" t="s">
        <v>17</v>
      </c>
      <c r="K25" s="29" t="s">
        <v>17</v>
      </c>
      <c r="L25" s="29" t="s">
        <v>17</v>
      </c>
      <c r="M25" s="29" t="s">
        <v>17</v>
      </c>
      <c r="N25" s="69" t="s">
        <v>17</v>
      </c>
      <c r="O25" s="29" t="s">
        <v>17</v>
      </c>
      <c r="P25" s="69" t="s">
        <v>18</v>
      </c>
      <c r="Q25" s="69" t="s">
        <v>17</v>
      </c>
      <c r="R25" s="69" t="s">
        <v>17</v>
      </c>
      <c r="S25" s="69" t="s">
        <v>17</v>
      </c>
      <c r="T25" s="29" t="s">
        <v>17</v>
      </c>
      <c r="U25" s="29" t="s">
        <v>17</v>
      </c>
      <c r="V25" s="29" t="s">
        <v>17</v>
      </c>
      <c r="W25" s="29" t="s">
        <v>17</v>
      </c>
      <c r="X25" s="29" t="s">
        <v>17</v>
      </c>
      <c r="Y25" s="29" t="s">
        <v>17</v>
      </c>
      <c r="Z25" s="69" t="s">
        <v>17</v>
      </c>
      <c r="AA25" s="69" t="s">
        <v>17</v>
      </c>
      <c r="AB25" s="69" t="s">
        <v>17</v>
      </c>
      <c r="AC25" s="69" t="s">
        <v>17</v>
      </c>
      <c r="AD25" s="29" t="s">
        <v>17</v>
      </c>
      <c r="AE25" s="69" t="s">
        <v>17</v>
      </c>
      <c r="AF25" s="69" t="s">
        <v>17</v>
      </c>
      <c r="AG25" s="69" t="s">
        <v>17</v>
      </c>
      <c r="AH25" s="69" t="s">
        <v>17</v>
      </c>
      <c r="AI25" s="29" t="s">
        <v>17</v>
      </c>
      <c r="AJ25" s="29" t="s">
        <v>17</v>
      </c>
      <c r="AK25" s="29" t="s">
        <v>17</v>
      </c>
      <c r="AL25" s="69" t="s">
        <v>17</v>
      </c>
      <c r="AM25" s="69" t="s">
        <v>17</v>
      </c>
      <c r="AN25" s="29" t="s">
        <v>17</v>
      </c>
      <c r="AO25" s="29" t="s">
        <v>17</v>
      </c>
      <c r="AP25" s="29" t="s">
        <v>17</v>
      </c>
      <c r="AQ25" s="69" t="s">
        <v>17</v>
      </c>
      <c r="AR25" s="29" t="s">
        <v>17</v>
      </c>
      <c r="AS25" s="29" t="s">
        <v>17</v>
      </c>
      <c r="AT25" s="29" t="s">
        <v>17</v>
      </c>
      <c r="AU25" s="29" t="s">
        <v>17</v>
      </c>
      <c r="AV25" s="29" t="s">
        <v>17</v>
      </c>
      <c r="AW25" s="29" t="s">
        <v>17</v>
      </c>
      <c r="AX25" s="69" t="s">
        <v>17</v>
      </c>
      <c r="AY25" s="69" t="s">
        <v>17</v>
      </c>
      <c r="AZ25" s="69" t="s">
        <v>17</v>
      </c>
      <c r="BA25" s="69" t="s">
        <v>17</v>
      </c>
      <c r="BB25" s="69" t="s">
        <v>17</v>
      </c>
      <c r="BC25" s="69" t="s">
        <v>17</v>
      </c>
      <c r="BD25" s="29"/>
      <c r="BE25" s="40">
        <v>0.91666666666424135</v>
      </c>
      <c r="BF25" s="1">
        <f t="shared" si="0"/>
        <v>0</v>
      </c>
      <c r="BG25" s="1">
        <f t="shared" si="1"/>
        <v>0</v>
      </c>
      <c r="BH25" s="1">
        <f t="shared" si="2"/>
        <v>0</v>
      </c>
      <c r="BI25" s="1">
        <f t="shared" si="3"/>
        <v>0</v>
      </c>
      <c r="BJ25" s="1">
        <f t="shared" si="4"/>
        <v>0</v>
      </c>
      <c r="BK25" s="1">
        <f t="shared" si="5"/>
        <v>0</v>
      </c>
      <c r="BL25" s="1">
        <f t="shared" si="6"/>
        <v>0</v>
      </c>
      <c r="BN25" s="1">
        <f t="shared" si="7"/>
        <v>48</v>
      </c>
      <c r="BO25" s="1">
        <f t="shared" si="8"/>
        <v>2</v>
      </c>
      <c r="BP25" s="1">
        <f t="shared" si="9"/>
        <v>0</v>
      </c>
      <c r="BQ25" s="1">
        <f t="shared" si="10"/>
        <v>0</v>
      </c>
      <c r="BR25" s="1">
        <f t="shared" si="11"/>
        <v>0</v>
      </c>
    </row>
    <row r="26" spans="1:70" x14ac:dyDescent="0.3">
      <c r="A26" s="36">
        <v>2</v>
      </c>
      <c r="B26" s="39">
        <v>44770.645833333336</v>
      </c>
      <c r="C26" s="38">
        <f t="shared" si="17"/>
        <v>4.1666666671517305E-2</v>
      </c>
      <c r="D26" s="37">
        <f t="shared" si="16"/>
        <v>0.95833333333575865</v>
      </c>
      <c r="E26" s="40">
        <f t="shared" si="14"/>
        <v>0.95833333333575865</v>
      </c>
      <c r="F26" s="69" t="s">
        <v>18</v>
      </c>
      <c r="G26" s="29" t="s">
        <v>17</v>
      </c>
      <c r="H26" s="29" t="s">
        <v>17</v>
      </c>
      <c r="I26" s="29" t="s">
        <v>17</v>
      </c>
      <c r="J26" s="29" t="s">
        <v>17</v>
      </c>
      <c r="K26" s="29" t="s">
        <v>17</v>
      </c>
      <c r="L26" s="29" t="s">
        <v>17</v>
      </c>
      <c r="M26" s="29" t="s">
        <v>17</v>
      </c>
      <c r="N26" s="69" t="s">
        <v>17</v>
      </c>
      <c r="O26" s="29" t="s">
        <v>17</v>
      </c>
      <c r="P26" s="69" t="s">
        <v>18</v>
      </c>
      <c r="Q26" s="69" t="s">
        <v>17</v>
      </c>
      <c r="R26" s="69" t="s">
        <v>17</v>
      </c>
      <c r="S26" s="69" t="s">
        <v>17</v>
      </c>
      <c r="T26" s="29" t="s">
        <v>17</v>
      </c>
      <c r="U26" s="29" t="s">
        <v>17</v>
      </c>
      <c r="V26" s="29" t="s">
        <v>17</v>
      </c>
      <c r="W26" s="29" t="s">
        <v>17</v>
      </c>
      <c r="X26" s="29" t="s">
        <v>17</v>
      </c>
      <c r="Y26" s="29" t="s">
        <v>17</v>
      </c>
      <c r="Z26" s="69" t="s">
        <v>17</v>
      </c>
      <c r="AA26" s="69" t="s">
        <v>17</v>
      </c>
      <c r="AB26" s="69" t="s">
        <v>17</v>
      </c>
      <c r="AC26" s="69" t="s">
        <v>17</v>
      </c>
      <c r="AD26" s="29" t="s">
        <v>17</v>
      </c>
      <c r="AE26" s="69" t="s">
        <v>17</v>
      </c>
      <c r="AF26" s="69" t="s">
        <v>17</v>
      </c>
      <c r="AG26" s="69" t="s">
        <v>17</v>
      </c>
      <c r="AH26" s="69" t="s">
        <v>17</v>
      </c>
      <c r="AI26" s="29" t="s">
        <v>17</v>
      </c>
      <c r="AJ26" s="29" t="s">
        <v>17</v>
      </c>
      <c r="AK26" s="29" t="s">
        <v>17</v>
      </c>
      <c r="AL26" s="69" t="s">
        <v>17</v>
      </c>
      <c r="AM26" s="69" t="s">
        <v>17</v>
      </c>
      <c r="AN26" s="29" t="s">
        <v>17</v>
      </c>
      <c r="AO26" s="29" t="s">
        <v>17</v>
      </c>
      <c r="AP26" s="29" t="s">
        <v>17</v>
      </c>
      <c r="AQ26" s="69" t="s">
        <v>17</v>
      </c>
      <c r="AR26" s="29" t="s">
        <v>17</v>
      </c>
      <c r="AS26" s="29" t="s">
        <v>17</v>
      </c>
      <c r="AT26" s="29" t="s">
        <v>17</v>
      </c>
      <c r="AU26" s="29" t="s">
        <v>17</v>
      </c>
      <c r="AV26" s="29" t="s">
        <v>17</v>
      </c>
      <c r="AW26" s="29" t="s">
        <v>17</v>
      </c>
      <c r="AX26" s="69" t="s">
        <v>17</v>
      </c>
      <c r="AY26" s="69" t="s">
        <v>17</v>
      </c>
      <c r="AZ26" s="69" t="s">
        <v>17</v>
      </c>
      <c r="BA26" s="69" t="s">
        <v>17</v>
      </c>
      <c r="BB26" s="69" t="s">
        <v>17</v>
      </c>
      <c r="BC26" s="69" t="s">
        <v>17</v>
      </c>
      <c r="BD26" s="29"/>
      <c r="BE26" s="40">
        <v>0.95833333333575865</v>
      </c>
      <c r="BF26" s="1">
        <f t="shared" si="0"/>
        <v>0</v>
      </c>
      <c r="BG26" s="1">
        <f t="shared" si="1"/>
        <v>0</v>
      </c>
      <c r="BH26" s="1">
        <f t="shared" si="2"/>
        <v>0</v>
      </c>
      <c r="BI26" s="1">
        <f t="shared" si="3"/>
        <v>0</v>
      </c>
      <c r="BJ26" s="1">
        <f t="shared" si="4"/>
        <v>0</v>
      </c>
      <c r="BK26" s="1">
        <f t="shared" si="5"/>
        <v>0</v>
      </c>
      <c r="BL26" s="1">
        <f t="shared" si="6"/>
        <v>0</v>
      </c>
      <c r="BN26" s="1">
        <f t="shared" si="7"/>
        <v>48</v>
      </c>
      <c r="BO26" s="1">
        <f t="shared" si="8"/>
        <v>2</v>
      </c>
      <c r="BP26" s="1">
        <f t="shared" si="9"/>
        <v>0</v>
      </c>
      <c r="BQ26" s="1">
        <f t="shared" si="10"/>
        <v>0</v>
      </c>
      <c r="BR26" s="1">
        <f t="shared" si="11"/>
        <v>0</v>
      </c>
    </row>
    <row r="27" spans="1:70" x14ac:dyDescent="0.3">
      <c r="A27" s="36">
        <v>2</v>
      </c>
      <c r="B27" s="39">
        <v>44770.6875</v>
      </c>
      <c r="C27" s="38">
        <f t="shared" si="17"/>
        <v>4.1666666664241347E-2</v>
      </c>
      <c r="D27" s="37">
        <f t="shared" si="16"/>
        <v>1</v>
      </c>
      <c r="E27" s="40">
        <f t="shared" si="14"/>
        <v>1</v>
      </c>
      <c r="F27" s="69" t="s">
        <v>18</v>
      </c>
      <c r="G27" s="29" t="s">
        <v>17</v>
      </c>
      <c r="H27" s="29" t="s">
        <v>17</v>
      </c>
      <c r="I27" s="29" t="s">
        <v>17</v>
      </c>
      <c r="J27" s="29" t="s">
        <v>17</v>
      </c>
      <c r="K27" s="29" t="s">
        <v>17</v>
      </c>
      <c r="L27" s="29" t="s">
        <v>17</v>
      </c>
      <c r="M27" s="29" t="s">
        <v>17</v>
      </c>
      <c r="N27" s="69" t="s">
        <v>17</v>
      </c>
      <c r="O27" s="29" t="s">
        <v>17</v>
      </c>
      <c r="P27" s="69" t="s">
        <v>18</v>
      </c>
      <c r="Q27" s="29" t="s">
        <v>17</v>
      </c>
      <c r="R27" s="29" t="s">
        <v>17</v>
      </c>
      <c r="S27" s="29" t="s">
        <v>17</v>
      </c>
      <c r="T27" s="29" t="s">
        <v>17</v>
      </c>
      <c r="U27" s="29" t="s">
        <v>17</v>
      </c>
      <c r="V27" s="29" t="s">
        <v>17</v>
      </c>
      <c r="W27" s="29" t="s">
        <v>17</v>
      </c>
      <c r="X27" s="29" t="s">
        <v>17</v>
      </c>
      <c r="Y27" s="29" t="s">
        <v>17</v>
      </c>
      <c r="Z27" s="29" t="s">
        <v>17</v>
      </c>
      <c r="AA27" s="29" t="s">
        <v>17</v>
      </c>
      <c r="AB27" s="29" t="s">
        <v>17</v>
      </c>
      <c r="AC27" s="29" t="s">
        <v>17</v>
      </c>
      <c r="AD27" s="29" t="s">
        <v>17</v>
      </c>
      <c r="AE27" s="29" t="s">
        <v>17</v>
      </c>
      <c r="AF27" s="29" t="s">
        <v>17</v>
      </c>
      <c r="AG27" s="29" t="s">
        <v>17</v>
      </c>
      <c r="AH27" s="29" t="s">
        <v>17</v>
      </c>
      <c r="AI27" s="29" t="s">
        <v>17</v>
      </c>
      <c r="AJ27" s="29" t="s">
        <v>17</v>
      </c>
      <c r="AK27" s="29" t="s">
        <v>17</v>
      </c>
      <c r="AL27" s="29" t="s">
        <v>17</v>
      </c>
      <c r="AM27" s="29" t="s">
        <v>17</v>
      </c>
      <c r="AN27" s="29" t="s">
        <v>17</v>
      </c>
      <c r="AO27" s="29" t="s">
        <v>17</v>
      </c>
      <c r="AP27" s="29" t="s">
        <v>17</v>
      </c>
      <c r="AQ27" s="29" t="s">
        <v>17</v>
      </c>
      <c r="AR27" s="29" t="s">
        <v>17</v>
      </c>
      <c r="AS27" s="29" t="s">
        <v>17</v>
      </c>
      <c r="AT27" s="29" t="s">
        <v>17</v>
      </c>
      <c r="AU27" s="29" t="s">
        <v>17</v>
      </c>
      <c r="AV27" s="29" t="s">
        <v>17</v>
      </c>
      <c r="AW27" s="29" t="s">
        <v>17</v>
      </c>
      <c r="AX27" s="29" t="s">
        <v>17</v>
      </c>
      <c r="AY27" s="29" t="s">
        <v>17</v>
      </c>
      <c r="AZ27" s="29" t="s">
        <v>17</v>
      </c>
      <c r="BA27" s="29" t="s">
        <v>17</v>
      </c>
      <c r="BB27" s="29" t="s">
        <v>17</v>
      </c>
      <c r="BC27" s="29" t="s">
        <v>17</v>
      </c>
      <c r="BD27" s="29"/>
      <c r="BE27" s="40">
        <v>1</v>
      </c>
      <c r="BF27" s="1">
        <f t="shared" si="0"/>
        <v>0</v>
      </c>
      <c r="BG27" s="1">
        <f t="shared" si="1"/>
        <v>0</v>
      </c>
      <c r="BH27" s="1">
        <f t="shared" si="2"/>
        <v>0</v>
      </c>
      <c r="BI27" s="1">
        <f t="shared" si="3"/>
        <v>0</v>
      </c>
      <c r="BJ27" s="1">
        <f t="shared" si="4"/>
        <v>0</v>
      </c>
      <c r="BK27" s="1">
        <f t="shared" si="5"/>
        <v>0</v>
      </c>
      <c r="BL27" s="1">
        <f t="shared" si="6"/>
        <v>0</v>
      </c>
      <c r="BN27" s="1">
        <f t="shared" si="7"/>
        <v>48</v>
      </c>
      <c r="BO27" s="1">
        <f t="shared" si="8"/>
        <v>2</v>
      </c>
      <c r="BP27" s="1">
        <f t="shared" si="9"/>
        <v>0</v>
      </c>
      <c r="BQ27" s="1">
        <f t="shared" si="10"/>
        <v>0</v>
      </c>
      <c r="BR27" s="1">
        <f t="shared" si="11"/>
        <v>0</v>
      </c>
    </row>
    <row r="28" spans="1:70" x14ac:dyDescent="0.3">
      <c r="A28" s="36">
        <v>2</v>
      </c>
      <c r="B28" s="39">
        <v>44770.729166666664</v>
      </c>
      <c r="C28" s="38">
        <f t="shared" si="17"/>
        <v>4.1666666664241347E-2</v>
      </c>
      <c r="D28" s="37">
        <f t="shared" si="16"/>
        <v>1.0416666666642413</v>
      </c>
      <c r="E28" s="40">
        <f t="shared" si="14"/>
        <v>1.0416666666642413</v>
      </c>
      <c r="F28" s="69" t="s">
        <v>18</v>
      </c>
      <c r="G28" s="29" t="s">
        <v>17</v>
      </c>
      <c r="H28" s="29" t="s">
        <v>17</v>
      </c>
      <c r="I28" s="29" t="s">
        <v>17</v>
      </c>
      <c r="J28" s="29" t="s">
        <v>17</v>
      </c>
      <c r="K28" s="29" t="s">
        <v>17</v>
      </c>
      <c r="L28" s="29" t="s">
        <v>17</v>
      </c>
      <c r="M28" s="29" t="s">
        <v>17</v>
      </c>
      <c r="N28" s="69" t="s">
        <v>17</v>
      </c>
      <c r="O28" s="29" t="s">
        <v>17</v>
      </c>
      <c r="P28" s="69" t="s">
        <v>18</v>
      </c>
      <c r="Q28" s="29" t="s">
        <v>17</v>
      </c>
      <c r="R28" s="29" t="s">
        <v>17</v>
      </c>
      <c r="S28" s="29" t="s">
        <v>17</v>
      </c>
      <c r="T28" s="29" t="s">
        <v>17</v>
      </c>
      <c r="U28" s="29" t="s">
        <v>17</v>
      </c>
      <c r="V28" s="29" t="s">
        <v>17</v>
      </c>
      <c r="W28" s="29" t="s">
        <v>17</v>
      </c>
      <c r="X28" s="29" t="s">
        <v>17</v>
      </c>
      <c r="Y28" s="29" t="s">
        <v>17</v>
      </c>
      <c r="Z28" s="29" t="s">
        <v>17</v>
      </c>
      <c r="AA28" s="29" t="s">
        <v>17</v>
      </c>
      <c r="AB28" s="29" t="s">
        <v>17</v>
      </c>
      <c r="AC28" s="29" t="s">
        <v>17</v>
      </c>
      <c r="AD28" s="29" t="s">
        <v>17</v>
      </c>
      <c r="AE28" s="29" t="s">
        <v>17</v>
      </c>
      <c r="AF28" s="29" t="s">
        <v>17</v>
      </c>
      <c r="AG28" s="29" t="s">
        <v>17</v>
      </c>
      <c r="AH28" s="29" t="s">
        <v>17</v>
      </c>
      <c r="AI28" s="29" t="s">
        <v>17</v>
      </c>
      <c r="AJ28" s="29" t="s">
        <v>17</v>
      </c>
      <c r="AK28" s="29" t="s">
        <v>17</v>
      </c>
      <c r="AL28" s="29" t="s">
        <v>17</v>
      </c>
      <c r="AM28" s="29" t="s">
        <v>17</v>
      </c>
      <c r="AN28" s="29" t="s">
        <v>17</v>
      </c>
      <c r="AO28" s="29" t="s">
        <v>17</v>
      </c>
      <c r="AP28" s="29" t="s">
        <v>17</v>
      </c>
      <c r="AQ28" s="29" t="s">
        <v>17</v>
      </c>
      <c r="AR28" s="29" t="s">
        <v>17</v>
      </c>
      <c r="AS28" s="29" t="s">
        <v>17</v>
      </c>
      <c r="AT28" s="29" t="s">
        <v>17</v>
      </c>
      <c r="AU28" s="29" t="s">
        <v>17</v>
      </c>
      <c r="AV28" s="29" t="s">
        <v>17</v>
      </c>
      <c r="AW28" s="29" t="s">
        <v>17</v>
      </c>
      <c r="AX28" s="29" t="s">
        <v>17</v>
      </c>
      <c r="AY28" s="29" t="s">
        <v>17</v>
      </c>
      <c r="AZ28" s="29" t="s">
        <v>17</v>
      </c>
      <c r="BA28" s="29" t="s">
        <v>17</v>
      </c>
      <c r="BB28" s="29" t="s">
        <v>17</v>
      </c>
      <c r="BC28" s="29" t="s">
        <v>17</v>
      </c>
      <c r="BD28" s="29"/>
      <c r="BE28" s="40">
        <v>1.0416666666642413</v>
      </c>
      <c r="BF28" s="1">
        <f t="shared" si="0"/>
        <v>0</v>
      </c>
      <c r="BG28" s="1">
        <f t="shared" si="1"/>
        <v>0</v>
      </c>
      <c r="BH28" s="1">
        <f t="shared" si="2"/>
        <v>0</v>
      </c>
      <c r="BI28" s="1">
        <f t="shared" si="3"/>
        <v>0</v>
      </c>
      <c r="BJ28" s="1">
        <f t="shared" si="4"/>
        <v>0</v>
      </c>
      <c r="BK28" s="1">
        <f t="shared" si="5"/>
        <v>0</v>
      </c>
      <c r="BL28" s="1">
        <f t="shared" si="6"/>
        <v>0</v>
      </c>
      <c r="BN28" s="1">
        <f t="shared" si="7"/>
        <v>48</v>
      </c>
      <c r="BO28" s="1">
        <f t="shared" si="8"/>
        <v>2</v>
      </c>
      <c r="BP28" s="1">
        <f t="shared" si="9"/>
        <v>0</v>
      </c>
      <c r="BQ28" s="1">
        <f t="shared" si="10"/>
        <v>0</v>
      </c>
      <c r="BR28" s="1">
        <f t="shared" si="11"/>
        <v>0</v>
      </c>
    </row>
    <row r="29" spans="1:70" x14ac:dyDescent="0.3">
      <c r="A29" s="36">
        <v>2</v>
      </c>
      <c r="B29" s="39">
        <v>44770.770833333336</v>
      </c>
      <c r="C29" s="38">
        <f t="shared" si="17"/>
        <v>4.1666666671517305E-2</v>
      </c>
      <c r="D29" s="37">
        <f t="shared" si="16"/>
        <v>1.0833333333357587</v>
      </c>
      <c r="E29" s="40">
        <f t="shared" si="14"/>
        <v>1.0833333333357587</v>
      </c>
      <c r="F29" s="69" t="s">
        <v>18</v>
      </c>
      <c r="G29" s="29" t="s">
        <v>17</v>
      </c>
      <c r="H29" s="29" t="s">
        <v>17</v>
      </c>
      <c r="I29" s="29" t="s">
        <v>17</v>
      </c>
      <c r="J29" s="29" t="s">
        <v>17</v>
      </c>
      <c r="K29" s="29" t="s">
        <v>17</v>
      </c>
      <c r="L29" s="29" t="s">
        <v>17</v>
      </c>
      <c r="M29" s="29" t="s">
        <v>17</v>
      </c>
      <c r="N29" s="29" t="s">
        <v>17</v>
      </c>
      <c r="O29" s="29" t="s">
        <v>17</v>
      </c>
      <c r="P29" s="69" t="s">
        <v>18</v>
      </c>
      <c r="Q29" s="29" t="s">
        <v>17</v>
      </c>
      <c r="R29" s="29" t="s">
        <v>17</v>
      </c>
      <c r="S29" s="29" t="s">
        <v>17</v>
      </c>
      <c r="T29" s="29" t="s">
        <v>17</v>
      </c>
      <c r="U29" s="29" t="s">
        <v>17</v>
      </c>
      <c r="V29" s="29" t="s">
        <v>17</v>
      </c>
      <c r="W29" s="29" t="s">
        <v>17</v>
      </c>
      <c r="X29" s="29" t="s">
        <v>17</v>
      </c>
      <c r="Y29" s="29" t="s">
        <v>17</v>
      </c>
      <c r="Z29" s="29" t="s">
        <v>17</v>
      </c>
      <c r="AA29" s="29" t="s">
        <v>17</v>
      </c>
      <c r="AB29" s="29" t="s">
        <v>17</v>
      </c>
      <c r="AC29" s="29" t="s">
        <v>17</v>
      </c>
      <c r="AD29" s="29" t="s">
        <v>17</v>
      </c>
      <c r="AE29" s="29" t="s">
        <v>17</v>
      </c>
      <c r="AF29" s="29" t="s">
        <v>17</v>
      </c>
      <c r="AG29" s="29" t="s">
        <v>17</v>
      </c>
      <c r="AH29" s="29" t="s">
        <v>17</v>
      </c>
      <c r="AI29" s="29" t="s">
        <v>17</v>
      </c>
      <c r="AJ29" s="29" t="s">
        <v>17</v>
      </c>
      <c r="AK29" s="29" t="s">
        <v>17</v>
      </c>
      <c r="AL29" s="29" t="s">
        <v>17</v>
      </c>
      <c r="AM29" s="29" t="s">
        <v>17</v>
      </c>
      <c r="AN29" s="29" t="s">
        <v>17</v>
      </c>
      <c r="AO29" s="29" t="s">
        <v>17</v>
      </c>
      <c r="AP29" s="29" t="s">
        <v>17</v>
      </c>
      <c r="AQ29" s="29" t="s">
        <v>17</v>
      </c>
      <c r="AR29" s="29" t="s">
        <v>17</v>
      </c>
      <c r="AS29" s="29" t="s">
        <v>17</v>
      </c>
      <c r="AT29" s="29" t="s">
        <v>17</v>
      </c>
      <c r="AU29" s="29" t="s">
        <v>17</v>
      </c>
      <c r="AV29" s="29" t="s">
        <v>17</v>
      </c>
      <c r="AW29" s="29" t="s">
        <v>17</v>
      </c>
      <c r="AX29" s="29" t="s">
        <v>17</v>
      </c>
      <c r="AY29" s="29" t="s">
        <v>17</v>
      </c>
      <c r="AZ29" s="29" t="s">
        <v>17</v>
      </c>
      <c r="BA29" s="29" t="s">
        <v>17</v>
      </c>
      <c r="BB29" s="29" t="s">
        <v>17</v>
      </c>
      <c r="BC29" s="29" t="s">
        <v>17</v>
      </c>
      <c r="BD29" s="29"/>
      <c r="BE29" s="40">
        <v>1.0833333333357587</v>
      </c>
      <c r="BF29" s="1">
        <f t="shared" si="0"/>
        <v>0</v>
      </c>
      <c r="BG29" s="1">
        <f t="shared" si="1"/>
        <v>0</v>
      </c>
      <c r="BH29" s="1">
        <f t="shared" si="2"/>
        <v>0</v>
      </c>
      <c r="BI29" s="1">
        <f t="shared" si="3"/>
        <v>0</v>
      </c>
      <c r="BJ29" s="1">
        <f t="shared" si="4"/>
        <v>0</v>
      </c>
      <c r="BK29" s="1">
        <f t="shared" si="5"/>
        <v>0</v>
      </c>
      <c r="BL29" s="1">
        <f t="shared" si="6"/>
        <v>0</v>
      </c>
      <c r="BN29" s="1">
        <f t="shared" si="7"/>
        <v>48</v>
      </c>
      <c r="BO29" s="1">
        <f t="shared" si="8"/>
        <v>2</v>
      </c>
      <c r="BP29" s="1">
        <f t="shared" si="9"/>
        <v>0</v>
      </c>
      <c r="BQ29" s="1">
        <f t="shared" si="10"/>
        <v>0</v>
      </c>
      <c r="BR29" s="1">
        <f t="shared" si="11"/>
        <v>0</v>
      </c>
    </row>
    <row r="30" spans="1:70" x14ac:dyDescent="0.3">
      <c r="A30" s="36">
        <v>2</v>
      </c>
      <c r="B30" s="39">
        <v>44770.8125</v>
      </c>
      <c r="C30" s="38">
        <f t="shared" si="17"/>
        <v>4.1666666664241347E-2</v>
      </c>
      <c r="D30" s="37">
        <f t="shared" si="16"/>
        <v>1.125</v>
      </c>
      <c r="E30" s="40">
        <f t="shared" si="14"/>
        <v>1.125</v>
      </c>
      <c r="F30" s="69" t="s">
        <v>18</v>
      </c>
      <c r="G30" s="29" t="s">
        <v>17</v>
      </c>
      <c r="H30" s="29" t="s">
        <v>17</v>
      </c>
      <c r="I30" s="29" t="s">
        <v>17</v>
      </c>
      <c r="J30" s="29" t="s">
        <v>17</v>
      </c>
      <c r="K30" s="29" t="s">
        <v>17</v>
      </c>
      <c r="L30" s="29" t="s">
        <v>17</v>
      </c>
      <c r="M30" s="29" t="s">
        <v>17</v>
      </c>
      <c r="N30" s="29" t="s">
        <v>17</v>
      </c>
      <c r="O30" s="29" t="s">
        <v>17</v>
      </c>
      <c r="P30" s="69" t="s">
        <v>18</v>
      </c>
      <c r="Q30" s="29" t="s">
        <v>17</v>
      </c>
      <c r="R30" s="29" t="s">
        <v>17</v>
      </c>
      <c r="S30" s="29" t="s">
        <v>17</v>
      </c>
      <c r="T30" s="29" t="s">
        <v>17</v>
      </c>
      <c r="U30" s="29" t="s">
        <v>17</v>
      </c>
      <c r="V30" s="29" t="s">
        <v>17</v>
      </c>
      <c r="W30" s="29" t="s">
        <v>17</v>
      </c>
      <c r="X30" s="29" t="s">
        <v>17</v>
      </c>
      <c r="Y30" s="29" t="s">
        <v>17</v>
      </c>
      <c r="Z30" s="29" t="s">
        <v>17</v>
      </c>
      <c r="AA30" s="29" t="s">
        <v>17</v>
      </c>
      <c r="AB30" s="29" t="s">
        <v>17</v>
      </c>
      <c r="AC30" s="29" t="s">
        <v>17</v>
      </c>
      <c r="AD30" s="29" t="s">
        <v>17</v>
      </c>
      <c r="AE30" s="29" t="s">
        <v>17</v>
      </c>
      <c r="AF30" s="29" t="s">
        <v>17</v>
      </c>
      <c r="AG30" s="29" t="s">
        <v>17</v>
      </c>
      <c r="AH30" s="29" t="s">
        <v>17</v>
      </c>
      <c r="AI30" s="29" t="s">
        <v>17</v>
      </c>
      <c r="AJ30" s="29" t="s">
        <v>17</v>
      </c>
      <c r="AK30" s="29" t="s">
        <v>17</v>
      </c>
      <c r="AL30" s="29" t="s">
        <v>17</v>
      </c>
      <c r="AM30" s="29" t="s">
        <v>17</v>
      </c>
      <c r="AN30" s="29" t="s">
        <v>17</v>
      </c>
      <c r="AO30" s="29" t="s">
        <v>17</v>
      </c>
      <c r="AP30" s="29" t="s">
        <v>17</v>
      </c>
      <c r="AQ30" s="29" t="s">
        <v>17</v>
      </c>
      <c r="AR30" s="29" t="s">
        <v>17</v>
      </c>
      <c r="AS30" s="29" t="s">
        <v>17</v>
      </c>
      <c r="AT30" s="29" t="s">
        <v>17</v>
      </c>
      <c r="AU30" s="29" t="s">
        <v>17</v>
      </c>
      <c r="AV30" s="29" t="s">
        <v>17</v>
      </c>
      <c r="AW30" s="29" t="s">
        <v>17</v>
      </c>
      <c r="AX30" s="29" t="s">
        <v>17</v>
      </c>
      <c r="AY30" s="29" t="s">
        <v>17</v>
      </c>
      <c r="AZ30" s="29" t="s">
        <v>17</v>
      </c>
      <c r="BA30" s="29" t="s">
        <v>17</v>
      </c>
      <c r="BB30" s="29" t="s">
        <v>17</v>
      </c>
      <c r="BC30" s="29" t="s">
        <v>17</v>
      </c>
      <c r="BD30" s="29"/>
      <c r="BE30" s="40">
        <v>1.125</v>
      </c>
      <c r="BF30" s="1">
        <f t="shared" si="0"/>
        <v>0</v>
      </c>
      <c r="BG30" s="1">
        <f t="shared" si="1"/>
        <v>0</v>
      </c>
      <c r="BH30" s="1">
        <f t="shared" si="2"/>
        <v>0</v>
      </c>
      <c r="BI30" s="1">
        <f t="shared" si="3"/>
        <v>0</v>
      </c>
      <c r="BJ30" s="1">
        <f t="shared" si="4"/>
        <v>0</v>
      </c>
      <c r="BK30" s="1">
        <f t="shared" si="5"/>
        <v>0</v>
      </c>
      <c r="BL30" s="1">
        <f t="shared" si="6"/>
        <v>0</v>
      </c>
      <c r="BN30" s="1">
        <f t="shared" si="7"/>
        <v>48</v>
      </c>
      <c r="BO30" s="1">
        <f t="shared" si="8"/>
        <v>2</v>
      </c>
      <c r="BP30" s="1">
        <f t="shared" si="9"/>
        <v>0</v>
      </c>
      <c r="BQ30" s="1">
        <f t="shared" si="10"/>
        <v>0</v>
      </c>
      <c r="BR30" s="1">
        <f t="shared" si="11"/>
        <v>0</v>
      </c>
    </row>
    <row r="31" spans="1:70" x14ac:dyDescent="0.3">
      <c r="A31" s="36">
        <v>2</v>
      </c>
      <c r="B31" s="39">
        <v>44770.854166666664</v>
      </c>
      <c r="C31" s="38">
        <f t="shared" si="17"/>
        <v>4.1666666664241347E-2</v>
      </c>
      <c r="D31" s="37">
        <f t="shared" si="16"/>
        <v>1.1666666666642413</v>
      </c>
      <c r="E31" s="40">
        <f t="shared" si="14"/>
        <v>1.1666666666642413</v>
      </c>
      <c r="F31" s="69" t="s">
        <v>18</v>
      </c>
      <c r="G31" s="29" t="s">
        <v>17</v>
      </c>
      <c r="H31" s="29" t="s">
        <v>17</v>
      </c>
      <c r="I31" s="29" t="s">
        <v>17</v>
      </c>
      <c r="J31" s="29" t="s">
        <v>17</v>
      </c>
      <c r="K31" s="29" t="s">
        <v>17</v>
      </c>
      <c r="L31" s="29" t="s">
        <v>17</v>
      </c>
      <c r="M31" s="29" t="s">
        <v>17</v>
      </c>
      <c r="N31" s="29" t="s">
        <v>17</v>
      </c>
      <c r="O31" s="29" t="s">
        <v>17</v>
      </c>
      <c r="P31" s="69" t="s">
        <v>18</v>
      </c>
      <c r="Q31" s="29" t="s">
        <v>17</v>
      </c>
      <c r="R31" s="29" t="s">
        <v>17</v>
      </c>
      <c r="S31" s="29" t="s">
        <v>17</v>
      </c>
      <c r="T31" s="29" t="s">
        <v>17</v>
      </c>
      <c r="U31" s="29" t="s">
        <v>17</v>
      </c>
      <c r="V31" s="29" t="s">
        <v>17</v>
      </c>
      <c r="W31" s="29" t="s">
        <v>17</v>
      </c>
      <c r="X31" s="29" t="s">
        <v>17</v>
      </c>
      <c r="Y31" s="29" t="s">
        <v>17</v>
      </c>
      <c r="Z31" s="29" t="s">
        <v>17</v>
      </c>
      <c r="AA31" s="29" t="s">
        <v>17</v>
      </c>
      <c r="AB31" s="29" t="s">
        <v>17</v>
      </c>
      <c r="AC31" s="29" t="s">
        <v>17</v>
      </c>
      <c r="AD31" s="29" t="s">
        <v>17</v>
      </c>
      <c r="AE31" s="29" t="s">
        <v>17</v>
      </c>
      <c r="AF31" s="29" t="s">
        <v>17</v>
      </c>
      <c r="AG31" s="29" t="s">
        <v>17</v>
      </c>
      <c r="AH31" s="29" t="s">
        <v>17</v>
      </c>
      <c r="AI31" s="29" t="s">
        <v>17</v>
      </c>
      <c r="AJ31" s="29" t="s">
        <v>17</v>
      </c>
      <c r="AK31" s="29" t="s">
        <v>17</v>
      </c>
      <c r="AL31" s="29" t="s">
        <v>17</v>
      </c>
      <c r="AM31" s="29" t="s">
        <v>17</v>
      </c>
      <c r="AN31" s="29" t="s">
        <v>17</v>
      </c>
      <c r="AO31" s="29" t="s">
        <v>17</v>
      </c>
      <c r="AP31" s="29" t="s">
        <v>17</v>
      </c>
      <c r="AQ31" s="29" t="s">
        <v>17</v>
      </c>
      <c r="AR31" s="29" t="s">
        <v>17</v>
      </c>
      <c r="AS31" s="29" t="s">
        <v>17</v>
      </c>
      <c r="AT31" s="29" t="s">
        <v>17</v>
      </c>
      <c r="AU31" s="29" t="s">
        <v>17</v>
      </c>
      <c r="AV31" s="29" t="s">
        <v>17</v>
      </c>
      <c r="AW31" s="29" t="s">
        <v>17</v>
      </c>
      <c r="AX31" s="29" t="s">
        <v>17</v>
      </c>
      <c r="AY31" s="29" t="s">
        <v>17</v>
      </c>
      <c r="AZ31" s="29" t="s">
        <v>17</v>
      </c>
      <c r="BA31" s="29" t="s">
        <v>17</v>
      </c>
      <c r="BB31" s="29" t="s">
        <v>17</v>
      </c>
      <c r="BC31" s="29" t="s">
        <v>17</v>
      </c>
      <c r="BD31" s="29"/>
      <c r="BE31" s="40">
        <v>1.1666666666642413</v>
      </c>
      <c r="BF31" s="1">
        <f t="shared" si="0"/>
        <v>0</v>
      </c>
      <c r="BG31" s="1">
        <f t="shared" si="1"/>
        <v>0</v>
      </c>
      <c r="BH31" s="1">
        <f t="shared" si="2"/>
        <v>0</v>
      </c>
      <c r="BI31" s="1">
        <f t="shared" si="3"/>
        <v>0</v>
      </c>
      <c r="BJ31" s="1">
        <f t="shared" si="4"/>
        <v>0</v>
      </c>
      <c r="BK31" s="1">
        <f t="shared" si="5"/>
        <v>0</v>
      </c>
      <c r="BL31" s="1">
        <f t="shared" si="6"/>
        <v>0</v>
      </c>
      <c r="BN31" s="1">
        <f t="shared" si="7"/>
        <v>48</v>
      </c>
      <c r="BO31" s="1">
        <f t="shared" si="8"/>
        <v>2</v>
      </c>
      <c r="BP31" s="1">
        <f t="shared" si="9"/>
        <v>0</v>
      </c>
      <c r="BQ31" s="1">
        <f t="shared" si="10"/>
        <v>0</v>
      </c>
      <c r="BR31" s="1">
        <f t="shared" si="11"/>
        <v>0</v>
      </c>
    </row>
    <row r="32" spans="1:70" x14ac:dyDescent="0.3">
      <c r="A32" s="36">
        <v>2</v>
      </c>
      <c r="B32" s="39">
        <v>44770.895833333336</v>
      </c>
      <c r="C32" s="38">
        <f t="shared" si="17"/>
        <v>4.1666666671517305E-2</v>
      </c>
      <c r="D32" s="37">
        <f t="shared" si="16"/>
        <v>1.2083333333357587</v>
      </c>
      <c r="E32" s="40">
        <f t="shared" si="14"/>
        <v>1.2083333333357587</v>
      </c>
      <c r="F32" s="69" t="s">
        <v>18</v>
      </c>
      <c r="G32" s="29" t="s">
        <v>17</v>
      </c>
      <c r="H32" s="29" t="s">
        <v>17</v>
      </c>
      <c r="I32" s="29" t="s">
        <v>17</v>
      </c>
      <c r="J32" s="29" t="s">
        <v>17</v>
      </c>
      <c r="K32" s="29" t="s">
        <v>17</v>
      </c>
      <c r="L32" s="29" t="s">
        <v>17</v>
      </c>
      <c r="M32" s="29" t="s">
        <v>17</v>
      </c>
      <c r="N32" s="29" t="s">
        <v>17</v>
      </c>
      <c r="O32" s="29" t="s">
        <v>17</v>
      </c>
      <c r="P32" s="69" t="s">
        <v>18</v>
      </c>
      <c r="Q32" s="29" t="s">
        <v>17</v>
      </c>
      <c r="R32" s="29" t="s">
        <v>17</v>
      </c>
      <c r="S32" s="29" t="s">
        <v>17</v>
      </c>
      <c r="T32" s="29" t="s">
        <v>17</v>
      </c>
      <c r="U32" s="29" t="s">
        <v>17</v>
      </c>
      <c r="V32" s="29" t="s">
        <v>17</v>
      </c>
      <c r="W32" s="29" t="s">
        <v>17</v>
      </c>
      <c r="X32" s="29" t="s">
        <v>17</v>
      </c>
      <c r="Y32" s="29" t="s">
        <v>17</v>
      </c>
      <c r="Z32" s="29" t="s">
        <v>17</v>
      </c>
      <c r="AA32" s="29" t="s">
        <v>17</v>
      </c>
      <c r="AB32" s="29" t="s">
        <v>17</v>
      </c>
      <c r="AC32" s="29" t="s">
        <v>17</v>
      </c>
      <c r="AD32" s="29" t="s">
        <v>17</v>
      </c>
      <c r="AE32" s="29" t="s">
        <v>17</v>
      </c>
      <c r="AF32" s="29" t="s">
        <v>17</v>
      </c>
      <c r="AG32" s="29" t="s">
        <v>17</v>
      </c>
      <c r="AH32" s="29" t="s">
        <v>17</v>
      </c>
      <c r="AI32" s="29" t="s">
        <v>17</v>
      </c>
      <c r="AJ32" s="29" t="s">
        <v>17</v>
      </c>
      <c r="AK32" s="29" t="s">
        <v>17</v>
      </c>
      <c r="AL32" s="29" t="s">
        <v>17</v>
      </c>
      <c r="AM32" s="29" t="s">
        <v>17</v>
      </c>
      <c r="AN32" s="29" t="s">
        <v>17</v>
      </c>
      <c r="AO32" s="29" t="s">
        <v>17</v>
      </c>
      <c r="AP32" s="29" t="s">
        <v>17</v>
      </c>
      <c r="AQ32" s="29" t="s">
        <v>17</v>
      </c>
      <c r="AR32" s="29" t="s">
        <v>17</v>
      </c>
      <c r="AS32" s="29" t="s">
        <v>17</v>
      </c>
      <c r="AT32" s="29" t="s">
        <v>17</v>
      </c>
      <c r="AU32" s="29" t="s">
        <v>17</v>
      </c>
      <c r="AV32" s="29" t="s">
        <v>17</v>
      </c>
      <c r="AW32" s="29" t="s">
        <v>17</v>
      </c>
      <c r="AX32" s="29" t="s">
        <v>17</v>
      </c>
      <c r="AY32" s="29" t="s">
        <v>17</v>
      </c>
      <c r="AZ32" s="29" t="s">
        <v>17</v>
      </c>
      <c r="BA32" s="29" t="s">
        <v>17</v>
      </c>
      <c r="BB32" s="29" t="s">
        <v>17</v>
      </c>
      <c r="BC32" s="29" t="s">
        <v>17</v>
      </c>
      <c r="BD32" s="29"/>
      <c r="BE32" s="40">
        <v>1.2083333333357587</v>
      </c>
      <c r="BF32" s="1">
        <f t="shared" si="0"/>
        <v>0</v>
      </c>
      <c r="BG32" s="1">
        <f t="shared" si="1"/>
        <v>0</v>
      </c>
      <c r="BH32" s="1">
        <f t="shared" si="2"/>
        <v>0</v>
      </c>
      <c r="BI32" s="1">
        <f t="shared" si="3"/>
        <v>0</v>
      </c>
      <c r="BJ32" s="1">
        <f t="shared" si="4"/>
        <v>0</v>
      </c>
      <c r="BK32" s="1">
        <f t="shared" si="5"/>
        <v>0</v>
      </c>
      <c r="BL32" s="1">
        <f t="shared" si="6"/>
        <v>0</v>
      </c>
      <c r="BN32" s="1">
        <f t="shared" si="7"/>
        <v>48</v>
      </c>
      <c r="BO32" s="1">
        <f t="shared" si="8"/>
        <v>2</v>
      </c>
      <c r="BP32" s="1">
        <f t="shared" si="9"/>
        <v>0</v>
      </c>
      <c r="BQ32" s="1">
        <f t="shared" si="10"/>
        <v>0</v>
      </c>
      <c r="BR32" s="1">
        <f t="shared" si="11"/>
        <v>0</v>
      </c>
    </row>
    <row r="33" spans="1:70" x14ac:dyDescent="0.3">
      <c r="A33" s="36">
        <v>2</v>
      </c>
      <c r="B33" s="39">
        <v>44770.9375</v>
      </c>
      <c r="C33" s="38">
        <f t="shared" si="17"/>
        <v>4.1666666664241347E-2</v>
      </c>
      <c r="D33" s="37">
        <f t="shared" si="16"/>
        <v>1.25</v>
      </c>
      <c r="E33" s="40">
        <f t="shared" si="14"/>
        <v>1.25</v>
      </c>
      <c r="F33" s="69" t="s">
        <v>18</v>
      </c>
      <c r="G33" s="29" t="s">
        <v>17</v>
      </c>
      <c r="H33" s="29" t="s">
        <v>17</v>
      </c>
      <c r="I33" s="29" t="s">
        <v>17</v>
      </c>
      <c r="J33" s="29" t="s">
        <v>17</v>
      </c>
      <c r="K33" s="29" t="s">
        <v>17</v>
      </c>
      <c r="L33" s="29" t="s">
        <v>17</v>
      </c>
      <c r="M33" s="29" t="s">
        <v>17</v>
      </c>
      <c r="N33" s="29" t="s">
        <v>17</v>
      </c>
      <c r="O33" s="29" t="s">
        <v>17</v>
      </c>
      <c r="P33" s="69" t="s">
        <v>18</v>
      </c>
      <c r="Q33" s="29" t="s">
        <v>17</v>
      </c>
      <c r="R33" s="29" t="s">
        <v>17</v>
      </c>
      <c r="S33" s="29" t="s">
        <v>17</v>
      </c>
      <c r="T33" s="29" t="s">
        <v>17</v>
      </c>
      <c r="U33" s="29" t="s">
        <v>17</v>
      </c>
      <c r="V33" s="29" t="s">
        <v>17</v>
      </c>
      <c r="W33" s="29" t="s">
        <v>17</v>
      </c>
      <c r="X33" s="29" t="s">
        <v>17</v>
      </c>
      <c r="Y33" s="29" t="s">
        <v>17</v>
      </c>
      <c r="Z33" s="29" t="s">
        <v>17</v>
      </c>
      <c r="AA33" s="29" t="s">
        <v>17</v>
      </c>
      <c r="AB33" s="29" t="s">
        <v>17</v>
      </c>
      <c r="AC33" s="29" t="s">
        <v>17</v>
      </c>
      <c r="AD33" s="29" t="s">
        <v>17</v>
      </c>
      <c r="AE33" s="29" t="s">
        <v>17</v>
      </c>
      <c r="AF33" s="29" t="s">
        <v>17</v>
      </c>
      <c r="AG33" s="29" t="s">
        <v>17</v>
      </c>
      <c r="AH33" s="29" t="s">
        <v>17</v>
      </c>
      <c r="AI33" s="29" t="s">
        <v>17</v>
      </c>
      <c r="AJ33" s="29" t="s">
        <v>17</v>
      </c>
      <c r="AK33" s="29" t="s">
        <v>17</v>
      </c>
      <c r="AL33" s="29" t="s">
        <v>17</v>
      </c>
      <c r="AM33" s="29" t="s">
        <v>17</v>
      </c>
      <c r="AN33" s="29" t="s">
        <v>17</v>
      </c>
      <c r="AO33" s="29" t="s">
        <v>17</v>
      </c>
      <c r="AP33" s="29" t="s">
        <v>17</v>
      </c>
      <c r="AQ33" s="29" t="s">
        <v>17</v>
      </c>
      <c r="AR33" s="29" t="s">
        <v>17</v>
      </c>
      <c r="AS33" s="29" t="s">
        <v>17</v>
      </c>
      <c r="AT33" s="29" t="s">
        <v>17</v>
      </c>
      <c r="AU33" s="29" t="s">
        <v>17</v>
      </c>
      <c r="AV33" s="29" t="s">
        <v>17</v>
      </c>
      <c r="AW33" s="29" t="s">
        <v>17</v>
      </c>
      <c r="AX33" s="29" t="s">
        <v>17</v>
      </c>
      <c r="AY33" s="29" t="s">
        <v>17</v>
      </c>
      <c r="AZ33" s="29" t="s">
        <v>17</v>
      </c>
      <c r="BA33" s="29" t="s">
        <v>17</v>
      </c>
      <c r="BB33" s="29" t="s">
        <v>17</v>
      </c>
      <c r="BC33" s="29" t="s">
        <v>17</v>
      </c>
      <c r="BD33" s="29"/>
      <c r="BE33" s="40">
        <v>1.25</v>
      </c>
      <c r="BF33" s="1">
        <f t="shared" si="0"/>
        <v>0</v>
      </c>
      <c r="BG33" s="1">
        <f t="shared" si="1"/>
        <v>0</v>
      </c>
      <c r="BH33" s="1">
        <f t="shared" si="2"/>
        <v>0</v>
      </c>
      <c r="BI33" s="1">
        <f t="shared" si="3"/>
        <v>0</v>
      </c>
      <c r="BJ33" s="1">
        <f t="shared" si="4"/>
        <v>0</v>
      </c>
      <c r="BK33" s="1">
        <f t="shared" si="5"/>
        <v>0</v>
      </c>
      <c r="BL33" s="1">
        <f t="shared" si="6"/>
        <v>0</v>
      </c>
      <c r="BN33" s="1">
        <f t="shared" si="7"/>
        <v>48</v>
      </c>
      <c r="BO33" s="1">
        <f t="shared" si="8"/>
        <v>2</v>
      </c>
      <c r="BP33" s="1">
        <f t="shared" si="9"/>
        <v>0</v>
      </c>
      <c r="BQ33" s="1">
        <f t="shared" si="10"/>
        <v>0</v>
      </c>
      <c r="BR33" s="1">
        <f t="shared" si="11"/>
        <v>0</v>
      </c>
    </row>
    <row r="34" spans="1:70" x14ac:dyDescent="0.3">
      <c r="A34" s="36">
        <v>2</v>
      </c>
      <c r="B34" s="39">
        <v>44770.979166666664</v>
      </c>
      <c r="C34" s="38">
        <f t="shared" si="17"/>
        <v>4.1666666664241347E-2</v>
      </c>
      <c r="D34" s="37">
        <f t="shared" si="16"/>
        <v>1.2916666666642413</v>
      </c>
      <c r="E34" s="40">
        <f t="shared" si="14"/>
        <v>1.2916666666642413</v>
      </c>
      <c r="F34" s="69" t="s">
        <v>18</v>
      </c>
      <c r="G34" s="29" t="s">
        <v>17</v>
      </c>
      <c r="H34" s="29" t="s">
        <v>17</v>
      </c>
      <c r="I34" s="29" t="s">
        <v>17</v>
      </c>
      <c r="J34" s="29" t="s">
        <v>17</v>
      </c>
      <c r="K34" s="29" t="s">
        <v>17</v>
      </c>
      <c r="L34" s="29" t="s">
        <v>17</v>
      </c>
      <c r="M34" s="29" t="s">
        <v>17</v>
      </c>
      <c r="N34" s="29" t="s">
        <v>17</v>
      </c>
      <c r="O34" s="29" t="s">
        <v>17</v>
      </c>
      <c r="P34" s="69" t="s">
        <v>18</v>
      </c>
      <c r="Q34" s="29" t="s">
        <v>17</v>
      </c>
      <c r="R34" s="29" t="s">
        <v>17</v>
      </c>
      <c r="S34" s="29" t="s">
        <v>17</v>
      </c>
      <c r="T34" s="29" t="s">
        <v>17</v>
      </c>
      <c r="U34" s="29" t="s">
        <v>17</v>
      </c>
      <c r="V34" s="29" t="s">
        <v>17</v>
      </c>
      <c r="W34" s="29" t="s">
        <v>17</v>
      </c>
      <c r="X34" s="29" t="s">
        <v>17</v>
      </c>
      <c r="Y34" s="29" t="s">
        <v>17</v>
      </c>
      <c r="Z34" s="29" t="s">
        <v>17</v>
      </c>
      <c r="AA34" s="29" t="s">
        <v>17</v>
      </c>
      <c r="AB34" s="29" t="s">
        <v>17</v>
      </c>
      <c r="AC34" s="29" t="s">
        <v>17</v>
      </c>
      <c r="AD34" s="29" t="s">
        <v>17</v>
      </c>
      <c r="AE34" s="29" t="s">
        <v>17</v>
      </c>
      <c r="AF34" s="29" t="s">
        <v>17</v>
      </c>
      <c r="AG34" s="29" t="s">
        <v>17</v>
      </c>
      <c r="AH34" s="29" t="s">
        <v>17</v>
      </c>
      <c r="AI34" s="29" t="s">
        <v>17</v>
      </c>
      <c r="AJ34" s="29" t="s">
        <v>17</v>
      </c>
      <c r="AK34" s="29" t="s">
        <v>17</v>
      </c>
      <c r="AL34" s="29" t="s">
        <v>17</v>
      </c>
      <c r="AM34" s="29" t="s">
        <v>17</v>
      </c>
      <c r="AN34" s="29" t="s">
        <v>17</v>
      </c>
      <c r="AO34" s="29" t="s">
        <v>17</v>
      </c>
      <c r="AP34" s="29" t="s">
        <v>17</v>
      </c>
      <c r="AQ34" s="29" t="s">
        <v>17</v>
      </c>
      <c r="AR34" s="29" t="s">
        <v>17</v>
      </c>
      <c r="AS34" s="29" t="s">
        <v>17</v>
      </c>
      <c r="AT34" s="29" t="s">
        <v>17</v>
      </c>
      <c r="AU34" s="29" t="s">
        <v>17</v>
      </c>
      <c r="AV34" s="29" t="s">
        <v>17</v>
      </c>
      <c r="AW34" s="29" t="s">
        <v>17</v>
      </c>
      <c r="AX34" s="29" t="s">
        <v>17</v>
      </c>
      <c r="AY34" s="29" t="s">
        <v>17</v>
      </c>
      <c r="AZ34" s="29" t="s">
        <v>17</v>
      </c>
      <c r="BA34" s="29" t="s">
        <v>17</v>
      </c>
      <c r="BB34" s="29" t="s">
        <v>17</v>
      </c>
      <c r="BC34" s="29" t="s">
        <v>17</v>
      </c>
      <c r="BD34" s="29"/>
      <c r="BE34" s="40">
        <v>1.2916666666642413</v>
      </c>
      <c r="BF34" s="1">
        <f t="shared" si="0"/>
        <v>0</v>
      </c>
      <c r="BG34" s="1">
        <f t="shared" si="1"/>
        <v>0</v>
      </c>
      <c r="BH34" s="1">
        <f t="shared" si="2"/>
        <v>0</v>
      </c>
      <c r="BI34" s="1">
        <f t="shared" si="3"/>
        <v>0</v>
      </c>
      <c r="BJ34" s="1">
        <f t="shared" si="4"/>
        <v>0</v>
      </c>
      <c r="BK34" s="1">
        <f t="shared" si="5"/>
        <v>0</v>
      </c>
      <c r="BL34" s="1">
        <f t="shared" si="6"/>
        <v>0</v>
      </c>
      <c r="BN34" s="1">
        <f t="shared" si="7"/>
        <v>48</v>
      </c>
      <c r="BO34" s="1">
        <f t="shared" si="8"/>
        <v>2</v>
      </c>
      <c r="BP34" s="1">
        <f t="shared" si="9"/>
        <v>0</v>
      </c>
      <c r="BQ34" s="1">
        <f t="shared" si="10"/>
        <v>0</v>
      </c>
      <c r="BR34" s="1">
        <f t="shared" si="11"/>
        <v>0</v>
      </c>
    </row>
    <row r="35" spans="1:70" x14ac:dyDescent="0.3">
      <c r="A35" s="36">
        <v>3</v>
      </c>
      <c r="B35" s="39">
        <v>44771.020833333336</v>
      </c>
      <c r="C35" s="38">
        <f t="shared" si="17"/>
        <v>4.1666666671517305E-2</v>
      </c>
      <c r="D35" s="37">
        <f t="shared" si="16"/>
        <v>1.3333333333357587</v>
      </c>
      <c r="E35" s="40">
        <f t="shared" si="14"/>
        <v>1.3333333333357587</v>
      </c>
      <c r="F35" s="69" t="s">
        <v>18</v>
      </c>
      <c r="G35" s="29" t="s">
        <v>17</v>
      </c>
      <c r="H35" s="29" t="s">
        <v>17</v>
      </c>
      <c r="I35" s="29" t="s">
        <v>17</v>
      </c>
      <c r="J35" s="29" t="s">
        <v>17</v>
      </c>
      <c r="K35" s="29" t="s">
        <v>17</v>
      </c>
      <c r="L35" s="29" t="s">
        <v>17</v>
      </c>
      <c r="M35" s="29" t="s">
        <v>17</v>
      </c>
      <c r="N35" s="29" t="s">
        <v>17</v>
      </c>
      <c r="O35" s="29" t="s">
        <v>17</v>
      </c>
      <c r="P35" s="69" t="s">
        <v>18</v>
      </c>
      <c r="Q35" s="29" t="s">
        <v>17</v>
      </c>
      <c r="R35" s="29" t="s">
        <v>17</v>
      </c>
      <c r="S35" s="29" t="s">
        <v>17</v>
      </c>
      <c r="T35" s="29" t="s">
        <v>17</v>
      </c>
      <c r="U35" s="29" t="s">
        <v>17</v>
      </c>
      <c r="V35" s="29" t="s">
        <v>17</v>
      </c>
      <c r="W35" s="29" t="s">
        <v>17</v>
      </c>
      <c r="X35" s="29" t="s">
        <v>17</v>
      </c>
      <c r="Y35" s="29" t="s">
        <v>17</v>
      </c>
      <c r="Z35" s="29" t="s">
        <v>17</v>
      </c>
      <c r="AA35" s="29" t="s">
        <v>17</v>
      </c>
      <c r="AB35" s="29" t="s">
        <v>17</v>
      </c>
      <c r="AC35" s="29" t="s">
        <v>17</v>
      </c>
      <c r="AD35" s="29" t="s">
        <v>17</v>
      </c>
      <c r="AE35" s="29" t="s">
        <v>17</v>
      </c>
      <c r="AF35" s="29" t="s">
        <v>17</v>
      </c>
      <c r="AG35" s="29" t="s">
        <v>17</v>
      </c>
      <c r="AH35" s="29" t="s">
        <v>17</v>
      </c>
      <c r="AI35" s="29" t="s">
        <v>17</v>
      </c>
      <c r="AJ35" s="29" t="s">
        <v>17</v>
      </c>
      <c r="AK35" s="29" t="s">
        <v>17</v>
      </c>
      <c r="AL35" s="29" t="s">
        <v>17</v>
      </c>
      <c r="AM35" s="29" t="s">
        <v>17</v>
      </c>
      <c r="AN35" s="29" t="s">
        <v>17</v>
      </c>
      <c r="AO35" s="29" t="s">
        <v>17</v>
      </c>
      <c r="AP35" s="29" t="s">
        <v>17</v>
      </c>
      <c r="AQ35" s="29" t="s">
        <v>17</v>
      </c>
      <c r="AR35" s="29" t="s">
        <v>17</v>
      </c>
      <c r="AS35" s="29" t="s">
        <v>17</v>
      </c>
      <c r="AT35" s="29" t="s">
        <v>17</v>
      </c>
      <c r="AU35" s="29" t="s">
        <v>17</v>
      </c>
      <c r="AV35" s="29" t="s">
        <v>17</v>
      </c>
      <c r="AW35" s="29" t="s">
        <v>17</v>
      </c>
      <c r="AX35" s="29" t="s">
        <v>17</v>
      </c>
      <c r="AY35" s="29" t="s">
        <v>17</v>
      </c>
      <c r="AZ35" s="29" t="s">
        <v>17</v>
      </c>
      <c r="BA35" s="29" t="s">
        <v>17</v>
      </c>
      <c r="BB35" s="29" t="s">
        <v>17</v>
      </c>
      <c r="BC35" s="29" t="s">
        <v>17</v>
      </c>
      <c r="BD35" s="29"/>
      <c r="BE35" s="40">
        <v>1.3333333333357587</v>
      </c>
      <c r="BF35" s="1">
        <f t="shared" si="0"/>
        <v>0</v>
      </c>
      <c r="BG35" s="1">
        <f t="shared" si="1"/>
        <v>0</v>
      </c>
      <c r="BH35" s="1">
        <f t="shared" si="2"/>
        <v>0</v>
      </c>
      <c r="BI35" s="1">
        <f t="shared" si="3"/>
        <v>0</v>
      </c>
      <c r="BJ35" s="1">
        <f t="shared" si="4"/>
        <v>0</v>
      </c>
      <c r="BK35" s="1">
        <f t="shared" si="5"/>
        <v>0</v>
      </c>
      <c r="BL35" s="1">
        <f t="shared" si="6"/>
        <v>0</v>
      </c>
      <c r="BN35" s="1">
        <f t="shared" si="7"/>
        <v>48</v>
      </c>
      <c r="BO35" s="1">
        <f t="shared" si="8"/>
        <v>2</v>
      </c>
      <c r="BP35" s="1">
        <f t="shared" si="9"/>
        <v>0</v>
      </c>
      <c r="BQ35" s="1">
        <f t="shared" si="10"/>
        <v>0</v>
      </c>
      <c r="BR35" s="1">
        <f t="shared" si="11"/>
        <v>0</v>
      </c>
    </row>
    <row r="36" spans="1:70" x14ac:dyDescent="0.3">
      <c r="A36" s="36">
        <v>3</v>
      </c>
      <c r="B36" s="39">
        <v>44771.0625</v>
      </c>
      <c r="C36" s="38">
        <f t="shared" si="17"/>
        <v>4.1666666664241347E-2</v>
      </c>
      <c r="D36" s="37">
        <f t="shared" si="16"/>
        <v>1.375</v>
      </c>
      <c r="E36" s="40">
        <f t="shared" si="14"/>
        <v>1.375</v>
      </c>
      <c r="F36" s="69" t="s">
        <v>18</v>
      </c>
      <c r="G36" s="29" t="s">
        <v>17</v>
      </c>
      <c r="H36" s="29" t="s">
        <v>17</v>
      </c>
      <c r="I36" s="29" t="s">
        <v>17</v>
      </c>
      <c r="J36" s="29" t="s">
        <v>17</v>
      </c>
      <c r="K36" s="29" t="s">
        <v>17</v>
      </c>
      <c r="L36" s="29" t="s">
        <v>17</v>
      </c>
      <c r="M36" s="29" t="s">
        <v>17</v>
      </c>
      <c r="N36" s="29" t="s">
        <v>17</v>
      </c>
      <c r="O36" s="29" t="s">
        <v>17</v>
      </c>
      <c r="P36" s="69" t="s">
        <v>18</v>
      </c>
      <c r="Q36" s="29" t="s">
        <v>17</v>
      </c>
      <c r="R36" s="29" t="s">
        <v>17</v>
      </c>
      <c r="S36" s="29" t="s">
        <v>17</v>
      </c>
      <c r="T36" s="29" t="s">
        <v>17</v>
      </c>
      <c r="U36" s="29" t="s">
        <v>17</v>
      </c>
      <c r="V36" s="29" t="s">
        <v>17</v>
      </c>
      <c r="W36" s="29" t="s">
        <v>17</v>
      </c>
      <c r="X36" s="29" t="s">
        <v>17</v>
      </c>
      <c r="Y36" s="29" t="s">
        <v>17</v>
      </c>
      <c r="Z36" s="29" t="s">
        <v>17</v>
      </c>
      <c r="AA36" s="29" t="s">
        <v>17</v>
      </c>
      <c r="AB36" s="29" t="s">
        <v>17</v>
      </c>
      <c r="AC36" s="29" t="s">
        <v>17</v>
      </c>
      <c r="AD36" s="29" t="s">
        <v>17</v>
      </c>
      <c r="AE36" s="29" t="s">
        <v>17</v>
      </c>
      <c r="AF36" s="29" t="s">
        <v>17</v>
      </c>
      <c r="AG36" s="29" t="s">
        <v>17</v>
      </c>
      <c r="AH36" s="29" t="s">
        <v>17</v>
      </c>
      <c r="AI36" s="29" t="s">
        <v>17</v>
      </c>
      <c r="AJ36" s="29" t="s">
        <v>17</v>
      </c>
      <c r="AK36" s="29" t="s">
        <v>17</v>
      </c>
      <c r="AL36" s="29" t="s">
        <v>17</v>
      </c>
      <c r="AM36" s="29" t="s">
        <v>17</v>
      </c>
      <c r="AN36" s="29" t="s">
        <v>17</v>
      </c>
      <c r="AO36" s="29" t="s">
        <v>17</v>
      </c>
      <c r="AP36" s="29" t="s">
        <v>17</v>
      </c>
      <c r="AQ36" s="29" t="s">
        <v>17</v>
      </c>
      <c r="AR36" s="29" t="s">
        <v>17</v>
      </c>
      <c r="AS36" s="29" t="s">
        <v>17</v>
      </c>
      <c r="AT36" s="29" t="s">
        <v>17</v>
      </c>
      <c r="AU36" s="29" t="s">
        <v>17</v>
      </c>
      <c r="AV36" s="29" t="s">
        <v>17</v>
      </c>
      <c r="AW36" s="29" t="s">
        <v>17</v>
      </c>
      <c r="AX36" s="29" t="s">
        <v>17</v>
      </c>
      <c r="AY36" s="29" t="s">
        <v>17</v>
      </c>
      <c r="AZ36" s="29" t="s">
        <v>17</v>
      </c>
      <c r="BA36" s="29" t="s">
        <v>17</v>
      </c>
      <c r="BB36" s="29" t="s">
        <v>17</v>
      </c>
      <c r="BC36" s="29" t="s">
        <v>17</v>
      </c>
      <c r="BD36" s="29"/>
      <c r="BE36" s="40">
        <v>1.375</v>
      </c>
      <c r="BF36" s="1">
        <f t="shared" si="0"/>
        <v>0</v>
      </c>
      <c r="BG36" s="1">
        <f t="shared" si="1"/>
        <v>0</v>
      </c>
      <c r="BH36" s="1">
        <f t="shared" si="2"/>
        <v>0</v>
      </c>
      <c r="BI36" s="1">
        <f t="shared" si="3"/>
        <v>0</v>
      </c>
      <c r="BJ36" s="1">
        <f t="shared" si="4"/>
        <v>0</v>
      </c>
      <c r="BK36" s="1">
        <f t="shared" si="5"/>
        <v>0</v>
      </c>
      <c r="BL36" s="1">
        <f t="shared" si="6"/>
        <v>0</v>
      </c>
      <c r="BN36" s="1">
        <f t="shared" si="7"/>
        <v>48</v>
      </c>
      <c r="BO36" s="1">
        <f t="shared" si="8"/>
        <v>2</v>
      </c>
      <c r="BP36" s="1">
        <f t="shared" si="9"/>
        <v>0</v>
      </c>
      <c r="BQ36" s="1">
        <f t="shared" si="10"/>
        <v>0</v>
      </c>
      <c r="BR36" s="1">
        <f t="shared" si="11"/>
        <v>0</v>
      </c>
    </row>
    <row r="37" spans="1:70" x14ac:dyDescent="0.3">
      <c r="A37" s="36">
        <v>3</v>
      </c>
      <c r="B37" s="39">
        <v>44771.104166666664</v>
      </c>
      <c r="C37" s="38">
        <f t="shared" si="17"/>
        <v>4.1666666664241347E-2</v>
      </c>
      <c r="D37" s="37">
        <f t="shared" si="16"/>
        <v>1.4166666666642413</v>
      </c>
      <c r="E37" s="40">
        <f t="shared" si="14"/>
        <v>1.4166666666642413</v>
      </c>
      <c r="F37" s="69" t="s">
        <v>18</v>
      </c>
      <c r="G37" s="29" t="s">
        <v>17</v>
      </c>
      <c r="H37" s="29" t="s">
        <v>17</v>
      </c>
      <c r="I37" s="29" t="s">
        <v>17</v>
      </c>
      <c r="J37" s="29" t="s">
        <v>17</v>
      </c>
      <c r="K37" s="29" t="s">
        <v>17</v>
      </c>
      <c r="L37" s="29" t="s">
        <v>17</v>
      </c>
      <c r="M37" s="29" t="s">
        <v>17</v>
      </c>
      <c r="N37" s="29" t="s">
        <v>17</v>
      </c>
      <c r="O37" s="29" t="s">
        <v>17</v>
      </c>
      <c r="P37" s="69" t="s">
        <v>18</v>
      </c>
      <c r="Q37" s="29" t="s">
        <v>17</v>
      </c>
      <c r="R37" s="29" t="s">
        <v>17</v>
      </c>
      <c r="S37" s="29" t="s">
        <v>17</v>
      </c>
      <c r="T37" s="29" t="s">
        <v>17</v>
      </c>
      <c r="U37" s="29" t="s">
        <v>17</v>
      </c>
      <c r="V37" s="29" t="s">
        <v>17</v>
      </c>
      <c r="W37" s="29" t="s">
        <v>17</v>
      </c>
      <c r="X37" s="29" t="s">
        <v>17</v>
      </c>
      <c r="Y37" s="29" t="s">
        <v>17</v>
      </c>
      <c r="Z37" s="29" t="s">
        <v>17</v>
      </c>
      <c r="AA37" s="29" t="s">
        <v>17</v>
      </c>
      <c r="AB37" s="29" t="s">
        <v>17</v>
      </c>
      <c r="AC37" s="29" t="s">
        <v>17</v>
      </c>
      <c r="AD37" s="29" t="s">
        <v>17</v>
      </c>
      <c r="AE37" s="29" t="s">
        <v>17</v>
      </c>
      <c r="AF37" s="29" t="s">
        <v>17</v>
      </c>
      <c r="AG37" s="29" t="s">
        <v>17</v>
      </c>
      <c r="AH37" s="29" t="s">
        <v>17</v>
      </c>
      <c r="AI37" s="29" t="s">
        <v>17</v>
      </c>
      <c r="AJ37" s="29" t="s">
        <v>17</v>
      </c>
      <c r="AK37" s="29" t="s">
        <v>17</v>
      </c>
      <c r="AL37" s="29" t="s">
        <v>17</v>
      </c>
      <c r="AM37" s="29" t="s">
        <v>17</v>
      </c>
      <c r="AN37" s="29" t="s">
        <v>17</v>
      </c>
      <c r="AO37" s="29" t="s">
        <v>17</v>
      </c>
      <c r="AP37" s="29" t="s">
        <v>17</v>
      </c>
      <c r="AQ37" s="29" t="s">
        <v>17</v>
      </c>
      <c r="AR37" s="29" t="s">
        <v>17</v>
      </c>
      <c r="AS37" s="29" t="s">
        <v>17</v>
      </c>
      <c r="AT37" s="29" t="s">
        <v>17</v>
      </c>
      <c r="AU37" s="29" t="s">
        <v>17</v>
      </c>
      <c r="AV37" s="29" t="s">
        <v>17</v>
      </c>
      <c r="AW37" s="29" t="s">
        <v>17</v>
      </c>
      <c r="AX37" s="29" t="s">
        <v>17</v>
      </c>
      <c r="AY37" s="29" t="s">
        <v>17</v>
      </c>
      <c r="AZ37" s="29" t="s">
        <v>17</v>
      </c>
      <c r="BA37" s="29" t="s">
        <v>17</v>
      </c>
      <c r="BB37" s="29" t="s">
        <v>17</v>
      </c>
      <c r="BC37" s="29" t="s">
        <v>17</v>
      </c>
      <c r="BD37" s="29"/>
      <c r="BE37" s="40">
        <v>1.4166666666642413</v>
      </c>
      <c r="BF37" s="1">
        <f t="shared" si="0"/>
        <v>0</v>
      </c>
      <c r="BG37" s="1">
        <f t="shared" si="1"/>
        <v>0</v>
      </c>
      <c r="BH37" s="1">
        <f t="shared" si="2"/>
        <v>0</v>
      </c>
      <c r="BI37" s="1">
        <f t="shared" si="3"/>
        <v>0</v>
      </c>
      <c r="BJ37" s="1">
        <f t="shared" si="4"/>
        <v>0</v>
      </c>
      <c r="BK37" s="1">
        <f t="shared" si="5"/>
        <v>0</v>
      </c>
      <c r="BL37" s="1">
        <f t="shared" si="6"/>
        <v>0</v>
      </c>
      <c r="BN37" s="1">
        <f t="shared" si="7"/>
        <v>48</v>
      </c>
      <c r="BO37" s="1">
        <f t="shared" si="8"/>
        <v>2</v>
      </c>
      <c r="BP37" s="1">
        <f t="shared" si="9"/>
        <v>0</v>
      </c>
      <c r="BQ37" s="1">
        <f t="shared" si="10"/>
        <v>0</v>
      </c>
      <c r="BR37" s="1">
        <f t="shared" si="11"/>
        <v>0</v>
      </c>
    </row>
    <row r="38" spans="1:70" x14ac:dyDescent="0.3">
      <c r="A38" s="36">
        <v>3</v>
      </c>
      <c r="B38" s="39">
        <v>44771.145833333336</v>
      </c>
      <c r="C38" s="38">
        <f t="shared" si="17"/>
        <v>4.1666666671517305E-2</v>
      </c>
      <c r="D38" s="37">
        <f t="shared" si="16"/>
        <v>1.4583333333357587</v>
      </c>
      <c r="E38" s="40">
        <f t="shared" si="14"/>
        <v>1.4583333333357587</v>
      </c>
      <c r="F38" s="69" t="s">
        <v>18</v>
      </c>
      <c r="G38" s="29" t="s">
        <v>17</v>
      </c>
      <c r="H38" s="29" t="s">
        <v>17</v>
      </c>
      <c r="I38" s="29" t="s">
        <v>17</v>
      </c>
      <c r="J38" s="29" t="s">
        <v>17</v>
      </c>
      <c r="K38" s="29" t="s">
        <v>17</v>
      </c>
      <c r="L38" s="29" t="s">
        <v>17</v>
      </c>
      <c r="M38" s="29" t="s">
        <v>17</v>
      </c>
      <c r="N38" s="29" t="s">
        <v>17</v>
      </c>
      <c r="O38" s="29" t="s">
        <v>17</v>
      </c>
      <c r="P38" s="69" t="s">
        <v>18</v>
      </c>
      <c r="Q38" s="29" t="s">
        <v>17</v>
      </c>
      <c r="R38" s="29" t="s">
        <v>17</v>
      </c>
      <c r="S38" s="29" t="s">
        <v>17</v>
      </c>
      <c r="T38" s="29" t="s">
        <v>17</v>
      </c>
      <c r="U38" s="29" t="s">
        <v>17</v>
      </c>
      <c r="V38" s="29" t="s">
        <v>17</v>
      </c>
      <c r="W38" s="29" t="s">
        <v>17</v>
      </c>
      <c r="X38" s="29" t="s">
        <v>17</v>
      </c>
      <c r="Y38" s="29" t="s">
        <v>17</v>
      </c>
      <c r="Z38" s="29" t="s">
        <v>17</v>
      </c>
      <c r="AA38" s="29" t="s">
        <v>17</v>
      </c>
      <c r="AB38" s="29" t="s">
        <v>17</v>
      </c>
      <c r="AC38" s="29" t="s">
        <v>17</v>
      </c>
      <c r="AD38" s="29" t="s">
        <v>17</v>
      </c>
      <c r="AE38" s="29" t="s">
        <v>17</v>
      </c>
      <c r="AF38" s="29" t="s">
        <v>17</v>
      </c>
      <c r="AG38" s="29" t="s">
        <v>17</v>
      </c>
      <c r="AH38" s="29" t="s">
        <v>17</v>
      </c>
      <c r="AI38" s="29" t="s">
        <v>17</v>
      </c>
      <c r="AJ38" s="29" t="s">
        <v>17</v>
      </c>
      <c r="AK38" s="29" t="s">
        <v>17</v>
      </c>
      <c r="AL38" s="29" t="s">
        <v>17</v>
      </c>
      <c r="AM38" s="29" t="s">
        <v>17</v>
      </c>
      <c r="AN38" s="29" t="s">
        <v>17</v>
      </c>
      <c r="AO38" s="29" t="s">
        <v>17</v>
      </c>
      <c r="AP38" s="29" t="s">
        <v>17</v>
      </c>
      <c r="AQ38" s="29" t="s">
        <v>17</v>
      </c>
      <c r="AR38" s="29" t="s">
        <v>17</v>
      </c>
      <c r="AS38" s="29" t="s">
        <v>17</v>
      </c>
      <c r="AT38" s="29" t="s">
        <v>17</v>
      </c>
      <c r="AU38" s="29" t="s">
        <v>17</v>
      </c>
      <c r="AV38" s="29" t="s">
        <v>17</v>
      </c>
      <c r="AW38" s="29" t="s">
        <v>17</v>
      </c>
      <c r="AX38" s="29" t="s">
        <v>17</v>
      </c>
      <c r="AY38" s="29" t="s">
        <v>17</v>
      </c>
      <c r="AZ38" s="29" t="s">
        <v>17</v>
      </c>
      <c r="BA38" s="29" t="s">
        <v>17</v>
      </c>
      <c r="BB38" s="29" t="s">
        <v>17</v>
      </c>
      <c r="BC38" s="29" t="s">
        <v>17</v>
      </c>
      <c r="BD38" s="29"/>
      <c r="BE38" s="40">
        <v>1.4583333333357587</v>
      </c>
      <c r="BF38" s="1">
        <f t="shared" si="0"/>
        <v>0</v>
      </c>
      <c r="BG38" s="1">
        <f t="shared" si="1"/>
        <v>0</v>
      </c>
      <c r="BH38" s="1">
        <f t="shared" si="2"/>
        <v>0</v>
      </c>
      <c r="BI38" s="1">
        <f t="shared" si="3"/>
        <v>0</v>
      </c>
      <c r="BJ38" s="1">
        <f t="shared" si="4"/>
        <v>0</v>
      </c>
      <c r="BK38" s="1">
        <f t="shared" si="5"/>
        <v>0</v>
      </c>
      <c r="BL38" s="1">
        <f t="shared" si="6"/>
        <v>0</v>
      </c>
      <c r="BN38" s="1">
        <f t="shared" si="7"/>
        <v>48</v>
      </c>
      <c r="BO38" s="1">
        <f t="shared" si="8"/>
        <v>2</v>
      </c>
      <c r="BP38" s="1">
        <f t="shared" si="9"/>
        <v>0</v>
      </c>
      <c r="BQ38" s="1">
        <f t="shared" si="10"/>
        <v>0</v>
      </c>
      <c r="BR38" s="1">
        <f t="shared" si="11"/>
        <v>0</v>
      </c>
    </row>
    <row r="39" spans="1:70" x14ac:dyDescent="0.3">
      <c r="A39" s="36">
        <v>3</v>
      </c>
      <c r="B39" s="39">
        <v>44771.1875</v>
      </c>
      <c r="C39" s="38">
        <f t="shared" si="17"/>
        <v>4.1666666664241347E-2</v>
      </c>
      <c r="D39" s="37">
        <f t="shared" si="16"/>
        <v>1.5</v>
      </c>
      <c r="E39" s="40">
        <f t="shared" si="14"/>
        <v>1.5</v>
      </c>
      <c r="F39" s="69" t="s">
        <v>18</v>
      </c>
      <c r="G39" s="29" t="s">
        <v>17</v>
      </c>
      <c r="H39" s="29" t="s">
        <v>17</v>
      </c>
      <c r="I39" s="29" t="s">
        <v>17</v>
      </c>
      <c r="J39" s="29" t="s">
        <v>17</v>
      </c>
      <c r="K39" s="29" t="s">
        <v>17</v>
      </c>
      <c r="L39" s="29" t="s">
        <v>17</v>
      </c>
      <c r="M39" s="29" t="s">
        <v>17</v>
      </c>
      <c r="N39" s="29" t="s">
        <v>17</v>
      </c>
      <c r="O39" s="29" t="s">
        <v>17</v>
      </c>
      <c r="P39" s="69" t="s">
        <v>18</v>
      </c>
      <c r="Q39" s="29" t="s">
        <v>17</v>
      </c>
      <c r="R39" s="29" t="s">
        <v>17</v>
      </c>
      <c r="S39" s="29" t="s">
        <v>17</v>
      </c>
      <c r="T39" s="29" t="s">
        <v>17</v>
      </c>
      <c r="U39" s="29" t="s">
        <v>17</v>
      </c>
      <c r="V39" s="29" t="s">
        <v>17</v>
      </c>
      <c r="W39" s="29" t="s">
        <v>17</v>
      </c>
      <c r="X39" s="29" t="s">
        <v>17</v>
      </c>
      <c r="Y39" s="29" t="s">
        <v>17</v>
      </c>
      <c r="Z39" s="29" t="s">
        <v>17</v>
      </c>
      <c r="AA39" s="29" t="s">
        <v>17</v>
      </c>
      <c r="AB39" s="29" t="s">
        <v>17</v>
      </c>
      <c r="AC39" s="29" t="s">
        <v>17</v>
      </c>
      <c r="AD39" s="29" t="s">
        <v>17</v>
      </c>
      <c r="AE39" s="29" t="s">
        <v>17</v>
      </c>
      <c r="AF39" s="29" t="s">
        <v>17</v>
      </c>
      <c r="AG39" s="29" t="s">
        <v>17</v>
      </c>
      <c r="AH39" s="29" t="s">
        <v>17</v>
      </c>
      <c r="AI39" s="29" t="s">
        <v>17</v>
      </c>
      <c r="AJ39" s="29" t="s">
        <v>17</v>
      </c>
      <c r="AK39" s="29" t="s">
        <v>17</v>
      </c>
      <c r="AL39" s="29" t="s">
        <v>17</v>
      </c>
      <c r="AM39" s="29" t="s">
        <v>17</v>
      </c>
      <c r="AN39" s="29" t="s">
        <v>17</v>
      </c>
      <c r="AO39" s="29" t="s">
        <v>17</v>
      </c>
      <c r="AP39" s="29" t="s">
        <v>17</v>
      </c>
      <c r="AQ39" s="29" t="s">
        <v>17</v>
      </c>
      <c r="AR39" s="29" t="s">
        <v>17</v>
      </c>
      <c r="AS39" s="29" t="s">
        <v>17</v>
      </c>
      <c r="AT39" s="29" t="s">
        <v>17</v>
      </c>
      <c r="AU39" s="29" t="s">
        <v>17</v>
      </c>
      <c r="AV39" s="29" t="s">
        <v>17</v>
      </c>
      <c r="AW39" s="29" t="s">
        <v>17</v>
      </c>
      <c r="AX39" s="29" t="s">
        <v>17</v>
      </c>
      <c r="AY39" s="29" t="s">
        <v>17</v>
      </c>
      <c r="AZ39" s="29" t="s">
        <v>17</v>
      </c>
      <c r="BA39" s="29" t="s">
        <v>17</v>
      </c>
      <c r="BB39" s="29" t="s">
        <v>17</v>
      </c>
      <c r="BC39" s="29" t="s">
        <v>17</v>
      </c>
      <c r="BD39" s="29"/>
      <c r="BE39" s="40">
        <v>1.5</v>
      </c>
      <c r="BF39" s="1">
        <f t="shared" si="0"/>
        <v>0</v>
      </c>
      <c r="BG39" s="1">
        <f t="shared" si="1"/>
        <v>0</v>
      </c>
      <c r="BH39" s="1">
        <f t="shared" si="2"/>
        <v>0</v>
      </c>
      <c r="BI39" s="1">
        <f t="shared" si="3"/>
        <v>0</v>
      </c>
      <c r="BJ39" s="1">
        <f t="shared" si="4"/>
        <v>0</v>
      </c>
      <c r="BK39" s="1">
        <f t="shared" si="5"/>
        <v>0</v>
      </c>
      <c r="BL39" s="1">
        <f t="shared" si="6"/>
        <v>0</v>
      </c>
      <c r="BN39" s="1">
        <f t="shared" si="7"/>
        <v>48</v>
      </c>
      <c r="BO39" s="1">
        <f t="shared" si="8"/>
        <v>2</v>
      </c>
      <c r="BP39" s="1">
        <f t="shared" si="9"/>
        <v>0</v>
      </c>
      <c r="BQ39" s="1">
        <f t="shared" si="10"/>
        <v>0</v>
      </c>
      <c r="BR39" s="1">
        <f t="shared" si="11"/>
        <v>0</v>
      </c>
    </row>
    <row r="40" spans="1:70" x14ac:dyDescent="0.3">
      <c r="A40" s="36">
        <v>3</v>
      </c>
      <c r="B40" s="39">
        <v>44771.229166666664</v>
      </c>
      <c r="C40" s="38">
        <f t="shared" si="17"/>
        <v>4.1666666664241347E-2</v>
      </c>
      <c r="D40" s="37">
        <f t="shared" si="16"/>
        <v>1.5416666666642413</v>
      </c>
      <c r="E40" s="40">
        <f t="shared" si="14"/>
        <v>1.5416666666642413</v>
      </c>
      <c r="F40" s="69" t="s">
        <v>18</v>
      </c>
      <c r="G40" s="29" t="s">
        <v>17</v>
      </c>
      <c r="H40" s="29" t="s">
        <v>17</v>
      </c>
      <c r="I40" s="29" t="s">
        <v>17</v>
      </c>
      <c r="J40" s="29" t="s">
        <v>17</v>
      </c>
      <c r="K40" s="29" t="s">
        <v>17</v>
      </c>
      <c r="L40" s="29" t="s">
        <v>17</v>
      </c>
      <c r="M40" s="29" t="s">
        <v>17</v>
      </c>
      <c r="N40" s="29" t="s">
        <v>17</v>
      </c>
      <c r="O40" s="29" t="s">
        <v>17</v>
      </c>
      <c r="P40" s="69" t="s">
        <v>18</v>
      </c>
      <c r="Q40" s="29" t="s">
        <v>17</v>
      </c>
      <c r="R40" s="29" t="s">
        <v>17</v>
      </c>
      <c r="S40" s="29" t="s">
        <v>17</v>
      </c>
      <c r="T40" s="29" t="s">
        <v>17</v>
      </c>
      <c r="U40" s="29" t="s">
        <v>17</v>
      </c>
      <c r="V40" s="29" t="s">
        <v>17</v>
      </c>
      <c r="W40" s="29" t="s">
        <v>17</v>
      </c>
      <c r="X40" s="29" t="s">
        <v>17</v>
      </c>
      <c r="Y40" s="29" t="s">
        <v>17</v>
      </c>
      <c r="Z40" s="29" t="s">
        <v>17</v>
      </c>
      <c r="AA40" s="29" t="s">
        <v>17</v>
      </c>
      <c r="AB40" s="29" t="s">
        <v>17</v>
      </c>
      <c r="AC40" s="29" t="s">
        <v>17</v>
      </c>
      <c r="AD40" s="29" t="s">
        <v>17</v>
      </c>
      <c r="AE40" s="29" t="s">
        <v>17</v>
      </c>
      <c r="AF40" s="29" t="s">
        <v>17</v>
      </c>
      <c r="AG40" s="29" t="s">
        <v>17</v>
      </c>
      <c r="AH40" s="29" t="s">
        <v>17</v>
      </c>
      <c r="AI40" s="29" t="s">
        <v>17</v>
      </c>
      <c r="AJ40" s="29" t="s">
        <v>17</v>
      </c>
      <c r="AK40" s="29" t="s">
        <v>17</v>
      </c>
      <c r="AL40" s="29" t="s">
        <v>17</v>
      </c>
      <c r="AM40" s="29" t="s">
        <v>17</v>
      </c>
      <c r="AN40" s="29" t="s">
        <v>17</v>
      </c>
      <c r="AO40" s="29" t="s">
        <v>17</v>
      </c>
      <c r="AP40" s="29" t="s">
        <v>17</v>
      </c>
      <c r="AQ40" s="29" t="s">
        <v>17</v>
      </c>
      <c r="AR40" s="29" t="s">
        <v>17</v>
      </c>
      <c r="AS40" s="29" t="s">
        <v>17</v>
      </c>
      <c r="AT40" s="29" t="s">
        <v>17</v>
      </c>
      <c r="AU40" s="29" t="s">
        <v>17</v>
      </c>
      <c r="AV40" s="29" t="s">
        <v>17</v>
      </c>
      <c r="AW40" s="29" t="s">
        <v>17</v>
      </c>
      <c r="AX40" s="29" t="s">
        <v>17</v>
      </c>
      <c r="AY40" s="29" t="s">
        <v>17</v>
      </c>
      <c r="AZ40" s="29" t="s">
        <v>17</v>
      </c>
      <c r="BA40" s="29" t="s">
        <v>17</v>
      </c>
      <c r="BB40" s="29" t="s">
        <v>17</v>
      </c>
      <c r="BC40" s="29" t="s">
        <v>17</v>
      </c>
      <c r="BD40" s="29"/>
      <c r="BE40" s="40">
        <v>1.5416666666642413</v>
      </c>
      <c r="BF40" s="1">
        <f t="shared" si="0"/>
        <v>0</v>
      </c>
      <c r="BG40" s="1">
        <f t="shared" si="1"/>
        <v>0</v>
      </c>
      <c r="BH40" s="1">
        <f t="shared" si="2"/>
        <v>0</v>
      </c>
      <c r="BI40" s="1">
        <f t="shared" si="3"/>
        <v>0</v>
      </c>
      <c r="BJ40" s="1">
        <f t="shared" si="4"/>
        <v>0</v>
      </c>
      <c r="BK40" s="1">
        <f t="shared" si="5"/>
        <v>0</v>
      </c>
      <c r="BL40" s="1">
        <f t="shared" si="6"/>
        <v>0</v>
      </c>
      <c r="BN40" s="1">
        <f t="shared" si="7"/>
        <v>48</v>
      </c>
      <c r="BO40" s="1">
        <f t="shared" si="8"/>
        <v>2</v>
      </c>
      <c r="BP40" s="1">
        <f t="shared" si="9"/>
        <v>0</v>
      </c>
      <c r="BQ40" s="1">
        <f t="shared" si="10"/>
        <v>0</v>
      </c>
      <c r="BR40" s="1">
        <f t="shared" si="11"/>
        <v>0</v>
      </c>
    </row>
    <row r="41" spans="1:70" x14ac:dyDescent="0.3">
      <c r="A41" s="36">
        <v>3</v>
      </c>
      <c r="B41" s="39">
        <v>44771.270833333336</v>
      </c>
      <c r="C41" s="38">
        <f t="shared" si="17"/>
        <v>4.1666666671517305E-2</v>
      </c>
      <c r="D41" s="37">
        <f t="shared" si="16"/>
        <v>1.5833333333357587</v>
      </c>
      <c r="E41" s="40">
        <f t="shared" si="14"/>
        <v>1.5833333333357587</v>
      </c>
      <c r="F41" s="69" t="s">
        <v>18</v>
      </c>
      <c r="G41" s="29" t="s">
        <v>17</v>
      </c>
      <c r="H41" s="29" t="s">
        <v>17</v>
      </c>
      <c r="I41" s="29" t="s">
        <v>17</v>
      </c>
      <c r="J41" s="29" t="s">
        <v>17</v>
      </c>
      <c r="K41" s="29" t="s">
        <v>17</v>
      </c>
      <c r="L41" s="29" t="s">
        <v>17</v>
      </c>
      <c r="M41" s="29" t="s">
        <v>17</v>
      </c>
      <c r="N41" s="29" t="s">
        <v>17</v>
      </c>
      <c r="O41" s="29" t="s">
        <v>17</v>
      </c>
      <c r="P41" s="69" t="s">
        <v>18</v>
      </c>
      <c r="Q41" s="29" t="s">
        <v>17</v>
      </c>
      <c r="R41" s="29" t="s">
        <v>17</v>
      </c>
      <c r="S41" s="29" t="s">
        <v>17</v>
      </c>
      <c r="T41" s="29" t="s">
        <v>17</v>
      </c>
      <c r="U41" s="29" t="s">
        <v>17</v>
      </c>
      <c r="V41" s="29" t="s">
        <v>17</v>
      </c>
      <c r="W41" s="29" t="s">
        <v>17</v>
      </c>
      <c r="X41" s="29" t="s">
        <v>17</v>
      </c>
      <c r="Y41" s="29" t="s">
        <v>17</v>
      </c>
      <c r="Z41" s="29" t="s">
        <v>17</v>
      </c>
      <c r="AA41" s="29" t="s">
        <v>17</v>
      </c>
      <c r="AB41" s="29" t="s">
        <v>17</v>
      </c>
      <c r="AC41" s="29" t="s">
        <v>17</v>
      </c>
      <c r="AD41" s="29" t="s">
        <v>17</v>
      </c>
      <c r="AE41" s="29" t="s">
        <v>17</v>
      </c>
      <c r="AF41" s="29" t="s">
        <v>17</v>
      </c>
      <c r="AG41" s="29" t="s">
        <v>17</v>
      </c>
      <c r="AH41" s="29" t="s">
        <v>17</v>
      </c>
      <c r="AI41" s="29" t="s">
        <v>17</v>
      </c>
      <c r="AJ41" s="29" t="s">
        <v>17</v>
      </c>
      <c r="AK41" s="29" t="s">
        <v>17</v>
      </c>
      <c r="AL41" s="29" t="s">
        <v>17</v>
      </c>
      <c r="AM41" s="29" t="s">
        <v>17</v>
      </c>
      <c r="AN41" s="29" t="s">
        <v>17</v>
      </c>
      <c r="AO41" s="29" t="s">
        <v>17</v>
      </c>
      <c r="AP41" s="29" t="s">
        <v>17</v>
      </c>
      <c r="AQ41" s="29" t="s">
        <v>17</v>
      </c>
      <c r="AR41" s="29" t="s">
        <v>17</v>
      </c>
      <c r="AS41" s="29" t="s">
        <v>17</v>
      </c>
      <c r="AT41" s="29" t="s">
        <v>17</v>
      </c>
      <c r="AU41" s="29" t="s">
        <v>17</v>
      </c>
      <c r="AV41" s="29" t="s">
        <v>17</v>
      </c>
      <c r="AW41" s="29" t="s">
        <v>17</v>
      </c>
      <c r="AX41" s="29" t="s">
        <v>17</v>
      </c>
      <c r="AY41" s="29" t="s">
        <v>17</v>
      </c>
      <c r="AZ41" s="29" t="s">
        <v>17</v>
      </c>
      <c r="BA41" s="29" t="s">
        <v>17</v>
      </c>
      <c r="BB41" s="29" t="s">
        <v>17</v>
      </c>
      <c r="BC41" s="29" t="s">
        <v>17</v>
      </c>
      <c r="BD41" s="29"/>
      <c r="BE41" s="40">
        <v>1.5833333333357587</v>
      </c>
      <c r="BF41" s="1">
        <f t="shared" si="0"/>
        <v>0</v>
      </c>
      <c r="BG41" s="1">
        <f t="shared" si="1"/>
        <v>0</v>
      </c>
      <c r="BH41" s="1">
        <f t="shared" si="2"/>
        <v>0</v>
      </c>
      <c r="BI41" s="1">
        <f t="shared" si="3"/>
        <v>0</v>
      </c>
      <c r="BJ41" s="1">
        <f t="shared" si="4"/>
        <v>0</v>
      </c>
      <c r="BK41" s="1">
        <f t="shared" si="5"/>
        <v>0</v>
      </c>
      <c r="BL41" s="1">
        <f t="shared" si="6"/>
        <v>0</v>
      </c>
      <c r="BN41" s="1">
        <f t="shared" si="7"/>
        <v>48</v>
      </c>
      <c r="BO41" s="1">
        <f t="shared" si="8"/>
        <v>2</v>
      </c>
      <c r="BP41" s="1">
        <f t="shared" si="9"/>
        <v>0</v>
      </c>
      <c r="BQ41" s="1">
        <f t="shared" si="10"/>
        <v>0</v>
      </c>
      <c r="BR41" s="1">
        <f t="shared" si="11"/>
        <v>0</v>
      </c>
    </row>
    <row r="42" spans="1:70" x14ac:dyDescent="0.3">
      <c r="A42" s="36">
        <v>3</v>
      </c>
      <c r="B42" s="39">
        <v>44771.3125</v>
      </c>
      <c r="C42" s="38">
        <f t="shared" si="17"/>
        <v>4.1666666664241347E-2</v>
      </c>
      <c r="D42" s="37">
        <f t="shared" si="16"/>
        <v>1.625</v>
      </c>
      <c r="E42" s="40">
        <f t="shared" si="14"/>
        <v>1.625</v>
      </c>
      <c r="F42" s="69" t="s">
        <v>18</v>
      </c>
      <c r="G42" s="29" t="s">
        <v>17</v>
      </c>
      <c r="H42" s="29" t="s">
        <v>17</v>
      </c>
      <c r="I42" s="29" t="s">
        <v>17</v>
      </c>
      <c r="J42" s="29" t="s">
        <v>17</v>
      </c>
      <c r="K42" s="29" t="s">
        <v>17</v>
      </c>
      <c r="L42" s="29" t="s">
        <v>17</v>
      </c>
      <c r="M42" s="29" t="s">
        <v>17</v>
      </c>
      <c r="N42" s="29" t="s">
        <v>17</v>
      </c>
      <c r="O42" s="29" t="s">
        <v>17</v>
      </c>
      <c r="P42" s="69" t="s">
        <v>18</v>
      </c>
      <c r="Q42" s="29" t="s">
        <v>17</v>
      </c>
      <c r="R42" s="29" t="s">
        <v>17</v>
      </c>
      <c r="S42" s="29" t="s">
        <v>17</v>
      </c>
      <c r="T42" s="29" t="s">
        <v>17</v>
      </c>
      <c r="U42" s="29" t="s">
        <v>17</v>
      </c>
      <c r="V42" s="29" t="s">
        <v>17</v>
      </c>
      <c r="W42" s="29" t="s">
        <v>17</v>
      </c>
      <c r="X42" s="29" t="s">
        <v>17</v>
      </c>
      <c r="Y42" s="29" t="s">
        <v>17</v>
      </c>
      <c r="Z42" s="29" t="s">
        <v>17</v>
      </c>
      <c r="AA42" s="29" t="s">
        <v>17</v>
      </c>
      <c r="AB42" s="29" t="s">
        <v>17</v>
      </c>
      <c r="AC42" s="29" t="s">
        <v>17</v>
      </c>
      <c r="AD42" s="29" t="s">
        <v>17</v>
      </c>
      <c r="AE42" s="29" t="s">
        <v>17</v>
      </c>
      <c r="AF42" s="29" t="s">
        <v>17</v>
      </c>
      <c r="AG42" s="29" t="s">
        <v>17</v>
      </c>
      <c r="AH42" s="29" t="s">
        <v>17</v>
      </c>
      <c r="AI42" s="29" t="s">
        <v>17</v>
      </c>
      <c r="AJ42" s="29" t="s">
        <v>17</v>
      </c>
      <c r="AK42" s="29" t="s">
        <v>17</v>
      </c>
      <c r="AL42" s="29" t="s">
        <v>17</v>
      </c>
      <c r="AM42" s="29" t="s">
        <v>17</v>
      </c>
      <c r="AN42" s="29" t="s">
        <v>17</v>
      </c>
      <c r="AO42" s="29" t="s">
        <v>17</v>
      </c>
      <c r="AP42" s="29" t="s">
        <v>17</v>
      </c>
      <c r="AQ42" s="29" t="s">
        <v>17</v>
      </c>
      <c r="AR42" s="29" t="s">
        <v>17</v>
      </c>
      <c r="AS42" s="29" t="s">
        <v>17</v>
      </c>
      <c r="AT42" s="29" t="s">
        <v>17</v>
      </c>
      <c r="AU42" s="29" t="s">
        <v>17</v>
      </c>
      <c r="AV42" s="29" t="s">
        <v>17</v>
      </c>
      <c r="AW42" s="29" t="s">
        <v>17</v>
      </c>
      <c r="AX42" s="29" t="s">
        <v>17</v>
      </c>
      <c r="AY42" s="29" t="s">
        <v>17</v>
      </c>
      <c r="AZ42" s="29" t="s">
        <v>17</v>
      </c>
      <c r="BA42" s="29" t="s">
        <v>17</v>
      </c>
      <c r="BB42" s="29" t="s">
        <v>17</v>
      </c>
      <c r="BC42" s="29" t="s">
        <v>17</v>
      </c>
      <c r="BD42" s="29"/>
      <c r="BE42" s="40">
        <v>1.625</v>
      </c>
      <c r="BF42" s="1">
        <f t="shared" si="0"/>
        <v>0</v>
      </c>
      <c r="BG42" s="1">
        <f t="shared" si="1"/>
        <v>0</v>
      </c>
      <c r="BH42" s="1">
        <f t="shared" si="2"/>
        <v>0</v>
      </c>
      <c r="BI42" s="1">
        <f t="shared" si="3"/>
        <v>0</v>
      </c>
      <c r="BJ42" s="1">
        <f t="shared" si="4"/>
        <v>0</v>
      </c>
      <c r="BK42" s="1">
        <f t="shared" si="5"/>
        <v>0</v>
      </c>
      <c r="BL42" s="1">
        <f t="shared" si="6"/>
        <v>0</v>
      </c>
      <c r="BN42" s="1">
        <f t="shared" si="7"/>
        <v>48</v>
      </c>
      <c r="BO42" s="1">
        <f t="shared" si="8"/>
        <v>2</v>
      </c>
      <c r="BP42" s="1">
        <f t="shared" si="9"/>
        <v>0</v>
      </c>
      <c r="BQ42" s="1">
        <f t="shared" si="10"/>
        <v>0</v>
      </c>
      <c r="BR42" s="1">
        <f t="shared" si="11"/>
        <v>0</v>
      </c>
    </row>
    <row r="43" spans="1:70" x14ac:dyDescent="0.3">
      <c r="A43" s="36">
        <v>3</v>
      </c>
      <c r="B43" s="39">
        <v>44771.354166666664</v>
      </c>
      <c r="C43" s="38">
        <f t="shared" si="17"/>
        <v>4.1666666664241347E-2</v>
      </c>
      <c r="D43" s="37">
        <f t="shared" si="16"/>
        <v>1.6666666666642413</v>
      </c>
      <c r="E43" s="40">
        <f t="shared" si="14"/>
        <v>1.6666666666642413</v>
      </c>
      <c r="F43" s="69" t="s">
        <v>18</v>
      </c>
      <c r="G43" s="29" t="s">
        <v>17</v>
      </c>
      <c r="H43" s="29" t="s">
        <v>17</v>
      </c>
      <c r="I43" s="29" t="s">
        <v>17</v>
      </c>
      <c r="J43" s="29" t="s">
        <v>17</v>
      </c>
      <c r="K43" s="29" t="s">
        <v>17</v>
      </c>
      <c r="L43" s="29" t="s">
        <v>17</v>
      </c>
      <c r="M43" s="29" t="s">
        <v>17</v>
      </c>
      <c r="N43" s="29" t="s">
        <v>17</v>
      </c>
      <c r="O43" s="29" t="s">
        <v>17</v>
      </c>
      <c r="P43" s="69" t="s">
        <v>18</v>
      </c>
      <c r="Q43" s="29" t="s">
        <v>17</v>
      </c>
      <c r="R43" s="29" t="s">
        <v>17</v>
      </c>
      <c r="S43" s="29" t="s">
        <v>17</v>
      </c>
      <c r="T43" s="29" t="s">
        <v>17</v>
      </c>
      <c r="U43" s="29" t="s">
        <v>17</v>
      </c>
      <c r="V43" s="29" t="s">
        <v>17</v>
      </c>
      <c r="W43" s="29" t="s">
        <v>17</v>
      </c>
      <c r="X43" s="29" t="s">
        <v>17</v>
      </c>
      <c r="Y43" s="29" t="s">
        <v>17</v>
      </c>
      <c r="Z43" s="29" t="s">
        <v>17</v>
      </c>
      <c r="AA43" s="29" t="s">
        <v>17</v>
      </c>
      <c r="AB43" s="29" t="s">
        <v>17</v>
      </c>
      <c r="AC43" s="29" t="s">
        <v>17</v>
      </c>
      <c r="AD43" s="29" t="s">
        <v>17</v>
      </c>
      <c r="AE43" s="29" t="s">
        <v>17</v>
      </c>
      <c r="AF43" s="29" t="s">
        <v>17</v>
      </c>
      <c r="AG43" s="29" t="s">
        <v>17</v>
      </c>
      <c r="AH43" s="29" t="s">
        <v>17</v>
      </c>
      <c r="AI43" s="29" t="s">
        <v>17</v>
      </c>
      <c r="AJ43" s="29" t="s">
        <v>17</v>
      </c>
      <c r="AK43" s="29" t="s">
        <v>17</v>
      </c>
      <c r="AL43" s="29" t="s">
        <v>17</v>
      </c>
      <c r="AM43" s="29" t="s">
        <v>17</v>
      </c>
      <c r="AN43" s="29" t="s">
        <v>17</v>
      </c>
      <c r="AO43" s="29" t="s">
        <v>17</v>
      </c>
      <c r="AP43" s="29" t="s">
        <v>17</v>
      </c>
      <c r="AQ43" s="29" t="s">
        <v>17</v>
      </c>
      <c r="AR43" s="29" t="s">
        <v>17</v>
      </c>
      <c r="AS43" s="29" t="s">
        <v>17</v>
      </c>
      <c r="AT43" s="29" t="s">
        <v>17</v>
      </c>
      <c r="AU43" s="29" t="s">
        <v>17</v>
      </c>
      <c r="AV43" s="29" t="s">
        <v>17</v>
      </c>
      <c r="AW43" s="29" t="s">
        <v>17</v>
      </c>
      <c r="AX43" s="29" t="s">
        <v>17</v>
      </c>
      <c r="AY43" s="29" t="s">
        <v>17</v>
      </c>
      <c r="AZ43" s="29" t="s">
        <v>17</v>
      </c>
      <c r="BA43" s="29" t="s">
        <v>17</v>
      </c>
      <c r="BB43" s="29" t="s">
        <v>17</v>
      </c>
      <c r="BC43" s="29" t="s">
        <v>17</v>
      </c>
      <c r="BD43" s="29"/>
      <c r="BE43" s="40">
        <v>1.6666666666642413</v>
      </c>
      <c r="BF43" s="1">
        <f t="shared" si="0"/>
        <v>0</v>
      </c>
      <c r="BG43" s="1">
        <f t="shared" si="1"/>
        <v>0</v>
      </c>
      <c r="BH43" s="1">
        <f t="shared" si="2"/>
        <v>0</v>
      </c>
      <c r="BI43" s="1">
        <f t="shared" si="3"/>
        <v>0</v>
      </c>
      <c r="BJ43" s="1">
        <f t="shared" si="4"/>
        <v>0</v>
      </c>
      <c r="BK43" s="1">
        <f t="shared" si="5"/>
        <v>0</v>
      </c>
      <c r="BL43" s="1">
        <f t="shared" si="6"/>
        <v>0</v>
      </c>
      <c r="BN43" s="1">
        <f t="shared" si="7"/>
        <v>48</v>
      </c>
      <c r="BO43" s="1">
        <f t="shared" si="8"/>
        <v>2</v>
      </c>
      <c r="BP43" s="1">
        <f t="shared" si="9"/>
        <v>0</v>
      </c>
      <c r="BQ43" s="1">
        <f t="shared" si="10"/>
        <v>0</v>
      </c>
      <c r="BR43" s="1">
        <f t="shared" si="11"/>
        <v>0</v>
      </c>
    </row>
    <row r="44" spans="1:70" x14ac:dyDescent="0.3">
      <c r="A44" s="36">
        <v>3</v>
      </c>
      <c r="B44" s="39">
        <v>44771.395833333336</v>
      </c>
      <c r="C44" s="38">
        <f t="shared" si="17"/>
        <v>4.1666666671517305E-2</v>
      </c>
      <c r="D44" s="37">
        <f t="shared" si="16"/>
        <v>1.7083333333357587</v>
      </c>
      <c r="E44" s="40">
        <f t="shared" si="14"/>
        <v>1.7083333333357587</v>
      </c>
      <c r="F44" s="69" t="s">
        <v>18</v>
      </c>
      <c r="G44" s="29" t="s">
        <v>17</v>
      </c>
      <c r="H44" s="29" t="s">
        <v>17</v>
      </c>
      <c r="I44" s="29" t="s">
        <v>17</v>
      </c>
      <c r="J44" s="29" t="s">
        <v>17</v>
      </c>
      <c r="K44" s="29" t="s">
        <v>17</v>
      </c>
      <c r="L44" s="29" t="s">
        <v>17</v>
      </c>
      <c r="M44" s="29" t="s">
        <v>17</v>
      </c>
      <c r="N44" s="29" t="s">
        <v>17</v>
      </c>
      <c r="O44" s="29" t="s">
        <v>17</v>
      </c>
      <c r="P44" s="29" t="s">
        <v>18</v>
      </c>
      <c r="Q44" s="29" t="s">
        <v>17</v>
      </c>
      <c r="R44" s="29" t="s">
        <v>17</v>
      </c>
      <c r="S44" s="29" t="s">
        <v>17</v>
      </c>
      <c r="T44" s="29" t="s">
        <v>17</v>
      </c>
      <c r="U44" s="29" t="s">
        <v>17</v>
      </c>
      <c r="V44" s="29" t="s">
        <v>17</v>
      </c>
      <c r="W44" s="29" t="s">
        <v>17</v>
      </c>
      <c r="X44" s="29" t="s">
        <v>17</v>
      </c>
      <c r="Y44" s="29" t="s">
        <v>17</v>
      </c>
      <c r="Z44" s="29" t="s">
        <v>17</v>
      </c>
      <c r="AA44" s="29" t="s">
        <v>17</v>
      </c>
      <c r="AB44" s="29" t="s">
        <v>17</v>
      </c>
      <c r="AC44" s="29" t="s">
        <v>17</v>
      </c>
      <c r="AD44" s="29" t="s">
        <v>17</v>
      </c>
      <c r="AE44" s="29" t="s">
        <v>17</v>
      </c>
      <c r="AF44" s="29" t="s">
        <v>17</v>
      </c>
      <c r="AG44" s="29" t="s">
        <v>17</v>
      </c>
      <c r="AH44" s="29" t="s">
        <v>17</v>
      </c>
      <c r="AI44" s="29" t="s">
        <v>17</v>
      </c>
      <c r="AJ44" s="29" t="s">
        <v>17</v>
      </c>
      <c r="AK44" s="29" t="s">
        <v>17</v>
      </c>
      <c r="AL44" s="29" t="s">
        <v>17</v>
      </c>
      <c r="AM44" s="29" t="s">
        <v>17</v>
      </c>
      <c r="AN44" s="29" t="s">
        <v>17</v>
      </c>
      <c r="AO44" s="29" t="s">
        <v>17</v>
      </c>
      <c r="AP44" s="29" t="s">
        <v>17</v>
      </c>
      <c r="AQ44" s="29" t="s">
        <v>17</v>
      </c>
      <c r="AR44" s="29" t="s">
        <v>17</v>
      </c>
      <c r="AS44" s="29" t="s">
        <v>17</v>
      </c>
      <c r="AT44" s="29" t="s">
        <v>17</v>
      </c>
      <c r="AU44" s="29" t="s">
        <v>17</v>
      </c>
      <c r="AV44" s="29" t="s">
        <v>17</v>
      </c>
      <c r="AW44" s="29" t="s">
        <v>17</v>
      </c>
      <c r="AX44" s="29" t="s">
        <v>17</v>
      </c>
      <c r="AY44" s="29" t="s">
        <v>17</v>
      </c>
      <c r="AZ44" s="29" t="s">
        <v>17</v>
      </c>
      <c r="BA44" s="29" t="s">
        <v>17</v>
      </c>
      <c r="BB44" s="29" t="s">
        <v>17</v>
      </c>
      <c r="BC44" s="29" t="s">
        <v>17</v>
      </c>
      <c r="BD44" s="29"/>
      <c r="BE44" s="40">
        <v>1.7083333333357587</v>
      </c>
      <c r="BF44" s="1">
        <f t="shared" si="0"/>
        <v>0</v>
      </c>
      <c r="BG44" s="1">
        <f t="shared" si="1"/>
        <v>0</v>
      </c>
      <c r="BH44" s="1">
        <f t="shared" si="2"/>
        <v>0</v>
      </c>
      <c r="BI44" s="1">
        <f t="shared" si="3"/>
        <v>0</v>
      </c>
      <c r="BJ44" s="1">
        <f t="shared" si="4"/>
        <v>0</v>
      </c>
      <c r="BK44" s="1">
        <f t="shared" si="5"/>
        <v>0</v>
      </c>
      <c r="BL44" s="1">
        <f t="shared" si="6"/>
        <v>0</v>
      </c>
      <c r="BN44" s="1">
        <f t="shared" si="7"/>
        <v>48</v>
      </c>
      <c r="BO44" s="1">
        <f t="shared" si="8"/>
        <v>2</v>
      </c>
      <c r="BP44" s="1">
        <f t="shared" si="9"/>
        <v>0</v>
      </c>
      <c r="BQ44" s="1">
        <f t="shared" si="10"/>
        <v>0</v>
      </c>
      <c r="BR44" s="1">
        <f t="shared" si="11"/>
        <v>0</v>
      </c>
    </row>
    <row r="45" spans="1:70" x14ac:dyDescent="0.3">
      <c r="A45" s="36">
        <v>3</v>
      </c>
      <c r="B45" s="39">
        <v>44771.4375</v>
      </c>
      <c r="C45" s="38">
        <f t="shared" si="17"/>
        <v>4.1666666664241347E-2</v>
      </c>
      <c r="D45" s="37">
        <f t="shared" si="16"/>
        <v>1.75</v>
      </c>
      <c r="E45" s="40">
        <f t="shared" si="14"/>
        <v>1.75</v>
      </c>
      <c r="F45" s="69" t="s">
        <v>18</v>
      </c>
      <c r="G45" s="29" t="s">
        <v>17</v>
      </c>
      <c r="H45" s="29" t="s">
        <v>17</v>
      </c>
      <c r="I45" s="29" t="s">
        <v>17</v>
      </c>
      <c r="J45" s="29" t="s">
        <v>17</v>
      </c>
      <c r="K45" s="29" t="s">
        <v>17</v>
      </c>
      <c r="L45" s="29" t="s">
        <v>17</v>
      </c>
      <c r="M45" s="29" t="s">
        <v>17</v>
      </c>
      <c r="N45" s="29" t="s">
        <v>17</v>
      </c>
      <c r="O45" s="29" t="s">
        <v>17</v>
      </c>
      <c r="P45" s="29" t="s">
        <v>18</v>
      </c>
      <c r="Q45" s="29" t="s">
        <v>17</v>
      </c>
      <c r="R45" s="29" t="s">
        <v>17</v>
      </c>
      <c r="S45" s="29" t="s">
        <v>17</v>
      </c>
      <c r="T45" s="29" t="s">
        <v>17</v>
      </c>
      <c r="U45" s="29" t="s">
        <v>17</v>
      </c>
      <c r="V45" s="29" t="s">
        <v>17</v>
      </c>
      <c r="W45" s="29" t="s">
        <v>17</v>
      </c>
      <c r="X45" s="29" t="s">
        <v>17</v>
      </c>
      <c r="Y45" s="29" t="s">
        <v>17</v>
      </c>
      <c r="Z45" s="29" t="s">
        <v>17</v>
      </c>
      <c r="AA45" s="29" t="s">
        <v>17</v>
      </c>
      <c r="AB45" s="29" t="s">
        <v>17</v>
      </c>
      <c r="AC45" s="29" t="s">
        <v>17</v>
      </c>
      <c r="AD45" s="29" t="s">
        <v>17</v>
      </c>
      <c r="AE45" s="29" t="s">
        <v>17</v>
      </c>
      <c r="AF45" s="29" t="s">
        <v>17</v>
      </c>
      <c r="AG45" s="29" t="s">
        <v>17</v>
      </c>
      <c r="AH45" s="29" t="s">
        <v>17</v>
      </c>
      <c r="AI45" s="29" t="s">
        <v>17</v>
      </c>
      <c r="AJ45" s="29" t="s">
        <v>17</v>
      </c>
      <c r="AK45" s="29" t="s">
        <v>17</v>
      </c>
      <c r="AL45" s="29" t="s">
        <v>17</v>
      </c>
      <c r="AM45" s="29" t="s">
        <v>17</v>
      </c>
      <c r="AN45" s="29" t="s">
        <v>17</v>
      </c>
      <c r="AO45" s="29" t="s">
        <v>17</v>
      </c>
      <c r="AP45" s="29" t="s">
        <v>17</v>
      </c>
      <c r="AQ45" s="29" t="s">
        <v>17</v>
      </c>
      <c r="AR45" s="29" t="s">
        <v>17</v>
      </c>
      <c r="AS45" s="29" t="s">
        <v>17</v>
      </c>
      <c r="AT45" s="29" t="s">
        <v>17</v>
      </c>
      <c r="AU45" s="29" t="s">
        <v>17</v>
      </c>
      <c r="AV45" s="29" t="s">
        <v>17</v>
      </c>
      <c r="AW45" s="29" t="s">
        <v>17</v>
      </c>
      <c r="AX45" s="29" t="s">
        <v>17</v>
      </c>
      <c r="AY45" s="29" t="s">
        <v>17</v>
      </c>
      <c r="AZ45" s="29" t="s">
        <v>17</v>
      </c>
      <c r="BA45" s="29" t="s">
        <v>17</v>
      </c>
      <c r="BB45" s="29" t="s">
        <v>17</v>
      </c>
      <c r="BC45" s="29" t="s">
        <v>17</v>
      </c>
      <c r="BD45" s="29"/>
      <c r="BE45" s="40">
        <v>1.75</v>
      </c>
      <c r="BF45" s="1">
        <f t="shared" si="0"/>
        <v>0</v>
      </c>
      <c r="BG45" s="1">
        <f t="shared" si="1"/>
        <v>0</v>
      </c>
      <c r="BH45" s="1">
        <f t="shared" si="2"/>
        <v>0</v>
      </c>
      <c r="BI45" s="1">
        <f t="shared" si="3"/>
        <v>0</v>
      </c>
      <c r="BJ45" s="1">
        <f t="shared" si="4"/>
        <v>0</v>
      </c>
      <c r="BK45" s="1">
        <f t="shared" si="5"/>
        <v>0</v>
      </c>
      <c r="BL45" s="1">
        <f t="shared" si="6"/>
        <v>0</v>
      </c>
      <c r="BN45" s="1">
        <f t="shared" si="7"/>
        <v>48</v>
      </c>
      <c r="BO45" s="1">
        <f t="shared" si="8"/>
        <v>2</v>
      </c>
      <c r="BP45" s="1">
        <f t="shared" si="9"/>
        <v>0</v>
      </c>
      <c r="BQ45" s="1">
        <f t="shared" si="10"/>
        <v>0</v>
      </c>
      <c r="BR45" s="1">
        <f t="shared" si="11"/>
        <v>0</v>
      </c>
    </row>
    <row r="46" spans="1:70" x14ac:dyDescent="0.3">
      <c r="A46" s="36">
        <v>3</v>
      </c>
      <c r="B46" s="39">
        <v>44771.479166666664</v>
      </c>
      <c r="C46" s="38">
        <f t="shared" si="17"/>
        <v>4.1666666664241347E-2</v>
      </c>
      <c r="D46" s="37">
        <f t="shared" si="16"/>
        <v>1.7916666666642413</v>
      </c>
      <c r="E46" s="40">
        <f t="shared" si="14"/>
        <v>1.7916666666642413</v>
      </c>
      <c r="F46" s="69" t="s">
        <v>18</v>
      </c>
      <c r="G46" s="29" t="s">
        <v>17</v>
      </c>
      <c r="H46" s="29" t="s">
        <v>17</v>
      </c>
      <c r="I46" s="29" t="s">
        <v>17</v>
      </c>
      <c r="J46" s="29" t="s">
        <v>17</v>
      </c>
      <c r="K46" s="29" t="s">
        <v>17</v>
      </c>
      <c r="L46" s="29" t="s">
        <v>17</v>
      </c>
      <c r="M46" s="29" t="s">
        <v>17</v>
      </c>
      <c r="N46" s="29" t="s">
        <v>17</v>
      </c>
      <c r="O46" s="29" t="s">
        <v>17</v>
      </c>
      <c r="P46" s="29" t="s">
        <v>18</v>
      </c>
      <c r="Q46" s="29" t="s">
        <v>17</v>
      </c>
      <c r="R46" s="29" t="s">
        <v>17</v>
      </c>
      <c r="S46" s="29" t="s">
        <v>17</v>
      </c>
      <c r="T46" s="29" t="s">
        <v>17</v>
      </c>
      <c r="U46" s="29" t="s">
        <v>17</v>
      </c>
      <c r="V46" s="29" t="s">
        <v>17</v>
      </c>
      <c r="W46" s="29" t="s">
        <v>17</v>
      </c>
      <c r="X46" s="29" t="s">
        <v>17</v>
      </c>
      <c r="Y46" s="29" t="s">
        <v>17</v>
      </c>
      <c r="Z46" s="29" t="s">
        <v>17</v>
      </c>
      <c r="AA46" s="29" t="s">
        <v>17</v>
      </c>
      <c r="AB46" s="29" t="s">
        <v>17</v>
      </c>
      <c r="AC46" s="29" t="s">
        <v>17</v>
      </c>
      <c r="AD46" s="29" t="s">
        <v>17</v>
      </c>
      <c r="AE46" s="29" t="s">
        <v>17</v>
      </c>
      <c r="AF46" s="29" t="s">
        <v>17</v>
      </c>
      <c r="AG46" s="29" t="s">
        <v>17</v>
      </c>
      <c r="AH46" s="29" t="s">
        <v>17</v>
      </c>
      <c r="AI46" s="29" t="s">
        <v>17</v>
      </c>
      <c r="AJ46" s="29" t="s">
        <v>17</v>
      </c>
      <c r="AK46" s="29" t="s">
        <v>17</v>
      </c>
      <c r="AL46" s="29" t="s">
        <v>17</v>
      </c>
      <c r="AM46" s="29" t="s">
        <v>17</v>
      </c>
      <c r="AN46" s="29" t="s">
        <v>17</v>
      </c>
      <c r="AO46" s="29" t="s">
        <v>17</v>
      </c>
      <c r="AP46" s="29" t="s">
        <v>17</v>
      </c>
      <c r="AQ46" s="29" t="s">
        <v>17</v>
      </c>
      <c r="AR46" s="29" t="s">
        <v>17</v>
      </c>
      <c r="AS46" s="29" t="s">
        <v>17</v>
      </c>
      <c r="AT46" s="29" t="s">
        <v>17</v>
      </c>
      <c r="AU46" s="29" t="s">
        <v>17</v>
      </c>
      <c r="AV46" s="29" t="s">
        <v>17</v>
      </c>
      <c r="AW46" s="29" t="s">
        <v>17</v>
      </c>
      <c r="AX46" s="29" t="s">
        <v>17</v>
      </c>
      <c r="AY46" s="29" t="s">
        <v>17</v>
      </c>
      <c r="AZ46" s="29" t="s">
        <v>17</v>
      </c>
      <c r="BA46" s="29" t="s">
        <v>17</v>
      </c>
      <c r="BB46" s="29" t="s">
        <v>17</v>
      </c>
      <c r="BC46" s="29" t="s">
        <v>17</v>
      </c>
      <c r="BD46" s="29"/>
      <c r="BE46" s="40">
        <v>1.7916666666642413</v>
      </c>
      <c r="BF46" s="1">
        <f t="shared" si="0"/>
        <v>0</v>
      </c>
      <c r="BG46" s="1">
        <f t="shared" si="1"/>
        <v>0</v>
      </c>
      <c r="BH46" s="1">
        <f t="shared" si="2"/>
        <v>0</v>
      </c>
      <c r="BI46" s="1">
        <f t="shared" si="3"/>
        <v>0</v>
      </c>
      <c r="BJ46" s="1">
        <f t="shared" si="4"/>
        <v>0</v>
      </c>
      <c r="BK46" s="1">
        <f t="shared" si="5"/>
        <v>0</v>
      </c>
      <c r="BL46" s="1">
        <f t="shared" si="6"/>
        <v>0</v>
      </c>
      <c r="BN46" s="1">
        <f t="shared" si="7"/>
        <v>48</v>
      </c>
      <c r="BO46" s="1">
        <f t="shared" si="8"/>
        <v>2</v>
      </c>
      <c r="BP46" s="1">
        <f t="shared" si="9"/>
        <v>0</v>
      </c>
      <c r="BQ46" s="1">
        <f t="shared" si="10"/>
        <v>0</v>
      </c>
      <c r="BR46" s="1">
        <f t="shared" si="11"/>
        <v>0</v>
      </c>
    </row>
    <row r="47" spans="1:70" x14ac:dyDescent="0.3">
      <c r="A47" s="36">
        <v>3</v>
      </c>
      <c r="B47" s="39">
        <v>44771.520833333336</v>
      </c>
      <c r="C47" s="38">
        <f t="shared" si="17"/>
        <v>4.1666666671517305E-2</v>
      </c>
      <c r="D47" s="37">
        <f t="shared" si="16"/>
        <v>1.8333333333357587</v>
      </c>
      <c r="E47" s="40">
        <f t="shared" si="14"/>
        <v>1.8333333333357587</v>
      </c>
      <c r="F47" s="69" t="s">
        <v>18</v>
      </c>
      <c r="G47" s="29" t="s">
        <v>17</v>
      </c>
      <c r="H47" s="29" t="s">
        <v>17</v>
      </c>
      <c r="I47" s="29" t="s">
        <v>17</v>
      </c>
      <c r="J47" s="29" t="s">
        <v>17</v>
      </c>
      <c r="K47" s="29" t="s">
        <v>17</v>
      </c>
      <c r="L47" s="29" t="s">
        <v>17</v>
      </c>
      <c r="M47" s="29" t="s">
        <v>17</v>
      </c>
      <c r="N47" s="29" t="s">
        <v>17</v>
      </c>
      <c r="O47" s="29" t="s">
        <v>17</v>
      </c>
      <c r="P47" s="29" t="s">
        <v>18</v>
      </c>
      <c r="Q47" s="29" t="s">
        <v>17</v>
      </c>
      <c r="R47" s="29" t="s">
        <v>17</v>
      </c>
      <c r="S47" s="29" t="s">
        <v>17</v>
      </c>
      <c r="T47" s="29" t="s">
        <v>17</v>
      </c>
      <c r="U47" s="29" t="s">
        <v>17</v>
      </c>
      <c r="V47" s="29" t="s">
        <v>17</v>
      </c>
      <c r="W47" s="29" t="s">
        <v>17</v>
      </c>
      <c r="X47" s="29" t="s">
        <v>17</v>
      </c>
      <c r="Y47" s="29" t="s">
        <v>17</v>
      </c>
      <c r="Z47" s="29" t="s">
        <v>17</v>
      </c>
      <c r="AA47" s="29" t="s">
        <v>17</v>
      </c>
      <c r="AB47" s="29" t="s">
        <v>17</v>
      </c>
      <c r="AC47" s="29" t="s">
        <v>17</v>
      </c>
      <c r="AD47" s="29" t="s">
        <v>17</v>
      </c>
      <c r="AE47" s="29" t="s">
        <v>17</v>
      </c>
      <c r="AF47" s="29" t="s">
        <v>17</v>
      </c>
      <c r="AG47" s="29" t="s">
        <v>17</v>
      </c>
      <c r="AH47" s="29" t="s">
        <v>17</v>
      </c>
      <c r="AI47" s="29" t="s">
        <v>17</v>
      </c>
      <c r="AJ47" s="29" t="s">
        <v>17</v>
      </c>
      <c r="AK47" s="29" t="s">
        <v>17</v>
      </c>
      <c r="AL47" s="29" t="s">
        <v>17</v>
      </c>
      <c r="AM47" s="29" t="s">
        <v>17</v>
      </c>
      <c r="AN47" s="29" t="s">
        <v>17</v>
      </c>
      <c r="AO47" s="29" t="s">
        <v>17</v>
      </c>
      <c r="AP47" s="29" t="s">
        <v>17</v>
      </c>
      <c r="AQ47" s="29" t="s">
        <v>17</v>
      </c>
      <c r="AR47" s="29" t="s">
        <v>17</v>
      </c>
      <c r="AS47" s="29" t="s">
        <v>17</v>
      </c>
      <c r="AT47" s="29" t="s">
        <v>17</v>
      </c>
      <c r="AU47" s="29" t="s">
        <v>17</v>
      </c>
      <c r="AV47" s="29" t="s">
        <v>17</v>
      </c>
      <c r="AW47" s="29" t="s">
        <v>17</v>
      </c>
      <c r="AX47" s="29" t="s">
        <v>17</v>
      </c>
      <c r="AY47" s="29" t="s">
        <v>17</v>
      </c>
      <c r="AZ47" s="29" t="s">
        <v>17</v>
      </c>
      <c r="BA47" s="29" t="s">
        <v>17</v>
      </c>
      <c r="BB47" s="29" t="s">
        <v>17</v>
      </c>
      <c r="BC47" s="29" t="s">
        <v>17</v>
      </c>
      <c r="BD47" s="29"/>
      <c r="BE47" s="40">
        <v>1.8333333333357587</v>
      </c>
      <c r="BF47" s="1">
        <f t="shared" si="0"/>
        <v>0</v>
      </c>
      <c r="BG47" s="1">
        <f t="shared" si="1"/>
        <v>0</v>
      </c>
      <c r="BH47" s="1">
        <f t="shared" si="2"/>
        <v>0</v>
      </c>
      <c r="BI47" s="1">
        <f t="shared" si="3"/>
        <v>0</v>
      </c>
      <c r="BJ47" s="1">
        <f t="shared" si="4"/>
        <v>0</v>
      </c>
      <c r="BK47" s="1">
        <f t="shared" si="5"/>
        <v>0</v>
      </c>
      <c r="BL47" s="1">
        <f t="shared" si="6"/>
        <v>0</v>
      </c>
      <c r="BN47" s="1">
        <f t="shared" si="7"/>
        <v>48</v>
      </c>
      <c r="BO47" s="1">
        <f t="shared" si="8"/>
        <v>2</v>
      </c>
      <c r="BP47" s="1">
        <f t="shared" si="9"/>
        <v>0</v>
      </c>
      <c r="BQ47" s="1">
        <f t="shared" si="10"/>
        <v>0</v>
      </c>
      <c r="BR47" s="1">
        <f t="shared" si="11"/>
        <v>0</v>
      </c>
    </row>
    <row r="48" spans="1:70" x14ac:dyDescent="0.3">
      <c r="A48" s="36">
        <v>3</v>
      </c>
      <c r="B48" s="39">
        <v>44771.5625</v>
      </c>
      <c r="C48" s="38">
        <f t="shared" si="17"/>
        <v>4.1666666664241347E-2</v>
      </c>
      <c r="D48" s="37">
        <f t="shared" si="16"/>
        <v>1.875</v>
      </c>
      <c r="E48" s="40">
        <f t="shared" si="14"/>
        <v>1.875</v>
      </c>
      <c r="F48" s="69" t="s">
        <v>18</v>
      </c>
      <c r="G48" s="29" t="s">
        <v>17</v>
      </c>
      <c r="H48" s="29" t="s">
        <v>17</v>
      </c>
      <c r="I48" s="29" t="s">
        <v>17</v>
      </c>
      <c r="J48" s="29" t="s">
        <v>17</v>
      </c>
      <c r="K48" s="29" t="s">
        <v>17</v>
      </c>
      <c r="L48" s="29" t="s">
        <v>17</v>
      </c>
      <c r="M48" s="29" t="s">
        <v>17</v>
      </c>
      <c r="N48" s="29" t="s">
        <v>17</v>
      </c>
      <c r="O48" s="29" t="s">
        <v>17</v>
      </c>
      <c r="P48" s="29" t="s">
        <v>18</v>
      </c>
      <c r="Q48" s="29" t="s">
        <v>17</v>
      </c>
      <c r="R48" s="29" t="s">
        <v>17</v>
      </c>
      <c r="S48" s="29" t="s">
        <v>17</v>
      </c>
      <c r="T48" s="29" t="s">
        <v>17</v>
      </c>
      <c r="U48" s="29" t="s">
        <v>17</v>
      </c>
      <c r="V48" s="29" t="s">
        <v>17</v>
      </c>
      <c r="W48" s="29" t="s">
        <v>17</v>
      </c>
      <c r="X48" s="29" t="s">
        <v>17</v>
      </c>
      <c r="Y48" s="29" t="s">
        <v>17</v>
      </c>
      <c r="Z48" s="29" t="s">
        <v>17</v>
      </c>
      <c r="AA48" s="29" t="s">
        <v>17</v>
      </c>
      <c r="AB48" s="29" t="s">
        <v>17</v>
      </c>
      <c r="AC48" s="29" t="s">
        <v>17</v>
      </c>
      <c r="AD48" s="29" t="s">
        <v>17</v>
      </c>
      <c r="AE48" s="29" t="s">
        <v>17</v>
      </c>
      <c r="AF48" s="29" t="s">
        <v>17</v>
      </c>
      <c r="AG48" s="29" t="s">
        <v>17</v>
      </c>
      <c r="AH48" s="29" t="s">
        <v>17</v>
      </c>
      <c r="AI48" s="29" t="s">
        <v>17</v>
      </c>
      <c r="AJ48" s="29" t="s">
        <v>17</v>
      </c>
      <c r="AK48" s="29" t="s">
        <v>17</v>
      </c>
      <c r="AL48" s="29" t="s">
        <v>17</v>
      </c>
      <c r="AM48" s="29" t="s">
        <v>17</v>
      </c>
      <c r="AN48" s="29" t="s">
        <v>17</v>
      </c>
      <c r="AO48" s="29" t="s">
        <v>17</v>
      </c>
      <c r="AP48" s="29" t="s">
        <v>17</v>
      </c>
      <c r="AQ48" s="29" t="s">
        <v>17</v>
      </c>
      <c r="AR48" s="29" t="s">
        <v>17</v>
      </c>
      <c r="AS48" s="29" t="s">
        <v>17</v>
      </c>
      <c r="AT48" s="29" t="s">
        <v>17</v>
      </c>
      <c r="AU48" s="29" t="s">
        <v>17</v>
      </c>
      <c r="AV48" s="29" t="s">
        <v>17</v>
      </c>
      <c r="AW48" s="29" t="s">
        <v>17</v>
      </c>
      <c r="AX48" s="29" t="s">
        <v>17</v>
      </c>
      <c r="AY48" s="29" t="s">
        <v>17</v>
      </c>
      <c r="AZ48" s="29" t="s">
        <v>17</v>
      </c>
      <c r="BA48" s="29" t="s">
        <v>17</v>
      </c>
      <c r="BB48" s="29" t="s">
        <v>17</v>
      </c>
      <c r="BC48" s="29" t="s">
        <v>17</v>
      </c>
      <c r="BD48" s="29"/>
      <c r="BE48" s="40">
        <v>1.875</v>
      </c>
      <c r="BF48" s="1">
        <f t="shared" si="0"/>
        <v>0</v>
      </c>
      <c r="BG48" s="1">
        <f t="shared" si="1"/>
        <v>0</v>
      </c>
      <c r="BH48" s="1">
        <f t="shared" si="2"/>
        <v>0</v>
      </c>
      <c r="BI48" s="1">
        <f t="shared" si="3"/>
        <v>0</v>
      </c>
      <c r="BJ48" s="1">
        <f t="shared" si="4"/>
        <v>0</v>
      </c>
      <c r="BK48" s="1">
        <f t="shared" si="5"/>
        <v>0</v>
      </c>
      <c r="BL48" s="1">
        <f t="shared" si="6"/>
        <v>0</v>
      </c>
      <c r="BN48" s="1">
        <f t="shared" si="7"/>
        <v>48</v>
      </c>
      <c r="BO48" s="1">
        <f>COUNTIF($F48:$BC48, "L1_D")</f>
        <v>2</v>
      </c>
      <c r="BP48" s="1">
        <f t="shared" si="9"/>
        <v>0</v>
      </c>
      <c r="BQ48" s="1">
        <f t="shared" si="10"/>
        <v>0</v>
      </c>
      <c r="BR48" s="1">
        <f t="shared" si="11"/>
        <v>0</v>
      </c>
    </row>
    <row r="49" spans="5:5" x14ac:dyDescent="0.3">
      <c r="E49" s="37"/>
    </row>
    <row r="50" spans="5:5" x14ac:dyDescent="0.3">
      <c r="E50" s="37"/>
    </row>
  </sheetData>
  <mergeCells count="6">
    <mergeCell ref="E1:E2"/>
    <mergeCell ref="F1:BC2"/>
    <mergeCell ref="A1:A2"/>
    <mergeCell ref="B1:B2"/>
    <mergeCell ref="C1:C2"/>
    <mergeCell ref="D1:D2"/>
  </mergeCells>
  <phoneticPr fontId="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92B3-F4CE-4DBF-9306-7BF099679801}">
  <dimension ref="A1:BQ23"/>
  <sheetViews>
    <sheetView topLeftCell="AW1" workbookViewId="0">
      <selection activeCell="BH19" sqref="BH19"/>
    </sheetView>
  </sheetViews>
  <sheetFormatPr defaultRowHeight="14.4" x14ac:dyDescent="0.3"/>
  <cols>
    <col min="2" max="2" width="17" bestFit="1" customWidth="1"/>
    <col min="4" max="4" width="19.5546875" bestFit="1" customWidth="1"/>
    <col min="64" max="64" width="1.77734375" customWidth="1"/>
  </cols>
  <sheetData>
    <row r="1" spans="1:69" x14ac:dyDescent="0.3">
      <c r="A1" s="83" t="s">
        <v>34</v>
      </c>
      <c r="B1" s="78" t="s">
        <v>32</v>
      </c>
      <c r="C1" s="77" t="s">
        <v>23</v>
      </c>
      <c r="D1" s="77" t="s">
        <v>24</v>
      </c>
      <c r="E1" s="79" t="s">
        <v>25</v>
      </c>
      <c r="F1" s="84" t="s">
        <v>52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54"/>
      <c r="BE1" s="50" t="s">
        <v>15</v>
      </c>
      <c r="BF1" s="27"/>
      <c r="BG1" s="27"/>
      <c r="BH1" s="27"/>
      <c r="BI1" s="27"/>
      <c r="BJ1" s="27"/>
      <c r="BK1" s="27"/>
      <c r="BL1" s="32"/>
      <c r="BM1" s="27" t="s">
        <v>16</v>
      </c>
      <c r="BN1" s="27"/>
      <c r="BO1" s="27"/>
      <c r="BP1" s="27"/>
      <c r="BQ1" s="27"/>
    </row>
    <row r="2" spans="1:69" x14ac:dyDescent="0.3">
      <c r="A2" s="83"/>
      <c r="B2" s="78"/>
      <c r="C2" s="77"/>
      <c r="D2" s="77"/>
      <c r="E2" s="79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54"/>
      <c r="BE2" s="22" t="s">
        <v>9</v>
      </c>
      <c r="BF2" s="23" t="s">
        <v>5</v>
      </c>
      <c r="BG2" s="16" t="s">
        <v>8</v>
      </c>
      <c r="BH2" s="17" t="s">
        <v>10</v>
      </c>
      <c r="BI2" s="18" t="s">
        <v>11</v>
      </c>
      <c r="BJ2" s="19" t="s">
        <v>13</v>
      </c>
      <c r="BK2" s="20" t="s">
        <v>14</v>
      </c>
      <c r="BL2" s="32"/>
      <c r="BM2" s="22" t="s">
        <v>9</v>
      </c>
      <c r="BN2" s="23" t="s">
        <v>5</v>
      </c>
      <c r="BO2" s="16" t="s">
        <v>8</v>
      </c>
      <c r="BP2" s="17" t="s">
        <v>10</v>
      </c>
      <c r="BQ2" s="18" t="s">
        <v>11</v>
      </c>
    </row>
    <row r="3" spans="1:69" x14ac:dyDescent="0.3">
      <c r="A3" s="36">
        <v>1</v>
      </c>
      <c r="B3" s="39">
        <v>44775.868055555555</v>
      </c>
      <c r="C3" s="33">
        <v>0</v>
      </c>
      <c r="D3" s="37">
        <v>0</v>
      </c>
      <c r="E3" s="5">
        <v>0</v>
      </c>
      <c r="F3" s="29" t="s">
        <v>4</v>
      </c>
      <c r="G3" s="29" t="s">
        <v>4</v>
      </c>
      <c r="H3" s="29" t="s">
        <v>4</v>
      </c>
      <c r="I3" s="29" t="s">
        <v>4</v>
      </c>
      <c r="J3" s="29" t="s">
        <v>4</v>
      </c>
      <c r="K3" s="29" t="s">
        <v>4</v>
      </c>
      <c r="L3" s="29" t="s">
        <v>4</v>
      </c>
      <c r="M3" s="29" t="s">
        <v>4</v>
      </c>
      <c r="N3" s="29" t="s">
        <v>4</v>
      </c>
      <c r="O3" s="29" t="s">
        <v>4</v>
      </c>
      <c r="P3" s="29" t="s">
        <v>4</v>
      </c>
      <c r="Q3" s="29" t="s">
        <v>4</v>
      </c>
      <c r="R3" s="29" t="s">
        <v>4</v>
      </c>
      <c r="S3" s="29" t="s">
        <v>4</v>
      </c>
      <c r="T3" s="29" t="s">
        <v>4</v>
      </c>
      <c r="U3" s="29" t="s">
        <v>4</v>
      </c>
      <c r="V3" s="29" t="s">
        <v>4</v>
      </c>
      <c r="W3" s="29" t="s">
        <v>4</v>
      </c>
      <c r="X3" s="29" t="s">
        <v>4</v>
      </c>
      <c r="Y3" s="29" t="s">
        <v>4</v>
      </c>
      <c r="Z3" s="29" t="s">
        <v>4</v>
      </c>
      <c r="AA3" s="29" t="s">
        <v>4</v>
      </c>
      <c r="AB3" s="29" t="s">
        <v>4</v>
      </c>
      <c r="AC3" s="29" t="s">
        <v>4</v>
      </c>
      <c r="AD3" s="29" t="s">
        <v>4</v>
      </c>
      <c r="AE3" s="29" t="s">
        <v>4</v>
      </c>
      <c r="AF3" s="29" t="s">
        <v>4</v>
      </c>
      <c r="AG3" s="29" t="s">
        <v>4</v>
      </c>
      <c r="AH3" s="29" t="s">
        <v>4</v>
      </c>
      <c r="AI3" s="29" t="s">
        <v>4</v>
      </c>
      <c r="AJ3" s="29" t="s">
        <v>4</v>
      </c>
      <c r="AK3" s="29" t="s">
        <v>4</v>
      </c>
      <c r="AL3" s="29" t="s">
        <v>4</v>
      </c>
      <c r="AM3" s="29" t="s">
        <v>4</v>
      </c>
      <c r="AN3" s="29" t="s">
        <v>4</v>
      </c>
      <c r="AO3" s="29" t="s">
        <v>4</v>
      </c>
      <c r="AP3" s="29" t="s">
        <v>4</v>
      </c>
      <c r="AQ3" s="29" t="s">
        <v>4</v>
      </c>
      <c r="AR3" s="29" t="s">
        <v>4</v>
      </c>
      <c r="AS3" s="29" t="s">
        <v>4</v>
      </c>
      <c r="AT3" s="29" t="s">
        <v>4</v>
      </c>
      <c r="AU3" s="29" t="s">
        <v>4</v>
      </c>
      <c r="AV3" s="29" t="s">
        <v>4</v>
      </c>
      <c r="AW3" s="29" t="s">
        <v>4</v>
      </c>
      <c r="AX3" s="29" t="s">
        <v>4</v>
      </c>
      <c r="AY3" s="29" t="s">
        <v>4</v>
      </c>
      <c r="AZ3" s="29" t="s">
        <v>4</v>
      </c>
      <c r="BA3" s="29" t="s">
        <v>4</v>
      </c>
      <c r="BB3" s="29" t="s">
        <v>4</v>
      </c>
      <c r="BC3" s="29" t="s">
        <v>4</v>
      </c>
      <c r="BD3" s="29"/>
      <c r="BE3" s="1">
        <f>COUNTIF($F3:$BC3, "E")</f>
        <v>50</v>
      </c>
      <c r="BF3" s="1">
        <f>COUNTIF($F3:$BC3, "L1")</f>
        <v>0</v>
      </c>
      <c r="BG3" s="1">
        <f>COUNTIF($F3:$BC3, "L2")</f>
        <v>0</v>
      </c>
      <c r="BH3" s="1">
        <f>COUNTIF($F3:$BC3, "L3")</f>
        <v>0</v>
      </c>
      <c r="BI3" s="1">
        <f>COUNTIF($F3:$BC3, "P")</f>
        <v>0</v>
      </c>
      <c r="BJ3" s="1">
        <f>COUNTIF($F3:$BC3, "AM")</f>
        <v>0</v>
      </c>
      <c r="BK3" s="1">
        <f>COUNTIF($F3:$BC3, "AF")</f>
        <v>0</v>
      </c>
      <c r="BM3" s="1">
        <f>COUNTIF($F3:$BC3, "E_D")</f>
        <v>0</v>
      </c>
      <c r="BN3" s="1">
        <f>COUNTIF($F3:$BC3, "L1_D")</f>
        <v>0</v>
      </c>
      <c r="BO3" s="1">
        <f>COUNTIF($F3:$BC3, "L2_D")</f>
        <v>0</v>
      </c>
      <c r="BP3" s="1">
        <f>COUNTIF($F3:$BC3, "L3_D")</f>
        <v>0</v>
      </c>
      <c r="BQ3" s="1">
        <f>COUNTIF($F3:$BC3, "P_D")</f>
        <v>0</v>
      </c>
    </row>
    <row r="4" spans="1:69" x14ac:dyDescent="0.3">
      <c r="A4" s="36">
        <v>1</v>
      </c>
      <c r="B4" s="39">
        <v>44775.951388888891</v>
      </c>
      <c r="C4" s="38">
        <f>(B4-B3)</f>
        <v>8.3333333335758653E-2</v>
      </c>
      <c r="D4" s="37">
        <f>D3+C4</f>
        <v>8.3333333335758653E-2</v>
      </c>
      <c r="E4" s="5">
        <f>E3+C4</f>
        <v>8.3333333335758653E-2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  <c r="N4" s="29" t="s">
        <v>4</v>
      </c>
      <c r="O4" s="29" t="s">
        <v>4</v>
      </c>
      <c r="P4" s="29" t="s">
        <v>4</v>
      </c>
      <c r="Q4" s="29" t="s">
        <v>4</v>
      </c>
      <c r="R4" s="29" t="s">
        <v>4</v>
      </c>
      <c r="S4" s="29" t="s">
        <v>4</v>
      </c>
      <c r="T4" s="29" t="s">
        <v>4</v>
      </c>
      <c r="U4" s="29" t="s">
        <v>4</v>
      </c>
      <c r="V4" s="29" t="s">
        <v>4</v>
      </c>
      <c r="W4" s="29" t="s">
        <v>4</v>
      </c>
      <c r="X4" s="29" t="s">
        <v>4</v>
      </c>
      <c r="Y4" s="29" t="s">
        <v>4</v>
      </c>
      <c r="Z4" s="29" t="s">
        <v>4</v>
      </c>
      <c r="AA4" s="29" t="s">
        <v>4</v>
      </c>
      <c r="AB4" s="29" t="s">
        <v>4</v>
      </c>
      <c r="AC4" s="29" t="s">
        <v>4</v>
      </c>
      <c r="AD4" s="29" t="s">
        <v>4</v>
      </c>
      <c r="AE4" s="29" t="s">
        <v>4</v>
      </c>
      <c r="AF4" s="29" t="s">
        <v>4</v>
      </c>
      <c r="AG4" s="29" t="s">
        <v>4</v>
      </c>
      <c r="AH4" s="29" t="s">
        <v>4</v>
      </c>
      <c r="AI4" s="29" t="s">
        <v>4</v>
      </c>
      <c r="AJ4" s="29" t="s">
        <v>4</v>
      </c>
      <c r="AK4" s="29" t="s">
        <v>4</v>
      </c>
      <c r="AL4" s="29" t="s">
        <v>4</v>
      </c>
      <c r="AM4" s="29" t="s">
        <v>4</v>
      </c>
      <c r="AN4" s="29" t="s">
        <v>4</v>
      </c>
      <c r="AO4" s="29" t="s">
        <v>4</v>
      </c>
      <c r="AP4" s="29" t="s">
        <v>4</v>
      </c>
      <c r="AQ4" s="29" t="s">
        <v>4</v>
      </c>
      <c r="AR4" s="29" t="s">
        <v>4</v>
      </c>
      <c r="AS4" s="29" t="s">
        <v>4</v>
      </c>
      <c r="AT4" s="29" t="s">
        <v>4</v>
      </c>
      <c r="AU4" s="29" t="s">
        <v>4</v>
      </c>
      <c r="AV4" s="29" t="s">
        <v>4</v>
      </c>
      <c r="AW4" s="29" t="s">
        <v>4</v>
      </c>
      <c r="AX4" s="29" t="s">
        <v>4</v>
      </c>
      <c r="AY4" s="29" t="s">
        <v>4</v>
      </c>
      <c r="AZ4" s="29" t="s">
        <v>4</v>
      </c>
      <c r="BA4" s="29" t="s">
        <v>4</v>
      </c>
      <c r="BB4" s="29" t="s">
        <v>4</v>
      </c>
      <c r="BC4" s="29" t="s">
        <v>4</v>
      </c>
      <c r="BD4" s="29"/>
      <c r="BE4" s="1">
        <f t="shared" ref="BE4:BE12" si="0">COUNTIF($F4:$BC4, "E")</f>
        <v>50</v>
      </c>
      <c r="BF4" s="1">
        <f t="shared" ref="BF4:BF12" si="1">COUNTIF($F4:$BC4, "L1")</f>
        <v>0</v>
      </c>
      <c r="BG4" s="1">
        <f t="shared" ref="BG4:BG12" si="2">COUNTIF($F4:$BC4, "L2")</f>
        <v>0</v>
      </c>
      <c r="BH4" s="1">
        <f t="shared" ref="BH4:BH12" si="3">COUNTIF($F4:$BC4, "L3")</f>
        <v>0</v>
      </c>
      <c r="BI4" s="1">
        <f t="shared" ref="BI4:BI12" si="4">COUNTIF($F4:$BC4, "P")</f>
        <v>0</v>
      </c>
      <c r="BJ4" s="1">
        <f t="shared" ref="BJ4:BJ12" si="5">COUNTIF($F4:$BC4, "AM")</f>
        <v>0</v>
      </c>
      <c r="BK4" s="1">
        <f t="shared" ref="BK4:BK12" si="6">COUNTIF($F4:$BC4, "AF")</f>
        <v>0</v>
      </c>
      <c r="BM4" s="1">
        <f t="shared" ref="BM4:BM12" si="7">COUNTIF($F4:$BC4, "E_D")</f>
        <v>0</v>
      </c>
      <c r="BN4" s="1">
        <f t="shared" ref="BN4:BN12" si="8">COUNTIF($F4:$BC4, "L1_D")</f>
        <v>0</v>
      </c>
      <c r="BO4" s="1">
        <f t="shared" ref="BO4:BO12" si="9">COUNTIF($F4:$BC4, "L2_D")</f>
        <v>0</v>
      </c>
      <c r="BP4" s="1">
        <f t="shared" ref="BP4:BP12" si="10">COUNTIF($F4:$BC4, "L3_D")</f>
        <v>0</v>
      </c>
      <c r="BQ4" s="1">
        <f t="shared" ref="BQ4:BQ12" si="11">COUNTIF($F4:$BC4, "P_D")</f>
        <v>0</v>
      </c>
    </row>
    <row r="5" spans="1:69" x14ac:dyDescent="0.3">
      <c r="A5" s="36">
        <v>2</v>
      </c>
      <c r="B5" s="39">
        <v>44776.034722222219</v>
      </c>
      <c r="C5" s="38">
        <f t="shared" ref="C5:C12" si="12">(B5-B4)</f>
        <v>8.3333333328482695E-2</v>
      </c>
      <c r="D5" s="37">
        <f>D4+C5</f>
        <v>0.16666666666424135</v>
      </c>
      <c r="E5" s="5">
        <f>E4+C5</f>
        <v>0.16666666666424135</v>
      </c>
      <c r="F5" s="29" t="s">
        <v>17</v>
      </c>
      <c r="G5" s="29" t="s">
        <v>17</v>
      </c>
      <c r="H5" s="29" t="s">
        <v>17</v>
      </c>
      <c r="I5" s="29" t="s">
        <v>17</v>
      </c>
      <c r="J5" s="29" t="s">
        <v>17</v>
      </c>
      <c r="K5" s="29" t="s">
        <v>17</v>
      </c>
      <c r="L5" s="29" t="s">
        <v>17</v>
      </c>
      <c r="M5" s="29" t="s">
        <v>17</v>
      </c>
      <c r="N5" s="29" t="s">
        <v>17</v>
      </c>
      <c r="O5" s="29" t="s">
        <v>17</v>
      </c>
      <c r="P5" s="29" t="s">
        <v>17</v>
      </c>
      <c r="Q5" s="29" t="s">
        <v>17</v>
      </c>
      <c r="R5" s="29" t="s">
        <v>17</v>
      </c>
      <c r="S5" s="29" t="s">
        <v>17</v>
      </c>
      <c r="T5" s="29" t="s">
        <v>17</v>
      </c>
      <c r="U5" s="29" t="s">
        <v>17</v>
      </c>
      <c r="V5" s="29" t="s">
        <v>17</v>
      </c>
      <c r="W5" s="29" t="s">
        <v>17</v>
      </c>
      <c r="X5" s="29" t="s">
        <v>17</v>
      </c>
      <c r="Y5" s="29" t="s">
        <v>17</v>
      </c>
      <c r="Z5" s="29" t="s">
        <v>17</v>
      </c>
      <c r="AA5" s="29" t="s">
        <v>17</v>
      </c>
      <c r="AB5" s="29" t="s">
        <v>17</v>
      </c>
      <c r="AC5" s="29" t="s">
        <v>17</v>
      </c>
      <c r="AD5" s="29" t="s">
        <v>17</v>
      </c>
      <c r="AE5" s="29" t="s">
        <v>17</v>
      </c>
      <c r="AF5" s="29" t="s">
        <v>17</v>
      </c>
      <c r="AG5" s="29" t="s">
        <v>17</v>
      </c>
      <c r="AH5" s="29" t="s">
        <v>17</v>
      </c>
      <c r="AI5" s="29" t="s">
        <v>17</v>
      </c>
      <c r="AJ5" s="29" t="s">
        <v>17</v>
      </c>
      <c r="AK5" s="29" t="s">
        <v>17</v>
      </c>
      <c r="AL5" s="29" t="s">
        <v>17</v>
      </c>
      <c r="AM5" s="29" t="s">
        <v>17</v>
      </c>
      <c r="AN5" s="29" t="s">
        <v>17</v>
      </c>
      <c r="AO5" s="29" t="s">
        <v>17</v>
      </c>
      <c r="AP5" s="29" t="s">
        <v>17</v>
      </c>
      <c r="AQ5" s="29" t="s">
        <v>17</v>
      </c>
      <c r="AR5" s="29" t="s">
        <v>17</v>
      </c>
      <c r="AS5" s="29" t="s">
        <v>17</v>
      </c>
      <c r="AT5" s="29" t="s">
        <v>17</v>
      </c>
      <c r="AU5" s="29" t="s">
        <v>17</v>
      </c>
      <c r="AV5" s="29" t="s">
        <v>17</v>
      </c>
      <c r="AW5" s="29" t="s">
        <v>17</v>
      </c>
      <c r="AX5" s="29" t="s">
        <v>17</v>
      </c>
      <c r="AY5" s="29" t="s">
        <v>17</v>
      </c>
      <c r="AZ5" s="29" t="s">
        <v>17</v>
      </c>
      <c r="BA5" s="29" t="s">
        <v>17</v>
      </c>
      <c r="BB5" s="29" t="s">
        <v>17</v>
      </c>
      <c r="BC5" s="29" t="s">
        <v>17</v>
      </c>
      <c r="BD5" s="29"/>
      <c r="BE5" s="1">
        <f t="shared" si="0"/>
        <v>0</v>
      </c>
      <c r="BF5" s="1">
        <f t="shared" si="1"/>
        <v>0</v>
      </c>
      <c r="BG5" s="1">
        <f t="shared" si="2"/>
        <v>0</v>
      </c>
      <c r="BH5" s="1">
        <f t="shared" si="3"/>
        <v>0</v>
      </c>
      <c r="BI5" s="1">
        <f t="shared" si="4"/>
        <v>0</v>
      </c>
      <c r="BJ5" s="1">
        <f t="shared" si="5"/>
        <v>0</v>
      </c>
      <c r="BK5" s="1">
        <f t="shared" si="6"/>
        <v>0</v>
      </c>
      <c r="BM5" s="1">
        <f t="shared" si="7"/>
        <v>50</v>
      </c>
      <c r="BN5" s="1">
        <f t="shared" si="8"/>
        <v>0</v>
      </c>
      <c r="BO5" s="1">
        <f t="shared" si="9"/>
        <v>0</v>
      </c>
      <c r="BP5" s="1">
        <f t="shared" si="10"/>
        <v>0</v>
      </c>
      <c r="BQ5" s="1">
        <f t="shared" si="11"/>
        <v>0</v>
      </c>
    </row>
    <row r="6" spans="1:69" x14ac:dyDescent="0.3">
      <c r="A6" s="36">
        <v>2</v>
      </c>
      <c r="B6" s="39">
        <v>44776.118055555555</v>
      </c>
      <c r="C6" s="38">
        <f t="shared" si="12"/>
        <v>8.3333333335758653E-2</v>
      </c>
      <c r="D6" s="37">
        <f t="shared" ref="D6:D12" si="13">D5+C6</f>
        <v>0.25</v>
      </c>
      <c r="E6" s="5">
        <f t="shared" ref="E6:E12" si="14">E5+C6</f>
        <v>0.25</v>
      </c>
      <c r="F6" s="29" t="s">
        <v>17</v>
      </c>
      <c r="G6" s="29" t="s">
        <v>17</v>
      </c>
      <c r="H6" s="29" t="s">
        <v>17</v>
      </c>
      <c r="I6" s="29" t="s">
        <v>17</v>
      </c>
      <c r="J6" s="29" t="s">
        <v>17</v>
      </c>
      <c r="K6" s="29" t="s">
        <v>17</v>
      </c>
      <c r="L6" s="29" t="s">
        <v>17</v>
      </c>
      <c r="M6" s="29" t="s">
        <v>17</v>
      </c>
      <c r="N6" s="29" t="s">
        <v>17</v>
      </c>
      <c r="O6" s="29" t="s">
        <v>17</v>
      </c>
      <c r="P6" s="29" t="s">
        <v>17</v>
      </c>
      <c r="Q6" s="29" t="s">
        <v>17</v>
      </c>
      <c r="R6" s="29" t="s">
        <v>17</v>
      </c>
      <c r="S6" s="29" t="s">
        <v>17</v>
      </c>
      <c r="T6" s="29" t="s">
        <v>17</v>
      </c>
      <c r="U6" s="29" t="s">
        <v>17</v>
      </c>
      <c r="V6" s="29" t="s">
        <v>17</v>
      </c>
      <c r="W6" s="29" t="s">
        <v>17</v>
      </c>
      <c r="X6" s="29" t="s">
        <v>17</v>
      </c>
      <c r="Y6" s="29" t="s">
        <v>17</v>
      </c>
      <c r="Z6" s="29" t="s">
        <v>17</v>
      </c>
      <c r="AA6" s="29" t="s">
        <v>17</v>
      </c>
      <c r="AB6" s="29" t="s">
        <v>17</v>
      </c>
      <c r="AC6" s="29" t="s">
        <v>17</v>
      </c>
      <c r="AD6" s="29" t="s">
        <v>17</v>
      </c>
      <c r="AE6" s="29" t="s">
        <v>17</v>
      </c>
      <c r="AF6" s="29" t="s">
        <v>17</v>
      </c>
      <c r="AG6" s="29" t="s">
        <v>17</v>
      </c>
      <c r="AH6" s="29" t="s">
        <v>17</v>
      </c>
      <c r="AI6" s="29" t="s">
        <v>17</v>
      </c>
      <c r="AJ6" s="29" t="s">
        <v>17</v>
      </c>
      <c r="AK6" s="29" t="s">
        <v>17</v>
      </c>
      <c r="AL6" s="29" t="s">
        <v>17</v>
      </c>
      <c r="AM6" s="29" t="s">
        <v>17</v>
      </c>
      <c r="AN6" s="29" t="s">
        <v>17</v>
      </c>
      <c r="AO6" s="29" t="s">
        <v>17</v>
      </c>
      <c r="AP6" s="29" t="s">
        <v>17</v>
      </c>
      <c r="AQ6" s="29" t="s">
        <v>17</v>
      </c>
      <c r="AR6" s="29" t="s">
        <v>17</v>
      </c>
      <c r="AS6" s="29" t="s">
        <v>17</v>
      </c>
      <c r="AT6" s="29" t="s">
        <v>17</v>
      </c>
      <c r="AU6" s="29" t="s">
        <v>17</v>
      </c>
      <c r="AV6" s="29" t="s">
        <v>17</v>
      </c>
      <c r="AW6" s="29" t="s">
        <v>17</v>
      </c>
      <c r="AX6" s="29" t="s">
        <v>17</v>
      </c>
      <c r="AY6" s="29" t="s">
        <v>17</v>
      </c>
      <c r="AZ6" s="29" t="s">
        <v>17</v>
      </c>
      <c r="BA6" s="29" t="s">
        <v>17</v>
      </c>
      <c r="BB6" s="29" t="s">
        <v>17</v>
      </c>
      <c r="BC6" s="29" t="s">
        <v>17</v>
      </c>
      <c r="BD6" s="29"/>
      <c r="BE6" s="1">
        <f t="shared" si="0"/>
        <v>0</v>
      </c>
      <c r="BF6" s="1">
        <f t="shared" si="1"/>
        <v>0</v>
      </c>
      <c r="BG6" s="1">
        <f t="shared" si="2"/>
        <v>0</v>
      </c>
      <c r="BH6" s="1">
        <f t="shared" si="3"/>
        <v>0</v>
      </c>
      <c r="BI6" s="1">
        <f t="shared" si="4"/>
        <v>0</v>
      </c>
      <c r="BJ6" s="1">
        <f t="shared" si="5"/>
        <v>0</v>
      </c>
      <c r="BK6" s="1">
        <f t="shared" si="6"/>
        <v>0</v>
      </c>
      <c r="BM6" s="1">
        <f t="shared" si="7"/>
        <v>50</v>
      </c>
      <c r="BN6" s="1">
        <f t="shared" si="8"/>
        <v>0</v>
      </c>
      <c r="BO6" s="1">
        <f t="shared" si="9"/>
        <v>0</v>
      </c>
      <c r="BP6" s="1">
        <f t="shared" si="10"/>
        <v>0</v>
      </c>
      <c r="BQ6" s="1">
        <f t="shared" si="11"/>
        <v>0</v>
      </c>
    </row>
    <row r="7" spans="1:69" x14ac:dyDescent="0.3">
      <c r="A7" s="36">
        <v>2</v>
      </c>
      <c r="B7" s="39">
        <v>44776.201388888891</v>
      </c>
      <c r="C7" s="38">
        <f t="shared" si="12"/>
        <v>8.3333333335758653E-2</v>
      </c>
      <c r="D7" s="37">
        <f t="shared" si="13"/>
        <v>0.33333333333575865</v>
      </c>
      <c r="E7" s="5">
        <f t="shared" si="14"/>
        <v>0.33333333333575865</v>
      </c>
      <c r="F7" s="29" t="s">
        <v>17</v>
      </c>
      <c r="G7" s="29" t="s">
        <v>17</v>
      </c>
      <c r="H7" s="29" t="s">
        <v>17</v>
      </c>
      <c r="I7" s="29" t="s">
        <v>17</v>
      </c>
      <c r="J7" s="29" t="s">
        <v>17</v>
      </c>
      <c r="K7" s="29" t="s">
        <v>17</v>
      </c>
      <c r="L7" s="29" t="s">
        <v>17</v>
      </c>
      <c r="M7" s="29" t="s">
        <v>17</v>
      </c>
      <c r="N7" s="29" t="s">
        <v>17</v>
      </c>
      <c r="O7" s="29" t="s">
        <v>17</v>
      </c>
      <c r="P7" s="29" t="s">
        <v>17</v>
      </c>
      <c r="Q7" s="29" t="s">
        <v>17</v>
      </c>
      <c r="R7" s="29" t="s">
        <v>17</v>
      </c>
      <c r="S7" s="29" t="s">
        <v>17</v>
      </c>
      <c r="T7" s="29" t="s">
        <v>17</v>
      </c>
      <c r="U7" s="29" t="s">
        <v>17</v>
      </c>
      <c r="V7" s="29" t="s">
        <v>17</v>
      </c>
      <c r="W7" s="29" t="s">
        <v>17</v>
      </c>
      <c r="X7" s="29" t="s">
        <v>17</v>
      </c>
      <c r="Y7" s="29" t="s">
        <v>17</v>
      </c>
      <c r="Z7" s="29" t="s">
        <v>17</v>
      </c>
      <c r="AA7" s="29" t="s">
        <v>17</v>
      </c>
      <c r="AB7" s="29" t="s">
        <v>17</v>
      </c>
      <c r="AC7" s="29" t="s">
        <v>17</v>
      </c>
      <c r="AD7" s="29" t="s">
        <v>17</v>
      </c>
      <c r="AE7" s="29" t="s">
        <v>17</v>
      </c>
      <c r="AF7" s="29" t="s">
        <v>17</v>
      </c>
      <c r="AG7" s="29" t="s">
        <v>17</v>
      </c>
      <c r="AH7" s="29" t="s">
        <v>17</v>
      </c>
      <c r="AI7" s="29" t="s">
        <v>17</v>
      </c>
      <c r="AJ7" s="29" t="s">
        <v>17</v>
      </c>
      <c r="AK7" s="29" t="s">
        <v>17</v>
      </c>
      <c r="AL7" s="29" t="s">
        <v>17</v>
      </c>
      <c r="AM7" s="29" t="s">
        <v>17</v>
      </c>
      <c r="AN7" s="29" t="s">
        <v>17</v>
      </c>
      <c r="AO7" s="29" t="s">
        <v>17</v>
      </c>
      <c r="AP7" s="29" t="s">
        <v>17</v>
      </c>
      <c r="AQ7" s="29" t="s">
        <v>17</v>
      </c>
      <c r="AR7" s="29" t="s">
        <v>17</v>
      </c>
      <c r="AS7" s="29" t="s">
        <v>17</v>
      </c>
      <c r="AT7" s="29" t="s">
        <v>17</v>
      </c>
      <c r="AU7" s="29" t="s">
        <v>17</v>
      </c>
      <c r="AV7" s="29" t="s">
        <v>17</v>
      </c>
      <c r="AW7" s="29" t="s">
        <v>17</v>
      </c>
      <c r="AX7" s="29" t="s">
        <v>17</v>
      </c>
      <c r="AY7" s="29" t="s">
        <v>17</v>
      </c>
      <c r="AZ7" s="29" t="s">
        <v>17</v>
      </c>
      <c r="BA7" s="29" t="s">
        <v>17</v>
      </c>
      <c r="BB7" s="29" t="s">
        <v>17</v>
      </c>
      <c r="BC7" s="29" t="s">
        <v>17</v>
      </c>
      <c r="BD7" s="29"/>
      <c r="BE7" s="1">
        <f t="shared" si="0"/>
        <v>0</v>
      </c>
      <c r="BF7" s="1">
        <f t="shared" si="1"/>
        <v>0</v>
      </c>
      <c r="BG7" s="1">
        <f t="shared" si="2"/>
        <v>0</v>
      </c>
      <c r="BH7" s="1">
        <f t="shared" si="3"/>
        <v>0</v>
      </c>
      <c r="BI7" s="1">
        <f t="shared" si="4"/>
        <v>0</v>
      </c>
      <c r="BJ7" s="1">
        <f t="shared" si="5"/>
        <v>0</v>
      </c>
      <c r="BK7" s="1">
        <f t="shared" si="6"/>
        <v>0</v>
      </c>
      <c r="BM7" s="1">
        <f t="shared" si="7"/>
        <v>50</v>
      </c>
      <c r="BN7" s="1">
        <f t="shared" si="8"/>
        <v>0</v>
      </c>
      <c r="BO7" s="1">
        <f t="shared" si="9"/>
        <v>0</v>
      </c>
      <c r="BP7" s="1">
        <f t="shared" si="10"/>
        <v>0</v>
      </c>
      <c r="BQ7" s="1">
        <f t="shared" si="11"/>
        <v>0</v>
      </c>
    </row>
    <row r="8" spans="1:69" x14ac:dyDescent="0.3">
      <c r="A8" s="36">
        <v>2</v>
      </c>
      <c r="B8" s="39">
        <v>44776.284722222219</v>
      </c>
      <c r="C8" s="38">
        <f t="shared" si="12"/>
        <v>8.3333333328482695E-2</v>
      </c>
      <c r="D8" s="37">
        <f t="shared" si="13"/>
        <v>0.41666666666424135</v>
      </c>
      <c r="E8" s="5">
        <f t="shared" si="14"/>
        <v>0.41666666666424135</v>
      </c>
      <c r="F8" s="29" t="s">
        <v>17</v>
      </c>
      <c r="G8" s="29" t="s">
        <v>17</v>
      </c>
      <c r="H8" s="29" t="s">
        <v>17</v>
      </c>
      <c r="I8" s="29" t="s">
        <v>17</v>
      </c>
      <c r="J8" s="29" t="s">
        <v>17</v>
      </c>
      <c r="K8" s="29" t="s">
        <v>17</v>
      </c>
      <c r="L8" s="29" t="s">
        <v>17</v>
      </c>
      <c r="M8" s="29" t="s">
        <v>17</v>
      </c>
      <c r="N8" s="29" t="s">
        <v>17</v>
      </c>
      <c r="O8" s="29" t="s">
        <v>17</v>
      </c>
      <c r="P8" s="29" t="s">
        <v>17</v>
      </c>
      <c r="Q8" s="29" t="s">
        <v>17</v>
      </c>
      <c r="R8" s="29" t="s">
        <v>17</v>
      </c>
      <c r="S8" s="29" t="s">
        <v>17</v>
      </c>
      <c r="T8" s="29" t="s">
        <v>17</v>
      </c>
      <c r="U8" s="29" t="s">
        <v>17</v>
      </c>
      <c r="V8" s="29" t="s">
        <v>17</v>
      </c>
      <c r="W8" s="29" t="s">
        <v>17</v>
      </c>
      <c r="X8" s="29" t="s">
        <v>17</v>
      </c>
      <c r="Y8" s="29" t="s">
        <v>17</v>
      </c>
      <c r="Z8" s="29" t="s">
        <v>17</v>
      </c>
      <c r="AA8" s="29" t="s">
        <v>17</v>
      </c>
      <c r="AB8" s="29" t="s">
        <v>17</v>
      </c>
      <c r="AC8" s="29" t="s">
        <v>17</v>
      </c>
      <c r="AD8" s="29" t="s">
        <v>17</v>
      </c>
      <c r="AE8" s="29" t="s">
        <v>17</v>
      </c>
      <c r="AF8" s="29" t="s">
        <v>17</v>
      </c>
      <c r="AG8" s="29" t="s">
        <v>17</v>
      </c>
      <c r="AH8" s="29" t="s">
        <v>17</v>
      </c>
      <c r="AI8" s="29" t="s">
        <v>17</v>
      </c>
      <c r="AJ8" s="29" t="s">
        <v>17</v>
      </c>
      <c r="AK8" s="29" t="s">
        <v>17</v>
      </c>
      <c r="AL8" s="29" t="s">
        <v>17</v>
      </c>
      <c r="AM8" s="29" t="s">
        <v>17</v>
      </c>
      <c r="AN8" s="29" t="s">
        <v>17</v>
      </c>
      <c r="AO8" s="29" t="s">
        <v>17</v>
      </c>
      <c r="AP8" s="29" t="s">
        <v>17</v>
      </c>
      <c r="AQ8" s="29" t="s">
        <v>17</v>
      </c>
      <c r="AR8" s="29" t="s">
        <v>17</v>
      </c>
      <c r="AS8" s="29" t="s">
        <v>17</v>
      </c>
      <c r="AT8" s="29" t="s">
        <v>17</v>
      </c>
      <c r="AU8" s="29" t="s">
        <v>17</v>
      </c>
      <c r="AV8" s="29" t="s">
        <v>17</v>
      </c>
      <c r="AW8" s="29" t="s">
        <v>17</v>
      </c>
      <c r="AX8" s="29" t="s">
        <v>17</v>
      </c>
      <c r="AY8" s="29" t="s">
        <v>17</v>
      </c>
      <c r="AZ8" s="29" t="s">
        <v>17</v>
      </c>
      <c r="BA8" s="29" t="s">
        <v>17</v>
      </c>
      <c r="BB8" s="29" t="s">
        <v>17</v>
      </c>
      <c r="BC8" s="29" t="s">
        <v>17</v>
      </c>
      <c r="BD8" s="29"/>
      <c r="BE8" s="1">
        <f t="shared" si="0"/>
        <v>0</v>
      </c>
      <c r="BF8" s="1">
        <f t="shared" si="1"/>
        <v>0</v>
      </c>
      <c r="BG8" s="1">
        <f t="shared" si="2"/>
        <v>0</v>
      </c>
      <c r="BH8" s="1">
        <f t="shared" si="3"/>
        <v>0</v>
      </c>
      <c r="BI8" s="1">
        <f t="shared" si="4"/>
        <v>0</v>
      </c>
      <c r="BJ8" s="1">
        <f t="shared" si="5"/>
        <v>0</v>
      </c>
      <c r="BK8" s="1">
        <f t="shared" si="6"/>
        <v>0</v>
      </c>
      <c r="BM8" s="1">
        <f t="shared" si="7"/>
        <v>50</v>
      </c>
      <c r="BN8" s="1">
        <f t="shared" si="8"/>
        <v>0</v>
      </c>
      <c r="BO8" s="1">
        <f t="shared" si="9"/>
        <v>0</v>
      </c>
      <c r="BP8" s="1">
        <f t="shared" si="10"/>
        <v>0</v>
      </c>
      <c r="BQ8" s="1">
        <f t="shared" si="11"/>
        <v>0</v>
      </c>
    </row>
    <row r="9" spans="1:69" x14ac:dyDescent="0.3">
      <c r="A9" s="36">
        <v>2</v>
      </c>
      <c r="B9" s="39">
        <v>44776.368055555555</v>
      </c>
      <c r="C9" s="38">
        <f t="shared" si="12"/>
        <v>8.3333333335758653E-2</v>
      </c>
      <c r="D9" s="37">
        <f t="shared" si="13"/>
        <v>0.5</v>
      </c>
      <c r="E9" s="5">
        <f t="shared" si="14"/>
        <v>0.5</v>
      </c>
      <c r="F9" s="29" t="s">
        <v>17</v>
      </c>
      <c r="G9" s="29" t="s">
        <v>17</v>
      </c>
      <c r="H9" s="29" t="s">
        <v>17</v>
      </c>
      <c r="I9" s="29" t="s">
        <v>17</v>
      </c>
      <c r="J9" s="29" t="s">
        <v>17</v>
      </c>
      <c r="K9" s="29" t="s">
        <v>17</v>
      </c>
      <c r="L9" s="29" t="s">
        <v>17</v>
      </c>
      <c r="M9" s="29" t="s">
        <v>17</v>
      </c>
      <c r="N9" s="29" t="s">
        <v>17</v>
      </c>
      <c r="O9" s="29" t="s">
        <v>17</v>
      </c>
      <c r="P9" s="29" t="s">
        <v>17</v>
      </c>
      <c r="Q9" s="29" t="s">
        <v>17</v>
      </c>
      <c r="R9" s="29" t="s">
        <v>17</v>
      </c>
      <c r="S9" s="29" t="s">
        <v>17</v>
      </c>
      <c r="T9" s="29" t="s">
        <v>17</v>
      </c>
      <c r="U9" s="29" t="s">
        <v>17</v>
      </c>
      <c r="V9" s="29" t="s">
        <v>17</v>
      </c>
      <c r="W9" s="29" t="s">
        <v>17</v>
      </c>
      <c r="X9" s="29" t="s">
        <v>17</v>
      </c>
      <c r="Y9" s="29" t="s">
        <v>17</v>
      </c>
      <c r="Z9" s="29" t="s">
        <v>17</v>
      </c>
      <c r="AA9" s="29" t="s">
        <v>17</v>
      </c>
      <c r="AB9" s="29" t="s">
        <v>17</v>
      </c>
      <c r="AC9" s="29" t="s">
        <v>17</v>
      </c>
      <c r="AD9" s="29" t="s">
        <v>17</v>
      </c>
      <c r="AE9" s="29" t="s">
        <v>17</v>
      </c>
      <c r="AF9" s="29" t="s">
        <v>17</v>
      </c>
      <c r="AG9" s="29" t="s">
        <v>17</v>
      </c>
      <c r="AH9" s="29" t="s">
        <v>17</v>
      </c>
      <c r="AI9" s="29" t="s">
        <v>17</v>
      </c>
      <c r="AJ9" s="29" t="s">
        <v>17</v>
      </c>
      <c r="AK9" s="29" t="s">
        <v>17</v>
      </c>
      <c r="AL9" s="29" t="s">
        <v>17</v>
      </c>
      <c r="AM9" s="29" t="s">
        <v>17</v>
      </c>
      <c r="AN9" s="29" t="s">
        <v>17</v>
      </c>
      <c r="AO9" s="29" t="s">
        <v>17</v>
      </c>
      <c r="AP9" s="29" t="s">
        <v>17</v>
      </c>
      <c r="AQ9" s="29" t="s">
        <v>17</v>
      </c>
      <c r="AR9" s="29" t="s">
        <v>17</v>
      </c>
      <c r="AS9" s="29" t="s">
        <v>17</v>
      </c>
      <c r="AT9" s="29" t="s">
        <v>17</v>
      </c>
      <c r="AU9" s="29" t="s">
        <v>17</v>
      </c>
      <c r="AV9" s="29" t="s">
        <v>17</v>
      </c>
      <c r="AW9" s="29" t="s">
        <v>17</v>
      </c>
      <c r="AX9" s="29" t="s">
        <v>17</v>
      </c>
      <c r="AY9" s="29" t="s">
        <v>17</v>
      </c>
      <c r="AZ9" s="29" t="s">
        <v>17</v>
      </c>
      <c r="BA9" s="29" t="s">
        <v>17</v>
      </c>
      <c r="BB9" s="29" t="s">
        <v>17</v>
      </c>
      <c r="BC9" s="29" t="s">
        <v>17</v>
      </c>
      <c r="BD9" s="29"/>
      <c r="BE9" s="1">
        <f t="shared" si="0"/>
        <v>0</v>
      </c>
      <c r="BF9" s="1">
        <f t="shared" si="1"/>
        <v>0</v>
      </c>
      <c r="BG9" s="1">
        <f t="shared" si="2"/>
        <v>0</v>
      </c>
      <c r="BH9" s="1">
        <f t="shared" si="3"/>
        <v>0</v>
      </c>
      <c r="BI9" s="1">
        <f t="shared" si="4"/>
        <v>0</v>
      </c>
      <c r="BJ9" s="1">
        <f t="shared" si="5"/>
        <v>0</v>
      </c>
      <c r="BK9" s="1">
        <f t="shared" si="6"/>
        <v>0</v>
      </c>
      <c r="BM9" s="1">
        <f t="shared" si="7"/>
        <v>50</v>
      </c>
      <c r="BN9" s="1">
        <f t="shared" si="8"/>
        <v>0</v>
      </c>
      <c r="BO9" s="1">
        <f t="shared" si="9"/>
        <v>0</v>
      </c>
      <c r="BP9" s="1">
        <f t="shared" si="10"/>
        <v>0</v>
      </c>
      <c r="BQ9" s="1">
        <f t="shared" si="11"/>
        <v>0</v>
      </c>
    </row>
    <row r="10" spans="1:69" x14ac:dyDescent="0.3">
      <c r="A10" s="36">
        <v>2</v>
      </c>
      <c r="B10" s="39">
        <v>44776.451388888891</v>
      </c>
      <c r="C10" s="38">
        <f t="shared" si="12"/>
        <v>8.3333333335758653E-2</v>
      </c>
      <c r="D10" s="37">
        <f t="shared" si="13"/>
        <v>0.58333333333575865</v>
      </c>
      <c r="E10" s="5">
        <f t="shared" si="14"/>
        <v>0.58333333333575865</v>
      </c>
      <c r="F10" s="29" t="s">
        <v>17</v>
      </c>
      <c r="G10" s="29" t="s">
        <v>17</v>
      </c>
      <c r="H10" s="29" t="s">
        <v>17</v>
      </c>
      <c r="I10" s="29" t="s">
        <v>17</v>
      </c>
      <c r="J10" s="29" t="s">
        <v>17</v>
      </c>
      <c r="K10" s="29" t="s">
        <v>17</v>
      </c>
      <c r="L10" s="29" t="s">
        <v>17</v>
      </c>
      <c r="M10" s="29" t="s">
        <v>17</v>
      </c>
      <c r="N10" s="29" t="s">
        <v>17</v>
      </c>
      <c r="O10" s="29" t="s">
        <v>17</v>
      </c>
      <c r="P10" s="29" t="s">
        <v>17</v>
      </c>
      <c r="Q10" s="29" t="s">
        <v>17</v>
      </c>
      <c r="R10" s="29" t="s">
        <v>17</v>
      </c>
      <c r="S10" s="29" t="s">
        <v>17</v>
      </c>
      <c r="T10" s="29" t="s">
        <v>17</v>
      </c>
      <c r="U10" s="29" t="s">
        <v>17</v>
      </c>
      <c r="V10" s="29" t="s">
        <v>17</v>
      </c>
      <c r="W10" s="29" t="s">
        <v>17</v>
      </c>
      <c r="X10" s="29" t="s">
        <v>17</v>
      </c>
      <c r="Y10" s="29" t="s">
        <v>17</v>
      </c>
      <c r="Z10" s="29" t="s">
        <v>17</v>
      </c>
      <c r="AA10" s="29" t="s">
        <v>17</v>
      </c>
      <c r="AB10" s="29" t="s">
        <v>17</v>
      </c>
      <c r="AC10" s="29" t="s">
        <v>17</v>
      </c>
      <c r="AD10" s="29" t="s">
        <v>17</v>
      </c>
      <c r="AE10" s="29" t="s">
        <v>17</v>
      </c>
      <c r="AF10" s="29" t="s">
        <v>17</v>
      </c>
      <c r="AG10" s="29" t="s">
        <v>17</v>
      </c>
      <c r="AH10" s="29" t="s">
        <v>17</v>
      </c>
      <c r="AI10" s="29" t="s">
        <v>17</v>
      </c>
      <c r="AJ10" s="29" t="s">
        <v>17</v>
      </c>
      <c r="AK10" s="29" t="s">
        <v>17</v>
      </c>
      <c r="AL10" s="29" t="s">
        <v>17</v>
      </c>
      <c r="AM10" s="29" t="s">
        <v>17</v>
      </c>
      <c r="AN10" s="29" t="s">
        <v>17</v>
      </c>
      <c r="AO10" s="29" t="s">
        <v>17</v>
      </c>
      <c r="AP10" s="29" t="s">
        <v>17</v>
      </c>
      <c r="AQ10" s="29" t="s">
        <v>17</v>
      </c>
      <c r="AR10" s="29" t="s">
        <v>17</v>
      </c>
      <c r="AS10" s="29" t="s">
        <v>17</v>
      </c>
      <c r="AT10" s="29" t="s">
        <v>17</v>
      </c>
      <c r="AU10" s="29" t="s">
        <v>17</v>
      </c>
      <c r="AV10" s="29" t="s">
        <v>17</v>
      </c>
      <c r="AW10" s="29" t="s">
        <v>17</v>
      </c>
      <c r="AX10" s="29" t="s">
        <v>17</v>
      </c>
      <c r="AY10" s="29" t="s">
        <v>17</v>
      </c>
      <c r="AZ10" s="29" t="s">
        <v>17</v>
      </c>
      <c r="BA10" s="29" t="s">
        <v>17</v>
      </c>
      <c r="BB10" s="29" t="s">
        <v>17</v>
      </c>
      <c r="BC10" s="29" t="s">
        <v>17</v>
      </c>
      <c r="BD10" s="29"/>
      <c r="BE10" s="1">
        <f t="shared" si="0"/>
        <v>0</v>
      </c>
      <c r="BF10" s="1">
        <f t="shared" si="1"/>
        <v>0</v>
      </c>
      <c r="BG10" s="1">
        <f t="shared" si="2"/>
        <v>0</v>
      </c>
      <c r="BH10" s="1">
        <f t="shared" si="3"/>
        <v>0</v>
      </c>
      <c r="BI10" s="1">
        <f t="shared" si="4"/>
        <v>0</v>
      </c>
      <c r="BJ10" s="1">
        <f t="shared" si="5"/>
        <v>0</v>
      </c>
      <c r="BK10" s="1">
        <f t="shared" si="6"/>
        <v>0</v>
      </c>
      <c r="BM10" s="1">
        <f t="shared" si="7"/>
        <v>50</v>
      </c>
      <c r="BN10" s="1">
        <f t="shared" si="8"/>
        <v>0</v>
      </c>
      <c r="BO10" s="1">
        <f t="shared" si="9"/>
        <v>0</v>
      </c>
      <c r="BP10" s="1">
        <f t="shared" si="10"/>
        <v>0</v>
      </c>
      <c r="BQ10" s="1">
        <f t="shared" si="11"/>
        <v>0</v>
      </c>
    </row>
    <row r="11" spans="1:69" x14ac:dyDescent="0.3">
      <c r="A11" s="36">
        <v>2</v>
      </c>
      <c r="B11" s="39">
        <v>44776.534722222219</v>
      </c>
      <c r="C11" s="38">
        <f t="shared" si="12"/>
        <v>8.3333333328482695E-2</v>
      </c>
      <c r="D11" s="37">
        <f t="shared" si="13"/>
        <v>0.66666666666424135</v>
      </c>
      <c r="E11" s="5">
        <f t="shared" si="14"/>
        <v>0.66666666666424135</v>
      </c>
      <c r="F11" s="29" t="s">
        <v>17</v>
      </c>
      <c r="G11" s="29" t="s">
        <v>17</v>
      </c>
      <c r="H11" s="29" t="s">
        <v>17</v>
      </c>
      <c r="I11" s="29" t="s">
        <v>17</v>
      </c>
      <c r="J11" s="29" t="s">
        <v>17</v>
      </c>
      <c r="K11" s="29" t="s">
        <v>17</v>
      </c>
      <c r="L11" s="29" t="s">
        <v>17</v>
      </c>
      <c r="M11" s="29" t="s">
        <v>17</v>
      </c>
      <c r="N11" s="29" t="s">
        <v>17</v>
      </c>
      <c r="O11" s="29" t="s">
        <v>17</v>
      </c>
      <c r="P11" s="29" t="s">
        <v>17</v>
      </c>
      <c r="Q11" s="29" t="s">
        <v>17</v>
      </c>
      <c r="R11" s="29" t="s">
        <v>17</v>
      </c>
      <c r="S11" s="29" t="s">
        <v>17</v>
      </c>
      <c r="T11" s="29" t="s">
        <v>17</v>
      </c>
      <c r="U11" s="29" t="s">
        <v>17</v>
      </c>
      <c r="V11" s="29" t="s">
        <v>17</v>
      </c>
      <c r="W11" s="29" t="s">
        <v>17</v>
      </c>
      <c r="X11" s="29" t="s">
        <v>17</v>
      </c>
      <c r="Y11" s="29" t="s">
        <v>17</v>
      </c>
      <c r="Z11" s="29" t="s">
        <v>17</v>
      </c>
      <c r="AA11" s="29" t="s">
        <v>17</v>
      </c>
      <c r="AB11" s="29" t="s">
        <v>17</v>
      </c>
      <c r="AC11" s="29" t="s">
        <v>17</v>
      </c>
      <c r="AD11" s="29" t="s">
        <v>17</v>
      </c>
      <c r="AE11" s="29" t="s">
        <v>17</v>
      </c>
      <c r="AF11" s="29" t="s">
        <v>17</v>
      </c>
      <c r="AG11" s="29" t="s">
        <v>17</v>
      </c>
      <c r="AH11" s="29" t="s">
        <v>17</v>
      </c>
      <c r="AI11" s="29" t="s">
        <v>17</v>
      </c>
      <c r="AJ11" s="29" t="s">
        <v>17</v>
      </c>
      <c r="AK11" s="29" t="s">
        <v>17</v>
      </c>
      <c r="AL11" s="29" t="s">
        <v>17</v>
      </c>
      <c r="AM11" s="29" t="s">
        <v>17</v>
      </c>
      <c r="AN11" s="29" t="s">
        <v>17</v>
      </c>
      <c r="AO11" s="29" t="s">
        <v>17</v>
      </c>
      <c r="AP11" s="29" t="s">
        <v>17</v>
      </c>
      <c r="AQ11" s="29" t="s">
        <v>17</v>
      </c>
      <c r="AR11" s="29" t="s">
        <v>17</v>
      </c>
      <c r="AS11" s="29" t="s">
        <v>17</v>
      </c>
      <c r="AT11" s="29" t="s">
        <v>17</v>
      </c>
      <c r="AU11" s="29" t="s">
        <v>17</v>
      </c>
      <c r="AV11" s="29" t="s">
        <v>17</v>
      </c>
      <c r="AW11" s="29" t="s">
        <v>17</v>
      </c>
      <c r="AX11" s="29" t="s">
        <v>17</v>
      </c>
      <c r="AY11" s="29" t="s">
        <v>17</v>
      </c>
      <c r="AZ11" s="29" t="s">
        <v>17</v>
      </c>
      <c r="BA11" s="29" t="s">
        <v>17</v>
      </c>
      <c r="BB11" s="29" t="s">
        <v>17</v>
      </c>
      <c r="BC11" s="29" t="s">
        <v>17</v>
      </c>
      <c r="BD11" s="29"/>
      <c r="BE11" s="1">
        <f t="shared" si="0"/>
        <v>0</v>
      </c>
      <c r="BF11" s="1">
        <f t="shared" si="1"/>
        <v>0</v>
      </c>
      <c r="BG11" s="1">
        <f t="shared" si="2"/>
        <v>0</v>
      </c>
      <c r="BH11" s="1">
        <f t="shared" si="3"/>
        <v>0</v>
      </c>
      <c r="BI11" s="1">
        <f t="shared" si="4"/>
        <v>0</v>
      </c>
      <c r="BJ11" s="1">
        <f t="shared" si="5"/>
        <v>0</v>
      </c>
      <c r="BK11" s="1">
        <f t="shared" si="6"/>
        <v>0</v>
      </c>
      <c r="BM11" s="1">
        <f t="shared" si="7"/>
        <v>50</v>
      </c>
      <c r="BN11" s="1">
        <f t="shared" si="8"/>
        <v>0</v>
      </c>
      <c r="BO11" s="1">
        <f t="shared" si="9"/>
        <v>0</v>
      </c>
      <c r="BP11" s="1">
        <f t="shared" si="10"/>
        <v>0</v>
      </c>
      <c r="BQ11" s="1">
        <f t="shared" si="11"/>
        <v>0</v>
      </c>
    </row>
    <row r="12" spans="1:69" x14ac:dyDescent="0.3">
      <c r="A12" s="36">
        <v>2</v>
      </c>
      <c r="B12" s="39">
        <v>44776.618055555555</v>
      </c>
      <c r="C12" s="38">
        <f t="shared" si="12"/>
        <v>8.3333333335758653E-2</v>
      </c>
      <c r="D12" s="37">
        <f t="shared" si="13"/>
        <v>0.75</v>
      </c>
      <c r="E12" s="5">
        <f t="shared" si="14"/>
        <v>0.75</v>
      </c>
      <c r="F12" s="29" t="s">
        <v>17</v>
      </c>
      <c r="G12" s="29" t="s">
        <v>17</v>
      </c>
      <c r="H12" s="29" t="s">
        <v>17</v>
      </c>
      <c r="I12" s="29" t="s">
        <v>17</v>
      </c>
      <c r="J12" s="29" t="s">
        <v>17</v>
      </c>
      <c r="K12" s="29" t="s">
        <v>17</v>
      </c>
      <c r="L12" s="29" t="s">
        <v>17</v>
      </c>
      <c r="M12" s="29" t="s">
        <v>17</v>
      </c>
      <c r="N12" s="29" t="s">
        <v>17</v>
      </c>
      <c r="O12" s="29" t="s">
        <v>17</v>
      </c>
      <c r="P12" s="29" t="s">
        <v>17</v>
      </c>
      <c r="Q12" s="29" t="s">
        <v>17</v>
      </c>
      <c r="R12" s="29" t="s">
        <v>17</v>
      </c>
      <c r="S12" s="29" t="s">
        <v>17</v>
      </c>
      <c r="T12" s="29" t="s">
        <v>17</v>
      </c>
      <c r="U12" s="29" t="s">
        <v>17</v>
      </c>
      <c r="V12" s="29" t="s">
        <v>17</v>
      </c>
      <c r="W12" s="29" t="s">
        <v>17</v>
      </c>
      <c r="X12" s="29" t="s">
        <v>17</v>
      </c>
      <c r="Y12" s="29" t="s">
        <v>17</v>
      </c>
      <c r="Z12" s="29" t="s">
        <v>17</v>
      </c>
      <c r="AA12" s="29" t="s">
        <v>17</v>
      </c>
      <c r="AB12" s="29" t="s">
        <v>17</v>
      </c>
      <c r="AC12" s="29" t="s">
        <v>17</v>
      </c>
      <c r="AD12" s="29" t="s">
        <v>17</v>
      </c>
      <c r="AE12" s="29" t="s">
        <v>17</v>
      </c>
      <c r="AF12" s="29" t="s">
        <v>17</v>
      </c>
      <c r="AG12" s="29" t="s">
        <v>17</v>
      </c>
      <c r="AH12" s="29" t="s">
        <v>17</v>
      </c>
      <c r="AI12" s="29" t="s">
        <v>17</v>
      </c>
      <c r="AJ12" s="29" t="s">
        <v>17</v>
      </c>
      <c r="AK12" s="29" t="s">
        <v>17</v>
      </c>
      <c r="AL12" s="29" t="s">
        <v>17</v>
      </c>
      <c r="AM12" s="29" t="s">
        <v>17</v>
      </c>
      <c r="AN12" s="29" t="s">
        <v>17</v>
      </c>
      <c r="AO12" s="29" t="s">
        <v>17</v>
      </c>
      <c r="AP12" s="29" t="s">
        <v>17</v>
      </c>
      <c r="AQ12" s="29" t="s">
        <v>17</v>
      </c>
      <c r="AR12" s="29" t="s">
        <v>17</v>
      </c>
      <c r="AS12" s="29" t="s">
        <v>17</v>
      </c>
      <c r="AT12" s="29" t="s">
        <v>17</v>
      </c>
      <c r="AU12" s="29" t="s">
        <v>17</v>
      </c>
      <c r="AV12" s="29" t="s">
        <v>17</v>
      </c>
      <c r="AW12" s="29" t="s">
        <v>17</v>
      </c>
      <c r="AX12" s="29" t="s">
        <v>17</v>
      </c>
      <c r="AY12" s="29" t="s">
        <v>17</v>
      </c>
      <c r="AZ12" s="29" t="s">
        <v>17</v>
      </c>
      <c r="BA12" s="29" t="s">
        <v>17</v>
      </c>
      <c r="BB12" s="29" t="s">
        <v>17</v>
      </c>
      <c r="BC12" s="29" t="s">
        <v>17</v>
      </c>
      <c r="BD12" s="29"/>
      <c r="BE12" s="1">
        <f t="shared" si="0"/>
        <v>0</v>
      </c>
      <c r="BF12" s="1">
        <f t="shared" si="1"/>
        <v>0</v>
      </c>
      <c r="BG12" s="1">
        <f t="shared" si="2"/>
        <v>0</v>
      </c>
      <c r="BH12" s="1">
        <f t="shared" si="3"/>
        <v>0</v>
      </c>
      <c r="BI12" s="1">
        <f t="shared" si="4"/>
        <v>0</v>
      </c>
      <c r="BJ12" s="1">
        <f t="shared" si="5"/>
        <v>0</v>
      </c>
      <c r="BK12" s="1">
        <f t="shared" si="6"/>
        <v>0</v>
      </c>
      <c r="BM12" s="1">
        <f t="shared" si="7"/>
        <v>50</v>
      </c>
      <c r="BN12" s="1">
        <f t="shared" si="8"/>
        <v>0</v>
      </c>
      <c r="BO12" s="1">
        <f t="shared" si="9"/>
        <v>0</v>
      </c>
      <c r="BP12" s="1">
        <f t="shared" si="10"/>
        <v>0</v>
      </c>
      <c r="BQ12" s="1">
        <f t="shared" si="11"/>
        <v>0</v>
      </c>
    </row>
    <row r="13" spans="1:69" x14ac:dyDescent="0.3">
      <c r="A13" s="36"/>
      <c r="B13" s="39"/>
      <c r="C13" s="38"/>
      <c r="D13" s="37"/>
      <c r="E13" s="5"/>
    </row>
    <row r="14" spans="1:69" x14ac:dyDescent="0.3">
      <c r="A14" s="36"/>
      <c r="B14" s="39"/>
      <c r="C14" s="38"/>
      <c r="D14" s="37"/>
      <c r="E14" s="5"/>
    </row>
    <row r="15" spans="1:69" x14ac:dyDescent="0.3">
      <c r="A15" s="36"/>
      <c r="B15" s="39"/>
      <c r="C15" s="38"/>
      <c r="D15" s="37"/>
      <c r="E15" s="5"/>
    </row>
    <row r="16" spans="1:69" x14ac:dyDescent="0.3">
      <c r="A16" s="36"/>
      <c r="B16" s="39"/>
      <c r="C16" s="38"/>
      <c r="D16" s="37"/>
      <c r="E16" s="5"/>
    </row>
    <row r="17" spans="1:5" x14ac:dyDescent="0.3">
      <c r="A17" s="36"/>
      <c r="B17" s="39"/>
      <c r="C17" s="38"/>
      <c r="D17" s="37"/>
      <c r="E17" s="5"/>
    </row>
    <row r="18" spans="1:5" x14ac:dyDescent="0.3">
      <c r="A18" s="36"/>
      <c r="B18" s="39"/>
      <c r="C18" s="38"/>
      <c r="D18" s="37"/>
      <c r="E18" s="5"/>
    </row>
    <row r="19" spans="1:5" x14ac:dyDescent="0.3">
      <c r="A19" s="36"/>
      <c r="B19" s="39"/>
      <c r="C19" s="38"/>
      <c r="D19" s="37"/>
      <c r="E19" s="5"/>
    </row>
    <row r="20" spans="1:5" x14ac:dyDescent="0.3">
      <c r="A20" s="36"/>
      <c r="B20" s="39"/>
      <c r="C20" s="38"/>
      <c r="D20" s="37"/>
      <c r="E20" s="5"/>
    </row>
    <row r="21" spans="1:5" x14ac:dyDescent="0.3">
      <c r="A21" s="36"/>
      <c r="B21" s="39"/>
      <c r="C21" s="38"/>
      <c r="D21" s="37"/>
      <c r="E21" s="5"/>
    </row>
    <row r="22" spans="1:5" x14ac:dyDescent="0.3">
      <c r="A22" s="36"/>
      <c r="B22" s="39"/>
      <c r="C22" s="38"/>
      <c r="D22" s="37"/>
      <c r="E22" s="5"/>
    </row>
    <row r="23" spans="1:5" x14ac:dyDescent="0.3">
      <c r="A23" s="36"/>
      <c r="B23" s="39"/>
      <c r="C23" s="38"/>
      <c r="D23" s="37"/>
      <c r="E23" s="5"/>
    </row>
  </sheetData>
  <mergeCells count="6">
    <mergeCell ref="F1:BC2"/>
    <mergeCell ref="A1:A2"/>
    <mergeCell ref="B1:B2"/>
    <mergeCell ref="C1:C2"/>
    <mergeCell ref="D1:D2"/>
    <mergeCell ref="E1:E2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3304BCDA4B848BC2414960D042601" ma:contentTypeVersion="11" ma:contentTypeDescription="Create a new document." ma:contentTypeScope="" ma:versionID="c6870230c562e2ff0bf7d4ae707e67c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8422b2079bb706dee0e27b8facb89316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4B2F9-3011-49F6-B91C-D5662D730289}"/>
</file>

<file path=customXml/itemProps2.xml><?xml version="1.0" encoding="utf-8"?>
<ds:datastoreItem xmlns:ds="http://schemas.openxmlformats.org/officeDocument/2006/customXml" ds:itemID="{4F12DA49-C628-4978-9157-2216A1CA8E2A}"/>
</file>

<file path=customXml/itemProps3.xml><?xml version="1.0" encoding="utf-8"?>
<ds:datastoreItem xmlns:ds="http://schemas.openxmlformats.org/officeDocument/2006/customXml" ds:itemID="{51B198A2-5E75-41EF-A525-D9B1F15C6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Integral representation</vt:lpstr>
      <vt:lpstr>5°C</vt:lpstr>
      <vt:lpstr>10°C</vt:lpstr>
      <vt:lpstr>16°C</vt:lpstr>
      <vt:lpstr>28°C</vt:lpstr>
      <vt:lpstr>30°C</vt:lpstr>
      <vt:lpstr>32°C</vt:lpstr>
      <vt:lpstr>34°C</vt:lpstr>
      <vt:lpstr>36°C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Sweidan</dc:creator>
  <cp:lastModifiedBy>Zeinab Sweidan</cp:lastModifiedBy>
  <dcterms:created xsi:type="dcterms:W3CDTF">2025-02-27T13:06:14Z</dcterms:created>
  <dcterms:modified xsi:type="dcterms:W3CDTF">2025-03-19T14:03:52Z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  <property fmtid="{D5CDD505-2E9C-101B-9397-08002B2CF9AE}" pid="3" name="MediaServiceImageTags">
    <vt:lpwstr/>
  </property>
</Properties>
</file>